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StaffingApp\"/>
    </mc:Choice>
  </mc:AlternateContent>
  <xr:revisionPtr revIDLastSave="0" documentId="13_ncr:1_{A68B1549-EF62-4E7B-BE7D-5E89EBC25BB7}" xr6:coauthVersionLast="47" xr6:coauthVersionMax="47" xr10:uidLastSave="{00000000-0000-0000-0000-000000000000}"/>
  <bookViews>
    <workbookView xWindow="390" yWindow="390" windowWidth="22860" windowHeight="15105" activeTab="4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Percentage Data" sheetId="1" r:id="rId6"/>
  </sheets>
  <externalReferences>
    <externalReference r:id="rId7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3" l="1"/>
  <c r="H2" i="3"/>
  <c r="D21" i="2"/>
  <c r="D20" i="2"/>
  <c r="K9" i="3"/>
  <c r="C10" i="2"/>
  <c r="L1" i="6"/>
  <c r="B5" i="6"/>
  <c r="B6" i="6"/>
  <c r="B7" i="6"/>
  <c r="I48" i="4" l="1"/>
  <c r="I49" i="4"/>
  <c r="I50" i="4"/>
  <c r="C4" i="2"/>
  <c r="C3" i="2"/>
  <c r="C2" i="2"/>
  <c r="C11" i="2"/>
  <c r="C9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8" i="3"/>
  <c r="B39" i="3"/>
  <c r="B40" i="3"/>
  <c r="B41" i="3"/>
  <c r="B42" i="3"/>
  <c r="B43" i="3"/>
  <c r="B44" i="3"/>
  <c r="B45" i="3"/>
  <c r="B46" i="3"/>
  <c r="B37" i="3"/>
  <c r="B17" i="3"/>
  <c r="B47" i="3"/>
  <c r="B48" i="3"/>
  <c r="B2" i="3"/>
  <c r="K14" i="3"/>
  <c r="K13" i="3"/>
  <c r="K12" i="3" l="1"/>
  <c r="C5" i="2"/>
  <c r="C6" i="2"/>
  <c r="B57" i="3" l="1"/>
  <c r="T3" i="4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C18" i="3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C36" i="3"/>
  <c r="C28" i="3"/>
  <c r="C26" i="3"/>
  <c r="C23" i="3"/>
  <c r="C22" i="3"/>
  <c r="C21" i="3"/>
  <c r="C20" i="3"/>
  <c r="C12" i="3"/>
  <c r="C7" i="3"/>
  <c r="T45" i="4"/>
  <c r="I45" i="4" s="1"/>
  <c r="T46" i="4"/>
  <c r="I46" i="4" s="1"/>
  <c r="T47" i="4"/>
  <c r="I47" i="4" s="1"/>
  <c r="C14" i="3" l="1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P14" i="3"/>
  <c r="G13" i="2" l="1"/>
  <c r="D25" i="2" s="1"/>
  <c r="J13" i="2"/>
  <c r="D23" i="2" s="1"/>
  <c r="P13" i="2"/>
  <c r="K15" i="3" s="1"/>
  <c r="C7" i="2"/>
  <c r="D26" i="2" l="1"/>
  <c r="M13" i="2"/>
  <c r="D24" i="2" s="1"/>
  <c r="L13" i="2"/>
  <c r="P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D27" i="2" l="1"/>
  <c r="H3" i="2" s="1"/>
  <c r="K11" i="3"/>
  <c r="I3" i="4"/>
  <c r="AC13" i="2"/>
  <c r="I6" i="4" l="1"/>
  <c r="I18" i="4" s="1"/>
  <c r="K16" i="3"/>
  <c r="C4" i="3"/>
  <c r="I20" i="4" l="1"/>
  <c r="I21" i="4" s="1"/>
  <c r="C8" i="3"/>
  <c r="I24" i="4" l="1"/>
  <c r="I25" i="4" s="1"/>
  <c r="I27" i="4" s="1"/>
  <c r="I30" i="4" s="1"/>
  <c r="C15" i="3"/>
  <c r="C16" i="3"/>
  <c r="I33" i="4" l="1"/>
  <c r="I35" i="4" s="1"/>
  <c r="I36" i="4" s="1"/>
  <c r="I38" i="4" s="1"/>
  <c r="I39" i="4" s="1"/>
  <c r="C44" i="3" s="1"/>
  <c r="C13" i="3"/>
  <c r="C19" i="3"/>
  <c r="I44" i="4" l="1"/>
  <c r="C27" i="3"/>
  <c r="C29" i="3" l="1"/>
  <c r="C39" i="3" l="1"/>
  <c r="C40" i="3" l="1"/>
  <c r="C45" i="3" l="1"/>
  <c r="C43" i="3"/>
  <c r="C35" i="3" l="1"/>
  <c r="C6" i="3" l="1"/>
  <c r="C11" i="3"/>
  <c r="C30" i="3" l="1"/>
  <c r="C25" i="3"/>
  <c r="C33" i="3" l="1"/>
  <c r="C32" i="3"/>
  <c r="C41" i="3" l="1"/>
  <c r="C42" i="3" l="1"/>
  <c r="C9" i="3" l="1"/>
  <c r="C10" i="3" l="1"/>
  <c r="C38" i="3" l="1"/>
  <c r="C3" i="3" l="1"/>
  <c r="C24" i="3" l="1"/>
  <c r="C31" i="3" l="1"/>
  <c r="C34" i="3" l="1"/>
  <c r="C2" i="3" l="1"/>
  <c r="P11" i="3" l="1"/>
  <c r="P10" i="3" s="1"/>
  <c r="C5" i="3"/>
  <c r="C46" i="3"/>
  <c r="H11" i="3"/>
  <c r="H15" i="3"/>
  <c r="H5" i="3" s="1"/>
  <c r="H13" i="3"/>
  <c r="H12" i="3"/>
  <c r="H1" i="3" s="1"/>
  <c r="H10" i="3"/>
  <c r="H3" i="3" s="1"/>
  <c r="H9" i="3"/>
  <c r="H4" i="3" s="1"/>
  <c r="H14" i="3"/>
  <c r="P9" i="3" l="1"/>
  <c r="P12" i="3"/>
  <c r="P13" i="3"/>
  <c r="M14" i="3"/>
  <c r="Q14" i="3"/>
  <c r="R14" i="3" s="1"/>
  <c r="C25" i="2"/>
  <c r="M9" i="3"/>
  <c r="C20" i="2"/>
  <c r="Q9" i="3"/>
  <c r="R9" i="3" s="1"/>
  <c r="H16" i="3"/>
  <c r="J17" i="3" s="1"/>
  <c r="Q12" i="3"/>
  <c r="R12" i="3" s="1"/>
  <c r="C23" i="2"/>
  <c r="M12" i="3"/>
  <c r="M10" i="3"/>
  <c r="Q10" i="3"/>
  <c r="R10" i="3" s="1"/>
  <c r="C21" i="2"/>
  <c r="C24" i="2"/>
  <c r="Q13" i="3"/>
  <c r="R13" i="3" s="1"/>
  <c r="M13" i="3"/>
  <c r="C22" i="2"/>
  <c r="M11" i="3"/>
  <c r="Q11" i="3"/>
  <c r="R11" i="3" s="1"/>
  <c r="M15" i="3"/>
  <c r="C26" i="2"/>
  <c r="Q15" i="3"/>
  <c r="R15" i="3" s="1"/>
  <c r="N9" i="3" l="1"/>
  <c r="O9" i="3"/>
  <c r="N25" i="3"/>
  <c r="T9" i="3"/>
  <c r="M16" i="3"/>
  <c r="K25" i="3"/>
  <c r="N13" i="3"/>
  <c r="M29" i="3" s="1"/>
  <c r="O13" i="3"/>
  <c r="K29" i="3"/>
  <c r="K26" i="3"/>
  <c r="N10" i="3"/>
  <c r="M26" i="3" s="1"/>
  <c r="O10" i="3"/>
  <c r="O12" i="3"/>
  <c r="N12" i="3"/>
  <c r="M28" i="3" s="1"/>
  <c r="K28" i="3"/>
  <c r="C27" i="2"/>
  <c r="E3" i="2" s="1"/>
  <c r="K27" i="3"/>
  <c r="N11" i="3"/>
  <c r="M27" i="3" s="1"/>
  <c r="O11" i="3"/>
  <c r="N27" i="3"/>
  <c r="T11" i="3"/>
  <c r="N15" i="3"/>
  <c r="M31" i="3" s="1"/>
  <c r="O15" i="3"/>
  <c r="K31" i="3"/>
  <c r="O14" i="3"/>
  <c r="N14" i="3"/>
  <c r="M30" i="3" s="1"/>
  <c r="K30" i="3"/>
  <c r="N31" i="3" l="1"/>
  <c r="T10" i="3"/>
  <c r="T15" i="3"/>
  <c r="N26" i="3"/>
  <c r="N29" i="3"/>
  <c r="T14" i="3"/>
  <c r="T13" i="3"/>
  <c r="N30" i="3"/>
  <c r="S13" i="3"/>
  <c r="J29" i="3"/>
  <c r="S11" i="3"/>
  <c r="J27" i="3"/>
  <c r="J26" i="3"/>
  <c r="S10" i="3"/>
  <c r="S15" i="3"/>
  <c r="J31" i="3"/>
  <c r="T12" i="3"/>
  <c r="S9" i="3"/>
  <c r="J25" i="3"/>
  <c r="N28" i="3"/>
  <c r="S14" i="3"/>
  <c r="J30" i="3"/>
  <c r="S12" i="3"/>
  <c r="J28" i="3"/>
  <c r="M25" i="3"/>
  <c r="G29" i="3" s="1"/>
  <c r="N16" i="3"/>
  <c r="G30" i="3" l="1"/>
  <c r="G31" i="3"/>
  <c r="G28" i="3"/>
  <c r="G25" i="3"/>
  <c r="G26" i="3"/>
  <c r="G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<sst xmlns="http://schemas.openxmlformats.org/spreadsheetml/2006/main" count="1552" uniqueCount="225">
  <si>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</si>
  <si>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</si>
  <si>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</si>
  <si>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</si>
  <si>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</si>
  <si>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</si>
  <si>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</si>
  <si>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</si>
  <si>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</si>
  <si>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</si>
  <si>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</si>
  <si>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</si>
  <si>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</si>
  <si>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</si>
  <si>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</si>
  <si>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</si>
  <si>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</si>
  <si>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</si>
  <si>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</si>
  <si>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</si>
  <si>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</si>
  <si>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</si>
  <si>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</si>
  <si>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</si>
  <si>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</si>
  <si>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</si>
  <si>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</si>
  <si>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</si>
  <si>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</si>
  <si>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</si>
  <si>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</si>
  <si>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</si>
  <si>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</si>
  <si>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</si>
  <si>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</si>
  <si>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</si>
  <si>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</si>
  <si>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</si>
  <si>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</si>
  <si>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</si>
  <si>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</si>
  <si>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</si>
  <si>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</si>
  <si>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</si>
  <si>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</si>
  <si>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</si>
  <si>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</si>
  <si>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</si>
  <si>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</si>
  <si>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</si>
  <si>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</si>
  <si>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</si>
  <si>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</si>
  <si>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</si>
  <si>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</si>
  <si>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</si>
  <si>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</si>
  <si>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</si>
  <si>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</si>
  <si>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</si>
  <si>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</si>
  <si>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</si>
  <si>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</si>
  <si>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</si>
  <si>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</si>
  <si>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</si>
  <si>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</si>
  <si>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</si>
  <si>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</si>
  <si>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</si>
  <si>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</si>
  <si>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</si>
  <si>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</si>
  <si>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</si>
  <si>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</si>
  <si>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</si>
  <si>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</si>
  <si>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</si>
  <si>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</si>
  <si>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</si>
  <si>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</si>
  <si>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</si>
  <si>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</si>
  <si>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</si>
  <si>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</si>
  <si>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</si>
  <si>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</si>
  <si>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</si>
  <si>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</si>
  <si>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</si>
  <si>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</si>
  <si>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</si>
  <si>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</si>
  <si>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</si>
  <si>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</si>
  <si>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</si>
  <si>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</si>
  <si>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</si>
  <si>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</si>
  <si>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</si>
  <si>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</si>
  <si>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</si>
  <si>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</si>
  <si>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</si>
  <si>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</si>
  <si>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</si>
  <si>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</si>
  <si>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</si>
  <si>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</si>
  <si>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</si>
  <si>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</si>
  <si>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</si>
  <si>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</si>
  <si>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</si>
  <si>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</si>
  <si>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</si>
  <si>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</si>
  <si>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</si>
  <si>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</si>
  <si>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</si>
  <si>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</si>
  <si>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</si>
  <si>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</si>
  <si>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</si>
  <si>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</si>
  <si>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</si>
  <si>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</si>
  <si>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</si>
  <si>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</si>
  <si>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</si>
  <si>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</si>
  <si>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</si>
  <si>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</si>
  <si>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</si>
  <si>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</si>
  <si>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</si>
  <si>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</si>
  <si>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</si>
  <si>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</si>
  <si>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</si>
  <si>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</si>
  <si>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</si>
  <si>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</si>
  <si>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</si>
  <si>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</si>
  <si>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</si>
  <si>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</si>
  <si>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</si>
  <si>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</si>
  <si>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</si>
  <si>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</si>
  <si>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</si>
  <si>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</si>
  <si>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</si>
  <si>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</si>
  <si>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</si>
  <si>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</si>
  <si>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</si>
  <si>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</si>
  <si>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</si>
  <si>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</si>
  <si>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</si>
  <si>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</si>
  <si>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</si>
  <si>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</si>
  <si>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</si>
  <si>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</si>
  <si>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</si>
  <si>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</si>
  <si>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</si>
  <si>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</si>
  <si>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</si>
  <si>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</si>
  <si>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</si>
  <si>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</si>
  <si>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</si>
  <si>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</si>
  <si>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</si>
  <si>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</si>
  <si>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</si>
  <si>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</si>
  <si>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</si>
  <si>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</si>
  <si>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</si>
  <si>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</si>
  <si>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</si>
  <si>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</si>
  <si>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</si>
  <si>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</si>
  <si>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</si>
  <si>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</si>
  <si>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</si>
  <si>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</si>
  <si>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</si>
  <si>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</si>
  <si>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</si>
  <si>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</si>
  <si>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</si>
  <si>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</si>
  <si>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</si>
  <si>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</si>
  <si>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</si>
  <si>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</si>
  <si>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</si>
  <si>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EXTRAS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</si>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</sst>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21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10" fillId="17" borderId="1" xfId="2" applyNumberFormat="1" applyFont="1" applyFill="1" applyBorder="1" applyAlignment="1">
      <alignment horizontal="center" vertical="center"/>
    </xf>
    <xf numFmtId="0" fontId="8" fillId="4" borderId="1" xfId="2" applyNumberFormat="1" applyFont="1" applyFill="1" applyBorder="1" applyAlignment="1">
      <alignment horizontal="left" vertical="center"/>
    </xf>
    <xf numFmtId="0" fontId="10" fillId="4" borderId="1" xfId="2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6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P8:T16" totalsRowShown="0" headerRowDxfId="63" dataDxfId="62" headerRowCellStyle="Normal 2" dataCellStyle="Normal 2">
  <autoFilter ref="P8:T16" xr:uid="{B211F10D-8B19-4A95-B055-F73F56DAC250}"/>
  <tableColumns count="5">
    <tableColumn id="1" xr3:uid="{30DC1EDA-5C0F-4F5E-9715-3F1FBFA8739D}" name="Expected Volume" dataDxfId="61" dataCellStyle="Normal 2">
      <calculatedColumnFormula>'Staffing Forecast'!AC13/4</calculatedColumnFormula>
    </tableColumn>
    <tableColumn id="2" xr3:uid="{23A260FE-14D0-4C6B-A71D-DF73ED9D6C69}" name="Expected Completed Cases" dataDxfId="60" dataCellStyle="Normal 2">
      <calculatedColumnFormula>44*'Crew Sheet'!H3</calculatedColumnFormula>
    </tableColumn>
    <tableColumn id="3" xr3:uid="{CD0A2822-1C1B-493E-A0E0-CF853FD8B971}" name="Completion % " dataDxfId="59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58" dataCellStyle="Percent">
      <calculatedColumnFormula>IF($G9="Picking","PROTECT - PICKING BOTTLENECK",IF($O9="Understaffed","URGENT - ADD STAFF",IF(AND($O9="Overstaffed",$R9&gt;=100%),"AVAILABLE TO MOVE",IF(AND($O9="Overstaffed",$R9&lt;100%),"HIGH - DO NOT PULL","OK"))))</calculatedColumnFormula>
    </tableColumn>
    <tableColumn id="4" xr3:uid="{3690F81C-480E-48AC-AA32-8BCA323E729F}" name="Recommendation " dataDxfId="57" dataCellStyle="Normal 2">
      <calculatedColumnFormula>IF(M9&lt;0,"Need "&amp;ROUND(ABS(M9),1)&amp;" more worker(s) / "&amp;ROUND(ABS(N9),1)&amp;" labor hrs",IF(M9&gt;0,"Can move "&amp;ROUND(M9,1)&amp;" worker(s) / "&amp;ROUND(N9,1)&amp;" labor hrs","Balanced Staffing"))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M8:O16" totalsRowShown="0" headerRowDxfId="56" headerRowCellStyle="Normal 2">
  <autoFilter ref="M8:O16" xr:uid="{D699CF4E-0805-4A18-95BC-59A0CDB5ABED}"/>
  <tableColumns count="3">
    <tableColumn id="1" xr3:uid="{73B9821D-E8F2-4CA4-8937-35662A0162B1}" name="Workers Gap" dataDxfId="55" dataCellStyle="Normal 2">
      <calculatedColumnFormula>Table2[[#This Row],[Available Staff ]]-Table2[[#This Row],[Needed ]]</calculatedColumnFormula>
    </tableColumn>
    <tableColumn id="3" xr3:uid="{8226F470-62FB-460F-95CD-48B00B714660}" name="Hours Gap" dataDxfId="54" dataCellStyle="Normal 2">
      <calculatedColumnFormula>Table5[[#This Row],[Workers Gap]]*H3</calculatedColumnFormula>
    </tableColumn>
    <tableColumn id="2" xr3:uid="{178486D8-FB3F-4CAE-ADBE-7A8D77938D5C}" name="Status" dataDxfId="53" dataCellStyle="Normal 2">
      <calculatedColumnFormula>IF(M9&lt;0,"Understaffed",IF(M9=0,"Good","Overstaffed"))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G8:K17" totalsRowCount="1" headerRowDxfId="52" dataDxfId="51" headerRowCellStyle="Normal 2" dataCellStyle="Normal 2">
  <autoFilter ref="G8:K16" xr:uid="{02D3F5C5-6765-4B7E-93A3-35A7E0BFEF2C}"/>
  <tableColumns count="5">
    <tableColumn id="1" xr3:uid="{BB926FF7-849C-4906-A4BD-F7F42866B088}" name="Task" dataDxfId="50" totalsRowDxfId="49" dataCellStyle="Normal 2 2" totalsRowCellStyle="Normal 2 2"/>
    <tableColumn id="2" xr3:uid="{0A22FFD1-2FA5-450C-A4B5-595ABFB04281}" name="Available Staff " dataDxfId="48" totalsRowDxfId="47" dataCellStyle="Normal 2" totalsRowCellStyle="Normal 2">
      <calculatedColumnFormula>COUNTIF(D1:D48, "Unloading")</calculatedColumnFormula>
    </tableColumn>
    <tableColumn id="3" xr3:uid="{C9F64942-2076-4AEE-8338-AD2243C06434}" name="Column1" dataDxfId="46" totalsRowDxfId="45" dataCellStyle="Normal 2" totalsRowCellStyle="Normal 2"/>
    <tableColumn id="4" xr3:uid="{C8A70DF0-CAA5-44DB-9BCE-B278C766B8F7}" name="Inbound/Outbound" totalsRowFunction="custom" dataDxfId="44" totalsRowDxfId="43" dataCellStyle="Normal 2" totalsRowCellStyle="Normal 2">
      <totalsRowFormula>IF(K16&gt;H16,"UnderStaffed",IF(K16=H16,"Good","Overstaffed"))</totalsRowFormula>
    </tableColumn>
    <tableColumn id="5" xr3:uid="{143AE701-55E6-42BA-B5A6-36AD4CA1B96B}" name="Needed " dataDxfId="42" totalsRowDxfId="41" dataCellStyle="Normal 2" totalsRow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D57" totalsRowCount="1" headerRowDxfId="40" dataDxfId="39">
  <autoFilter ref="A1:D56" xr:uid="{09E63B43-55FB-4662-9539-B7A6CCB4934C}"/>
  <sortState xmlns:xlrd2="http://schemas.microsoft.com/office/spreadsheetml/2017/richdata2" ref="A2:D56">
    <sortCondition ref="A1:A56"/>
  </sortState>
  <tableColumns count="4">
    <tableColumn id="1" xr3:uid="{378533D2-B1FD-44C5-B565-7FA9D5600218}" name="Name " dataDxfId="38" totalsRowDxfId="37"/>
    <tableColumn id="6" xr3:uid="{9D0943E1-8A10-4BC8-BCF0-9A4C12BC91ED}" name="Present" totalsRowFunction="custom" dataDxfId="36" totalsRowDxfId="35" dataCellStyle="Normal 2">
      <totalsRowFormula>COUNTIF(B2:B48,"X")</totalsRowFormula>
    </tableColumn>
    <tableColumn id="5" xr3:uid="{1B40A01E-A3F7-4A62-96A5-3CBA1141A8EB}" name="Recommended Task" dataDxfId="34" totalsRowDxfId="33">
      <calculatedColumnFormula>IF($B2&lt;&gt;"x","",IFERROR(_xlfn.XLOOKUP($A2,'Staffing sheet 1ST Shift'!$A:$A,'Staffing sheet 1ST Shift'!$I:$I,""),""))</calculatedColumnFormula>
    </tableColumn>
    <tableColumn id="4" xr3:uid="{88340427-7131-40BD-B9A8-B3A216E8CCAB}" name="Today's Task" dataDxfId="32" totalsRowDxfId="31">
      <calculatedColumnFormula>IF(Table200[[#This Row],[Recommended Task]]="Picker", "Picking",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30" dataDxfId="29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28" dataCellStyle="Normal 2"/>
    <tableColumn id="7" xr3:uid="{1B9564C3-606B-44E7-9409-BBBC732828D9}" name="Shift " dataDxfId="27" dataCellStyle="Normal 2"/>
    <tableColumn id="9" xr3:uid="{52A2F257-AC52-42E7-B8AD-26B7C5CDEA18}" name="Weekday/Weekend" dataDxfId="26" dataCellStyle="Normal 2"/>
    <tableColumn id="2" xr3:uid="{4391CAFC-B806-47AE-97BA-FE4348B6BBE4}" name="Skills " dataDxfId="25"/>
    <tableColumn id="8" xr3:uid="{6F9C6788-F5C9-4125-950E-7F5BF4CAF572}" name="Forklift Certified" dataDxfId="24"/>
    <tableColumn id="3" xr3:uid="{F271F169-B8C4-4452-8F33-C7A685EAF739}" name="Best Fit" dataDxfId="23"/>
    <tableColumn id="4" xr3:uid="{CC83BD97-B371-42C0-A23B-0907A68EDCB5}" name="Classification" dataDxfId="22"/>
    <tableColumn id="6" xr3:uid="{75015F24-6915-4715-AEBE-AC40105A73DF}" name="Present" dataDxfId="21">
      <calculatedColumnFormula>IFERROR(VLOOKUP($A2,'Crew Sheet'!#REF!,2,FALSE),"")</calculatedColumnFormula>
    </tableColumn>
    <tableColumn id="12" xr3:uid="{FCA61B40-E6E6-4CAB-8923-1B26B7D7B332}" name="Recommended Task" dataDxfId="20">
      <calculatedColumnFormula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19" dataDxfId="17" headerRowBorderDxfId="18" tableBorderDxfId="16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5"/>
    <tableColumn id="2" xr3:uid="{15BC200D-2A7D-42A9-816F-F61F2B352644}" name="Date" dataDxfId="14"/>
    <tableColumn id="3" xr3:uid="{6E8128F9-ADFB-4EFB-8B49-1C4E71DD7EF0}" name="1st Pallets" dataDxfId="13">
      <calculatedColumnFormula>O29*$P$27</calculatedColumnFormula>
    </tableColumn>
    <tableColumn id="4" xr3:uid="{90F78137-FFC5-41E3-A9D9-5A0EC5FE4975}" name="1st Cases" dataDxfId="12"/>
    <tableColumn id="5" xr3:uid="{8200FF7F-BCF8-48C8-B0CB-303683386417}" name="2nd Pallets" dataDxfId="11">
      <calculatedColumnFormula>R29*$P$27</calculatedColumnFormula>
    </tableColumn>
    <tableColumn id="6" xr3:uid="{02468058-7DEC-41C7-8DCB-CF982D43399D}" name="2nd Cases" dataDxfId="10"/>
    <tableColumn id="7" xr3:uid="{BBC0DD35-D943-46F1-B706-5784D7369796}" name="Total Cases" dataDxfId="9">
      <calculatedColumnFormula>SUM(C4:F4)</calculatedColumnFormula>
    </tableColumn>
    <tableColumn id="8" xr3:uid="{D9CAC310-34BD-45FD-8673-1F1D643911B2}" name="Pallets 1st" dataDxfId="8">
      <calculatedColumnFormula>IFERROR(C4/G4,0)</calculatedColumnFormula>
    </tableColumn>
    <tableColumn id="9" xr3:uid="{A5ECACF9-8EA9-40BA-8495-E5D08AA0FB8C}" name="Pallets 2nd" dataDxfId="7">
      <calculatedColumnFormula>IFERROR(E4/G4,0)</calculatedColumnFormula>
    </tableColumn>
    <tableColumn id="10" xr3:uid="{8DEA38E9-29BD-4BB9-99DC-B451FD1006E7}" name="Cases 1st" dataDxfId="6">
      <calculatedColumnFormula>IFERROR(D4/G4,0)</calculatedColumnFormula>
    </tableColumn>
    <tableColumn id="11" xr3:uid="{6945D6B2-198F-483D-A794-06650B4628CF}" name="Cases 2nd" dataDxfId="5">
      <calculatedColumnFormula>IFERROR(F4/G4,0)</calculatedColumnFormula>
    </tableColumn>
    <tableColumn id="12" xr3:uid="{F0AE8DE5-4171-4614-8CC7-F76DDB35C172}" name="Total Pallets" dataDxfId="4">
      <calculatedColumnFormula>IFERROR((C4+E4)/G4, 0)</calculatedColumnFormula>
    </tableColumn>
    <tableColumn id="13" xr3:uid="{7AFE8EA3-98E3-469A-8F81-658415A70ED8}" name="Total Case Pick" dataDxfId="3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L51"/>
  <sheetViews>
    <sheetView topLeftCell="A21" workbookViewId="0">
      <selection activeCell="E48" sqref="E48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3.7109375" bestFit="1" customWidth="1"/>
    <col min="6" max="6" width="8" bestFit="1" customWidth="1"/>
    <col min="7" max="7" width="21.85546875" hidden="1" customWidth="1"/>
    <col min="8" max="8" width="11.85546875" bestFit="1" customWidth="1"/>
    <col min="9" max="9" width="11.140625" hidden="1" customWidth="1"/>
    <col min="10" max="10" width="9.140625" hidden="1" customWidth="1"/>
    <col min="11" max="11" width="14.140625" bestFit="1" customWidth="1"/>
    <col min="13" max="13" width="21.85546875" bestFit="1" customWidth="1"/>
    <col min="14" max="14" width="11.85546875" bestFit="1" customWidth="1"/>
  </cols>
  <sheetData>
    <row r="1" spans="1:12" ht="15.75" x14ac:dyDescent="0.25">
      <c r="A1" s="94" t="s">
        <v>6</v>
      </c>
      <c r="B1" s="62"/>
      <c r="C1" s="78"/>
      <c r="D1" s="79"/>
      <c r="E1" s="97" t="s">
        <v>213</v>
      </c>
      <c r="F1" s="80"/>
      <c r="G1" s="37" t="s">
        <v>129</v>
      </c>
      <c r="H1" s="76"/>
      <c r="I1" t="s">
        <v>8</v>
      </c>
      <c r="J1">
        <v>1</v>
      </c>
      <c r="K1" s="98" t="s">
        <v>220</v>
      </c>
      <c r="L1" s="92">
        <f>COUNTIF(F3:F51, "x")</f>
        <v>0</v>
      </c>
    </row>
    <row r="2" spans="1:12" ht="15.75" x14ac:dyDescent="0.25">
      <c r="A2" s="94" t="s">
        <v>13</v>
      </c>
      <c r="B2" s="62"/>
      <c r="C2" s="76"/>
      <c r="D2" s="79"/>
      <c r="E2" s="97" t="s">
        <v>0</v>
      </c>
      <c r="F2" s="97" t="s">
        <v>200</v>
      </c>
      <c r="G2" s="37" t="s">
        <v>212</v>
      </c>
      <c r="H2" s="76"/>
      <c r="I2" t="s">
        <v>212</v>
      </c>
      <c r="J2">
        <v>2</v>
      </c>
    </row>
    <row r="3" spans="1:12" ht="15.75" x14ac:dyDescent="0.25">
      <c r="A3" s="94" t="s">
        <v>20</v>
      </c>
      <c r="B3" s="62"/>
      <c r="C3" s="78"/>
      <c r="D3" s="79"/>
      <c r="E3" s="81" t="s">
        <v>171</v>
      </c>
      <c r="F3" s="82"/>
      <c r="G3" s="37" t="s">
        <v>21</v>
      </c>
      <c r="H3" s="76"/>
      <c r="I3" t="s">
        <v>21</v>
      </c>
    </row>
    <row r="4" spans="1:12" ht="15.75" x14ac:dyDescent="0.25">
      <c r="A4" s="94" t="s">
        <v>211</v>
      </c>
      <c r="B4" s="62">
        <v>9.5</v>
      </c>
      <c r="C4" s="37"/>
      <c r="E4" s="83" t="s">
        <v>16</v>
      </c>
      <c r="F4" s="84"/>
      <c r="G4" s="37" t="s">
        <v>26</v>
      </c>
      <c r="H4" s="76"/>
    </row>
    <row r="5" spans="1:12" ht="15.75" x14ac:dyDescent="0.25">
      <c r="A5" s="95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81" t="s">
        <v>144</v>
      </c>
      <c r="F5" s="82"/>
      <c r="G5" s="37" t="s">
        <v>7</v>
      </c>
      <c r="H5" s="76"/>
      <c r="I5" t="s">
        <v>26</v>
      </c>
    </row>
    <row r="6" spans="1:12" ht="15.75" x14ac:dyDescent="0.25">
      <c r="A6" s="95" t="s">
        <v>210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83" t="s">
        <v>191</v>
      </c>
      <c r="F6" s="84"/>
      <c r="G6" s="37" t="s">
        <v>30</v>
      </c>
      <c r="H6" s="77"/>
      <c r="I6" t="s">
        <v>7</v>
      </c>
    </row>
    <row r="7" spans="1:12" ht="15.75" x14ac:dyDescent="0.25">
      <c r="A7" s="96" t="s">
        <v>29</v>
      </c>
      <c r="B7" s="87">
        <f>(B3/70) / 25 *0.52</f>
        <v>0</v>
      </c>
      <c r="C7" s="43"/>
      <c r="E7" s="81" t="s">
        <v>189</v>
      </c>
      <c r="F7" s="82"/>
      <c r="G7" s="37" t="s">
        <v>31</v>
      </c>
      <c r="H7" s="77"/>
      <c r="I7" t="s">
        <v>30</v>
      </c>
    </row>
    <row r="8" spans="1:12" ht="15.75" x14ac:dyDescent="0.25">
      <c r="A8" s="93" t="s">
        <v>82</v>
      </c>
      <c r="B8" s="88"/>
      <c r="E8" s="83" t="s">
        <v>22</v>
      </c>
      <c r="F8" s="84"/>
      <c r="G8" s="37"/>
      <c r="H8" s="77"/>
      <c r="I8" t="s">
        <v>31</v>
      </c>
    </row>
    <row r="9" spans="1:12" ht="15.75" x14ac:dyDescent="0.25">
      <c r="A9" s="93" t="s">
        <v>86</v>
      </c>
      <c r="B9" s="88"/>
      <c r="E9" s="81" t="s">
        <v>27</v>
      </c>
      <c r="F9" s="82"/>
    </row>
    <row r="10" spans="1:12" ht="15.75" x14ac:dyDescent="0.25">
      <c r="A10" s="93" t="s">
        <v>87</v>
      </c>
      <c r="B10" s="88"/>
      <c r="E10" s="83" t="s">
        <v>46</v>
      </c>
      <c r="F10" s="84"/>
    </row>
    <row r="11" spans="1:12" ht="15.75" x14ac:dyDescent="0.25">
      <c r="E11" s="81" t="s">
        <v>49</v>
      </c>
      <c r="F11" s="82"/>
    </row>
    <row r="12" spans="1:12" ht="15.75" x14ac:dyDescent="0.25">
      <c r="E12" s="83" t="s">
        <v>51</v>
      </c>
      <c r="F12" s="84"/>
    </row>
    <row r="13" spans="1:12" ht="15.75" x14ac:dyDescent="0.25">
      <c r="A13" s="90" t="s">
        <v>214</v>
      </c>
      <c r="E13" s="81" t="s">
        <v>53</v>
      </c>
      <c r="F13" s="82"/>
    </row>
    <row r="14" spans="1:12" ht="15.75" x14ac:dyDescent="0.25">
      <c r="A14" s="37" t="s">
        <v>141</v>
      </c>
      <c r="E14" s="83" t="s">
        <v>55</v>
      </c>
      <c r="F14" s="84"/>
    </row>
    <row r="15" spans="1:12" ht="15.75" x14ac:dyDescent="0.25">
      <c r="A15" s="37" t="s">
        <v>170</v>
      </c>
      <c r="E15" s="81" t="s">
        <v>172</v>
      </c>
      <c r="F15" s="82"/>
    </row>
    <row r="16" spans="1:12" ht="15.75" x14ac:dyDescent="0.25">
      <c r="E16" s="83" t="s">
        <v>56</v>
      </c>
      <c r="F16" s="84"/>
    </row>
    <row r="17" spans="3:6" ht="15.75" x14ac:dyDescent="0.25">
      <c r="E17" s="81" t="s">
        <v>173</v>
      </c>
      <c r="F17" s="82"/>
    </row>
    <row r="18" spans="3:6" ht="15.75" x14ac:dyDescent="0.25">
      <c r="E18" s="83" t="s">
        <v>174</v>
      </c>
      <c r="F18" s="84"/>
    </row>
    <row r="19" spans="3:6" ht="15.75" x14ac:dyDescent="0.25">
      <c r="C19" s="86"/>
      <c r="E19" s="81" t="s">
        <v>181</v>
      </c>
      <c r="F19" s="82"/>
    </row>
    <row r="20" spans="3:6" ht="15.75" x14ac:dyDescent="0.25">
      <c r="E20" s="83" t="s">
        <v>60</v>
      </c>
      <c r="F20" s="84"/>
    </row>
    <row r="21" spans="3:6" ht="15.75" x14ac:dyDescent="0.25">
      <c r="E21" s="81" t="s">
        <v>61</v>
      </c>
      <c r="F21" s="82"/>
    </row>
    <row r="22" spans="3:6" ht="15.75" x14ac:dyDescent="0.25">
      <c r="E22" s="83" t="s">
        <v>146</v>
      </c>
      <c r="F22" s="84"/>
    </row>
    <row r="23" spans="3:6" ht="15.75" x14ac:dyDescent="0.25">
      <c r="E23" s="81" t="s">
        <v>147</v>
      </c>
      <c r="F23" s="82"/>
    </row>
    <row r="24" spans="3:6" ht="15.75" x14ac:dyDescent="0.25">
      <c r="E24" s="83" t="s">
        <v>205</v>
      </c>
      <c r="F24" s="84"/>
    </row>
    <row r="25" spans="3:6" ht="15.75" x14ac:dyDescent="0.25">
      <c r="E25" s="81" t="s">
        <v>66</v>
      </c>
      <c r="F25" s="82"/>
    </row>
    <row r="26" spans="3:6" ht="15.75" x14ac:dyDescent="0.25">
      <c r="E26" s="83" t="s">
        <v>175</v>
      </c>
      <c r="F26" s="84"/>
    </row>
    <row r="27" spans="3:6" ht="15.75" x14ac:dyDescent="0.25">
      <c r="E27" s="81" t="s">
        <v>184</v>
      </c>
      <c r="F27" s="82"/>
    </row>
    <row r="28" spans="3:6" ht="15.75" x14ac:dyDescent="0.25">
      <c r="E28" s="83" t="s">
        <v>203</v>
      </c>
      <c r="F28" s="84"/>
    </row>
    <row r="29" spans="3:6" ht="15.75" x14ac:dyDescent="0.25">
      <c r="E29" s="81" t="s">
        <v>182</v>
      </c>
      <c r="F29" s="82"/>
    </row>
    <row r="30" spans="3:6" ht="15.75" x14ac:dyDescent="0.25">
      <c r="E30" s="83" t="s">
        <v>145</v>
      </c>
      <c r="F30" s="84"/>
    </row>
    <row r="31" spans="3:6" ht="15.75" x14ac:dyDescent="0.25">
      <c r="E31" s="81" t="s">
        <v>163</v>
      </c>
      <c r="F31" s="82"/>
    </row>
    <row r="32" spans="3:6" ht="15.75" x14ac:dyDescent="0.25">
      <c r="E32" s="83" t="s">
        <v>67</v>
      </c>
      <c r="F32" s="84"/>
    </row>
    <row r="33" spans="5:6" ht="15.75" x14ac:dyDescent="0.25">
      <c r="E33" s="81" t="s">
        <v>69</v>
      </c>
      <c r="F33" s="82"/>
    </row>
    <row r="34" spans="5:6" ht="15.75" x14ac:dyDescent="0.25">
      <c r="E34" s="83" t="s">
        <v>70</v>
      </c>
      <c r="F34" s="84"/>
    </row>
    <row r="35" spans="5:6" ht="15.75" x14ac:dyDescent="0.25">
      <c r="E35" s="81" t="s">
        <v>71</v>
      </c>
      <c r="F35" s="82"/>
    </row>
    <row r="36" spans="5:6" ht="15.75" x14ac:dyDescent="0.25">
      <c r="E36" s="83" t="s">
        <v>72</v>
      </c>
      <c r="F36" s="84"/>
    </row>
    <row r="37" spans="5:6" ht="15.75" x14ac:dyDescent="0.25">
      <c r="E37" s="81" t="s">
        <v>143</v>
      </c>
      <c r="F37" s="82"/>
    </row>
    <row r="38" spans="5:6" ht="15.75" x14ac:dyDescent="0.25">
      <c r="E38" s="83" t="s">
        <v>142</v>
      </c>
      <c r="F38" s="84"/>
    </row>
    <row r="39" spans="5:6" ht="15.75" x14ac:dyDescent="0.25">
      <c r="E39" s="81" t="s">
        <v>177</v>
      </c>
      <c r="F39" s="82"/>
    </row>
    <row r="40" spans="5:6" ht="15.75" x14ac:dyDescent="0.25">
      <c r="E40" s="83" t="s">
        <v>178</v>
      </c>
      <c r="F40" s="84"/>
    </row>
    <row r="41" spans="5:6" ht="15.75" x14ac:dyDescent="0.25">
      <c r="E41" s="81" t="s">
        <v>73</v>
      </c>
      <c r="F41" s="82"/>
    </row>
    <row r="42" spans="5:6" ht="15.75" x14ac:dyDescent="0.25">
      <c r="E42" s="83" t="s">
        <v>179</v>
      </c>
      <c r="F42" s="84"/>
    </row>
    <row r="43" spans="5:6" ht="15.75" x14ac:dyDescent="0.25">
      <c r="E43" s="81" t="s">
        <v>74</v>
      </c>
      <c r="F43" s="82"/>
    </row>
    <row r="44" spans="5:6" ht="15.75" x14ac:dyDescent="0.25">
      <c r="E44" s="83" t="s">
        <v>180</v>
      </c>
      <c r="F44" s="84"/>
    </row>
    <row r="45" spans="5:6" ht="15.75" x14ac:dyDescent="0.25">
      <c r="E45" s="81" t="s">
        <v>207</v>
      </c>
      <c r="F45" s="82"/>
    </row>
    <row r="46" spans="5:6" ht="15.75" x14ac:dyDescent="0.25">
      <c r="E46" s="81" t="s">
        <v>221</v>
      </c>
      <c r="F46" s="85"/>
    </row>
    <row r="47" spans="5:6" ht="15.75" x14ac:dyDescent="0.25">
      <c r="E47" s="99" t="s">
        <v>222</v>
      </c>
      <c r="F47" s="82"/>
    </row>
    <row r="48" spans="5:6" ht="15.75" x14ac:dyDescent="0.25">
      <c r="E48" s="81" t="s">
        <v>223</v>
      </c>
      <c r="F48" s="84"/>
    </row>
    <row r="49" spans="5:6" ht="15.75" x14ac:dyDescent="0.25">
      <c r="E49" s="83" t="s">
        <v>224</v>
      </c>
      <c r="F49" s="82"/>
    </row>
    <row r="50" spans="5:6" ht="15.75" x14ac:dyDescent="0.25">
      <c r="E50" s="81"/>
      <c r="F50" s="84"/>
    </row>
    <row r="51" spans="5:6" ht="15.75" x14ac:dyDescent="0.25">
      <c r="E51" s="99"/>
      <c r="F51" s="82"/>
    </row>
  </sheetData>
  <dataValidations count="3">
    <dataValidation type="list" allowBlank="1" showInputMessage="1" showErrorMessage="1" sqref="H1" xr:uid="{B4653624-4885-4E91-915C-57ECB404D619}">
      <formula1>$I$1:$I$8</formula1>
    </dataValidation>
    <dataValidation type="list" allowBlank="1" showInputMessage="1" showErrorMessage="1" sqref="H2 B2" xr:uid="{E00B6CBC-98A2-4722-9A38-29B1620F9E44}">
      <formula1>$J$1:$J$2</formula1>
    </dataValidation>
    <dataValidation type="list" allowBlank="1" showInputMessage="1" showErrorMessage="1" sqref="B1" xr:uid="{E89A674E-24A6-48AC-A1B4-69D06394EA28}">
      <formula1>$G$1:$G$7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B57"/>
  <sheetViews>
    <sheetView topLeftCell="A22" zoomScale="80" zoomScaleNormal="80" workbookViewId="0">
      <selection activeCell="A49" sqref="A49:XFD49"/>
    </sheetView>
  </sheetViews>
  <sheetFormatPr defaultRowHeight="15.75" x14ac:dyDescent="0.2"/>
  <cols>
    <col min="1" max="2" width="21.42578125" style="37" customWidth="1"/>
    <col min="3" max="3" width="28.42578125" style="37" bestFit="1" customWidth="1"/>
    <col min="4" max="4" width="28.42578125" style="44" bestFit="1" customWidth="1"/>
    <col min="5" max="5" width="21.42578125" style="37" hidden="1" customWidth="1"/>
    <col min="6" max="6" width="21.42578125" style="37" customWidth="1"/>
    <col min="7" max="7" width="27.7109375" style="37" bestFit="1" customWidth="1"/>
    <col min="8" max="8" width="21.42578125" style="37" customWidth="1"/>
    <col min="9" max="9" width="21.42578125" style="37" hidden="1" customWidth="1"/>
    <col min="10" max="10" width="25.28515625" style="37" bestFit="1" customWidth="1"/>
    <col min="11" max="11" width="25.5703125" style="37" bestFit="1" customWidth="1"/>
    <col min="12" max="12" width="21.42578125" style="37" hidden="1" customWidth="1"/>
    <col min="13" max="13" width="17" style="37" customWidth="1"/>
    <col min="14" max="14" width="38.140625" style="37" bestFit="1" customWidth="1"/>
    <col min="15" max="16" width="21.42578125" style="37" customWidth="1"/>
    <col min="17" max="17" width="28.85546875" style="37" customWidth="1"/>
    <col min="18" max="18" width="21.42578125" style="37" customWidth="1"/>
    <col min="19" max="19" width="21.42578125" style="37" hidden="1" customWidth="1"/>
    <col min="20" max="20" width="39.5703125" style="37" bestFit="1" customWidth="1"/>
    <col min="21" max="54" width="21.42578125" style="37" customWidth="1"/>
    <col min="55" max="257" width="9.140625" style="38"/>
    <col min="258" max="258" width="21.42578125" style="38" customWidth="1"/>
    <col min="259" max="261" width="0" style="38" hidden="1" customWidth="1"/>
    <col min="262" max="310" width="21.42578125" style="38" customWidth="1"/>
    <col min="311" max="513" width="9.140625" style="38"/>
    <col min="514" max="514" width="21.42578125" style="38" customWidth="1"/>
    <col min="515" max="517" width="0" style="38" hidden="1" customWidth="1"/>
    <col min="518" max="566" width="21.42578125" style="38" customWidth="1"/>
    <col min="567" max="769" width="9.140625" style="38"/>
    <col min="770" max="770" width="21.42578125" style="38" customWidth="1"/>
    <col min="771" max="773" width="0" style="38" hidden="1" customWidth="1"/>
    <col min="774" max="822" width="21.42578125" style="38" customWidth="1"/>
    <col min="823" max="1025" width="9.140625" style="38"/>
    <col min="1026" max="1026" width="21.42578125" style="38" customWidth="1"/>
    <col min="1027" max="1029" width="0" style="38" hidden="1" customWidth="1"/>
    <col min="1030" max="1078" width="21.42578125" style="38" customWidth="1"/>
    <col min="1079" max="1281" width="9.140625" style="38"/>
    <col min="1282" max="1282" width="21.42578125" style="38" customWidth="1"/>
    <col min="1283" max="1285" width="0" style="38" hidden="1" customWidth="1"/>
    <col min="1286" max="1334" width="21.42578125" style="38" customWidth="1"/>
    <col min="1335" max="1537" width="9.140625" style="38"/>
    <col min="1538" max="1538" width="21.42578125" style="38" customWidth="1"/>
    <col min="1539" max="1541" width="0" style="38" hidden="1" customWidth="1"/>
    <col min="1542" max="1590" width="21.42578125" style="38" customWidth="1"/>
    <col min="1591" max="1793" width="9.140625" style="38"/>
    <col min="1794" max="1794" width="21.42578125" style="38" customWidth="1"/>
    <col min="1795" max="1797" width="0" style="38" hidden="1" customWidth="1"/>
    <col min="1798" max="1846" width="21.42578125" style="38" customWidth="1"/>
    <col min="1847" max="2049" width="9.140625" style="38"/>
    <col min="2050" max="2050" width="21.42578125" style="38" customWidth="1"/>
    <col min="2051" max="2053" width="0" style="38" hidden="1" customWidth="1"/>
    <col min="2054" max="2102" width="21.42578125" style="38" customWidth="1"/>
    <col min="2103" max="2305" width="9.140625" style="38"/>
    <col min="2306" max="2306" width="21.42578125" style="38" customWidth="1"/>
    <col min="2307" max="2309" width="0" style="38" hidden="1" customWidth="1"/>
    <col min="2310" max="2358" width="21.42578125" style="38" customWidth="1"/>
    <col min="2359" max="2561" width="9.140625" style="38"/>
    <col min="2562" max="2562" width="21.42578125" style="38" customWidth="1"/>
    <col min="2563" max="2565" width="0" style="38" hidden="1" customWidth="1"/>
    <col min="2566" max="2614" width="21.42578125" style="38" customWidth="1"/>
    <col min="2615" max="2817" width="9.140625" style="38"/>
    <col min="2818" max="2818" width="21.42578125" style="38" customWidth="1"/>
    <col min="2819" max="2821" width="0" style="38" hidden="1" customWidth="1"/>
    <col min="2822" max="2870" width="21.42578125" style="38" customWidth="1"/>
    <col min="2871" max="3073" width="9.140625" style="38"/>
    <col min="3074" max="3074" width="21.42578125" style="38" customWidth="1"/>
    <col min="3075" max="3077" width="0" style="38" hidden="1" customWidth="1"/>
    <col min="3078" max="3126" width="21.42578125" style="38" customWidth="1"/>
    <col min="3127" max="3329" width="9.140625" style="38"/>
    <col min="3330" max="3330" width="21.42578125" style="38" customWidth="1"/>
    <col min="3331" max="3333" width="0" style="38" hidden="1" customWidth="1"/>
    <col min="3334" max="3382" width="21.42578125" style="38" customWidth="1"/>
    <col min="3383" max="3585" width="9.140625" style="38"/>
    <col min="3586" max="3586" width="21.42578125" style="38" customWidth="1"/>
    <col min="3587" max="3589" width="0" style="38" hidden="1" customWidth="1"/>
    <col min="3590" max="3638" width="21.42578125" style="38" customWidth="1"/>
    <col min="3639" max="3841" width="9.140625" style="38"/>
    <col min="3842" max="3842" width="21.42578125" style="38" customWidth="1"/>
    <col min="3843" max="3845" width="0" style="38" hidden="1" customWidth="1"/>
    <col min="3846" max="3894" width="21.42578125" style="38" customWidth="1"/>
    <col min="3895" max="4097" width="9.140625" style="38"/>
    <col min="4098" max="4098" width="21.42578125" style="38" customWidth="1"/>
    <col min="4099" max="4101" width="0" style="38" hidden="1" customWidth="1"/>
    <col min="4102" max="4150" width="21.42578125" style="38" customWidth="1"/>
    <col min="4151" max="4353" width="9.140625" style="38"/>
    <col min="4354" max="4354" width="21.42578125" style="38" customWidth="1"/>
    <col min="4355" max="4357" width="0" style="38" hidden="1" customWidth="1"/>
    <col min="4358" max="4406" width="21.42578125" style="38" customWidth="1"/>
    <col min="4407" max="4609" width="9.140625" style="38"/>
    <col min="4610" max="4610" width="21.42578125" style="38" customWidth="1"/>
    <col min="4611" max="4613" width="0" style="38" hidden="1" customWidth="1"/>
    <col min="4614" max="4662" width="21.42578125" style="38" customWidth="1"/>
    <col min="4663" max="4865" width="9.140625" style="38"/>
    <col min="4866" max="4866" width="21.42578125" style="38" customWidth="1"/>
    <col min="4867" max="4869" width="0" style="38" hidden="1" customWidth="1"/>
    <col min="4870" max="4918" width="21.42578125" style="38" customWidth="1"/>
    <col min="4919" max="5121" width="9.140625" style="38"/>
    <col min="5122" max="5122" width="21.42578125" style="38" customWidth="1"/>
    <col min="5123" max="5125" width="0" style="38" hidden="1" customWidth="1"/>
    <col min="5126" max="5174" width="21.42578125" style="38" customWidth="1"/>
    <col min="5175" max="5377" width="9.140625" style="38"/>
    <col min="5378" max="5378" width="21.42578125" style="38" customWidth="1"/>
    <col min="5379" max="5381" width="0" style="38" hidden="1" customWidth="1"/>
    <col min="5382" max="5430" width="21.42578125" style="38" customWidth="1"/>
    <col min="5431" max="5633" width="9.140625" style="38"/>
    <col min="5634" max="5634" width="21.42578125" style="38" customWidth="1"/>
    <col min="5635" max="5637" width="0" style="38" hidden="1" customWidth="1"/>
    <col min="5638" max="5686" width="21.42578125" style="38" customWidth="1"/>
    <col min="5687" max="5889" width="9.140625" style="38"/>
    <col min="5890" max="5890" width="21.42578125" style="38" customWidth="1"/>
    <col min="5891" max="5893" width="0" style="38" hidden="1" customWidth="1"/>
    <col min="5894" max="5942" width="21.42578125" style="38" customWidth="1"/>
    <col min="5943" max="6145" width="9.140625" style="38"/>
    <col min="6146" max="6146" width="21.42578125" style="38" customWidth="1"/>
    <col min="6147" max="6149" width="0" style="38" hidden="1" customWidth="1"/>
    <col min="6150" max="6198" width="21.42578125" style="38" customWidth="1"/>
    <col min="6199" max="6401" width="9.140625" style="38"/>
    <col min="6402" max="6402" width="21.42578125" style="38" customWidth="1"/>
    <col min="6403" max="6405" width="0" style="38" hidden="1" customWidth="1"/>
    <col min="6406" max="6454" width="21.42578125" style="38" customWidth="1"/>
    <col min="6455" max="6657" width="9.140625" style="38"/>
    <col min="6658" max="6658" width="21.42578125" style="38" customWidth="1"/>
    <col min="6659" max="6661" width="0" style="38" hidden="1" customWidth="1"/>
    <col min="6662" max="6710" width="21.42578125" style="38" customWidth="1"/>
    <col min="6711" max="6913" width="9.140625" style="38"/>
    <col min="6914" max="6914" width="21.42578125" style="38" customWidth="1"/>
    <col min="6915" max="6917" width="0" style="38" hidden="1" customWidth="1"/>
    <col min="6918" max="6966" width="21.42578125" style="38" customWidth="1"/>
    <col min="6967" max="7169" width="9.140625" style="38"/>
    <col min="7170" max="7170" width="21.42578125" style="38" customWidth="1"/>
    <col min="7171" max="7173" width="0" style="38" hidden="1" customWidth="1"/>
    <col min="7174" max="7222" width="21.42578125" style="38" customWidth="1"/>
    <col min="7223" max="7425" width="9.140625" style="38"/>
    <col min="7426" max="7426" width="21.42578125" style="38" customWidth="1"/>
    <col min="7427" max="7429" width="0" style="38" hidden="1" customWidth="1"/>
    <col min="7430" max="7478" width="21.42578125" style="38" customWidth="1"/>
    <col min="7479" max="7681" width="9.140625" style="38"/>
    <col min="7682" max="7682" width="21.42578125" style="38" customWidth="1"/>
    <col min="7683" max="7685" width="0" style="38" hidden="1" customWidth="1"/>
    <col min="7686" max="7734" width="21.42578125" style="38" customWidth="1"/>
    <col min="7735" max="7937" width="9.140625" style="38"/>
    <col min="7938" max="7938" width="21.42578125" style="38" customWidth="1"/>
    <col min="7939" max="7941" width="0" style="38" hidden="1" customWidth="1"/>
    <col min="7942" max="7990" width="21.42578125" style="38" customWidth="1"/>
    <col min="7991" max="8193" width="9.140625" style="38"/>
    <col min="8194" max="8194" width="21.42578125" style="38" customWidth="1"/>
    <col min="8195" max="8197" width="0" style="38" hidden="1" customWidth="1"/>
    <col min="8198" max="8246" width="21.42578125" style="38" customWidth="1"/>
    <col min="8247" max="8449" width="9.140625" style="38"/>
    <col min="8450" max="8450" width="21.42578125" style="38" customWidth="1"/>
    <col min="8451" max="8453" width="0" style="38" hidden="1" customWidth="1"/>
    <col min="8454" max="8502" width="21.42578125" style="38" customWidth="1"/>
    <col min="8503" max="8705" width="9.140625" style="38"/>
    <col min="8706" max="8706" width="21.42578125" style="38" customWidth="1"/>
    <col min="8707" max="8709" width="0" style="38" hidden="1" customWidth="1"/>
    <col min="8710" max="8758" width="21.42578125" style="38" customWidth="1"/>
    <col min="8759" max="8961" width="9.140625" style="38"/>
    <col min="8962" max="8962" width="21.42578125" style="38" customWidth="1"/>
    <col min="8963" max="8965" width="0" style="38" hidden="1" customWidth="1"/>
    <col min="8966" max="9014" width="21.42578125" style="38" customWidth="1"/>
    <col min="9015" max="9217" width="9.140625" style="38"/>
    <col min="9218" max="9218" width="21.42578125" style="38" customWidth="1"/>
    <col min="9219" max="9221" width="0" style="38" hidden="1" customWidth="1"/>
    <col min="9222" max="9270" width="21.42578125" style="38" customWidth="1"/>
    <col min="9271" max="9473" width="9.140625" style="38"/>
    <col min="9474" max="9474" width="21.42578125" style="38" customWidth="1"/>
    <col min="9475" max="9477" width="0" style="38" hidden="1" customWidth="1"/>
    <col min="9478" max="9526" width="21.42578125" style="38" customWidth="1"/>
    <col min="9527" max="9729" width="9.140625" style="38"/>
    <col min="9730" max="9730" width="21.42578125" style="38" customWidth="1"/>
    <col min="9731" max="9733" width="0" style="38" hidden="1" customWidth="1"/>
    <col min="9734" max="9782" width="21.42578125" style="38" customWidth="1"/>
    <col min="9783" max="9985" width="9.140625" style="38"/>
    <col min="9986" max="9986" width="21.42578125" style="38" customWidth="1"/>
    <col min="9987" max="9989" width="0" style="38" hidden="1" customWidth="1"/>
    <col min="9990" max="10038" width="21.42578125" style="38" customWidth="1"/>
    <col min="10039" max="10241" width="9.140625" style="38"/>
    <col min="10242" max="10242" width="21.42578125" style="38" customWidth="1"/>
    <col min="10243" max="10245" width="0" style="38" hidden="1" customWidth="1"/>
    <col min="10246" max="10294" width="21.42578125" style="38" customWidth="1"/>
    <col min="10295" max="10497" width="9.140625" style="38"/>
    <col min="10498" max="10498" width="21.42578125" style="38" customWidth="1"/>
    <col min="10499" max="10501" width="0" style="38" hidden="1" customWidth="1"/>
    <col min="10502" max="10550" width="21.42578125" style="38" customWidth="1"/>
    <col min="10551" max="10753" width="9.140625" style="38"/>
    <col min="10754" max="10754" width="21.42578125" style="38" customWidth="1"/>
    <col min="10755" max="10757" width="0" style="38" hidden="1" customWidth="1"/>
    <col min="10758" max="10806" width="21.42578125" style="38" customWidth="1"/>
    <col min="10807" max="11009" width="9.140625" style="38"/>
    <col min="11010" max="11010" width="21.42578125" style="38" customWidth="1"/>
    <col min="11011" max="11013" width="0" style="38" hidden="1" customWidth="1"/>
    <col min="11014" max="11062" width="21.42578125" style="38" customWidth="1"/>
    <col min="11063" max="11265" width="9.140625" style="38"/>
    <col min="11266" max="11266" width="21.42578125" style="38" customWidth="1"/>
    <col min="11267" max="11269" width="0" style="38" hidden="1" customWidth="1"/>
    <col min="11270" max="11318" width="21.42578125" style="38" customWidth="1"/>
    <col min="11319" max="11521" width="9.140625" style="38"/>
    <col min="11522" max="11522" width="21.42578125" style="38" customWidth="1"/>
    <col min="11523" max="11525" width="0" style="38" hidden="1" customWidth="1"/>
    <col min="11526" max="11574" width="21.42578125" style="38" customWidth="1"/>
    <col min="11575" max="11777" width="9.140625" style="38"/>
    <col min="11778" max="11778" width="21.42578125" style="38" customWidth="1"/>
    <col min="11779" max="11781" width="0" style="38" hidden="1" customWidth="1"/>
    <col min="11782" max="11830" width="21.42578125" style="38" customWidth="1"/>
    <col min="11831" max="12033" width="9.140625" style="38"/>
    <col min="12034" max="12034" width="21.42578125" style="38" customWidth="1"/>
    <col min="12035" max="12037" width="0" style="38" hidden="1" customWidth="1"/>
    <col min="12038" max="12086" width="21.42578125" style="38" customWidth="1"/>
    <col min="12087" max="12289" width="9.140625" style="38"/>
    <col min="12290" max="12290" width="21.42578125" style="38" customWidth="1"/>
    <col min="12291" max="12293" width="0" style="38" hidden="1" customWidth="1"/>
    <col min="12294" max="12342" width="21.42578125" style="38" customWidth="1"/>
    <col min="12343" max="12545" width="9.140625" style="38"/>
    <col min="12546" max="12546" width="21.42578125" style="38" customWidth="1"/>
    <col min="12547" max="12549" width="0" style="38" hidden="1" customWidth="1"/>
    <col min="12550" max="12598" width="21.42578125" style="38" customWidth="1"/>
    <col min="12599" max="12801" width="9.140625" style="38"/>
    <col min="12802" max="12802" width="21.42578125" style="38" customWidth="1"/>
    <col min="12803" max="12805" width="0" style="38" hidden="1" customWidth="1"/>
    <col min="12806" max="12854" width="21.42578125" style="38" customWidth="1"/>
    <col min="12855" max="13057" width="9.140625" style="38"/>
    <col min="13058" max="13058" width="21.42578125" style="38" customWidth="1"/>
    <col min="13059" max="13061" width="0" style="38" hidden="1" customWidth="1"/>
    <col min="13062" max="13110" width="21.42578125" style="38" customWidth="1"/>
    <col min="13111" max="13313" width="9.140625" style="38"/>
    <col min="13314" max="13314" width="21.42578125" style="38" customWidth="1"/>
    <col min="13315" max="13317" width="0" style="38" hidden="1" customWidth="1"/>
    <col min="13318" max="13366" width="21.42578125" style="38" customWidth="1"/>
    <col min="13367" max="13569" width="9.140625" style="38"/>
    <col min="13570" max="13570" width="21.42578125" style="38" customWidth="1"/>
    <col min="13571" max="13573" width="0" style="38" hidden="1" customWidth="1"/>
    <col min="13574" max="13622" width="21.42578125" style="38" customWidth="1"/>
    <col min="13623" max="13825" width="9.140625" style="38"/>
    <col min="13826" max="13826" width="21.42578125" style="38" customWidth="1"/>
    <col min="13827" max="13829" width="0" style="38" hidden="1" customWidth="1"/>
    <col min="13830" max="13878" width="21.42578125" style="38" customWidth="1"/>
    <col min="13879" max="14081" width="9.140625" style="38"/>
    <col min="14082" max="14082" width="21.42578125" style="38" customWidth="1"/>
    <col min="14083" max="14085" width="0" style="38" hidden="1" customWidth="1"/>
    <col min="14086" max="14134" width="21.42578125" style="38" customWidth="1"/>
    <col min="14135" max="14337" width="9.140625" style="38"/>
    <col min="14338" max="14338" width="21.42578125" style="38" customWidth="1"/>
    <col min="14339" max="14341" width="0" style="38" hidden="1" customWidth="1"/>
    <col min="14342" max="14390" width="21.42578125" style="38" customWidth="1"/>
    <col min="14391" max="14593" width="9.140625" style="38"/>
    <col min="14594" max="14594" width="21.42578125" style="38" customWidth="1"/>
    <col min="14595" max="14597" width="0" style="38" hidden="1" customWidth="1"/>
    <col min="14598" max="14646" width="21.42578125" style="38" customWidth="1"/>
    <col min="14647" max="14849" width="9.140625" style="38"/>
    <col min="14850" max="14850" width="21.42578125" style="38" customWidth="1"/>
    <col min="14851" max="14853" width="0" style="38" hidden="1" customWidth="1"/>
    <col min="14854" max="14902" width="21.42578125" style="38" customWidth="1"/>
    <col min="14903" max="15105" width="9.140625" style="38"/>
    <col min="15106" max="15106" width="21.42578125" style="38" customWidth="1"/>
    <col min="15107" max="15109" width="0" style="38" hidden="1" customWidth="1"/>
    <col min="15110" max="15158" width="21.42578125" style="38" customWidth="1"/>
    <col min="15159" max="15361" width="9.140625" style="38"/>
    <col min="15362" max="15362" width="21.42578125" style="38" customWidth="1"/>
    <col min="15363" max="15365" width="0" style="38" hidden="1" customWidth="1"/>
    <col min="15366" max="15414" width="21.42578125" style="38" customWidth="1"/>
    <col min="15415" max="15617" width="9.140625" style="38"/>
    <col min="15618" max="15618" width="21.42578125" style="38" customWidth="1"/>
    <col min="15619" max="15621" width="0" style="38" hidden="1" customWidth="1"/>
    <col min="15622" max="15670" width="21.42578125" style="38" customWidth="1"/>
    <col min="15671" max="15873" width="9.140625" style="38"/>
    <col min="15874" max="15874" width="21.42578125" style="38" customWidth="1"/>
    <col min="15875" max="15877" width="0" style="38" hidden="1" customWidth="1"/>
    <col min="15878" max="15926" width="21.42578125" style="38" customWidth="1"/>
    <col min="15927" max="16129" width="9.140625" style="38"/>
    <col min="16130" max="16130" width="21.42578125" style="38" customWidth="1"/>
    <col min="16131" max="16133" width="0" style="38" hidden="1" customWidth="1"/>
    <col min="16134" max="16182" width="21.42578125" style="38" customWidth="1"/>
    <col min="16183" max="16384" width="9.140625" style="38"/>
  </cols>
  <sheetData>
    <row r="1" spans="1:22" x14ac:dyDescent="0.2">
      <c r="A1" s="37" t="s">
        <v>0</v>
      </c>
      <c r="B1" s="37" t="s">
        <v>1</v>
      </c>
      <c r="C1" s="37" t="s">
        <v>166</v>
      </c>
      <c r="D1" s="37" t="s">
        <v>2</v>
      </c>
      <c r="E1" s="37" t="s">
        <v>5</v>
      </c>
      <c r="G1" s="45" t="s">
        <v>215</v>
      </c>
      <c r="H1" s="76">
        <f>H12</f>
        <v>0</v>
      </c>
      <c r="I1" s="37" t="s">
        <v>8</v>
      </c>
      <c r="L1" s="37" t="s">
        <v>9</v>
      </c>
      <c r="S1" s="37" t="s">
        <v>18</v>
      </c>
      <c r="U1" s="43"/>
      <c r="V1" s="37" t="s">
        <v>68</v>
      </c>
    </row>
    <row r="2" spans="1:22" x14ac:dyDescent="0.2">
      <c r="A2" s="39" t="s">
        <v>171</v>
      </c>
      <c r="B2" s="44">
        <f>Inputs!F3</f>
        <v>0</v>
      </c>
      <c r="C2" s="39" t="str">
        <f>IF($B2&lt;&gt;"x","",IFERROR(_xlfn.XLOOKUP($A2,'Staffing sheet 1ST Shift'!$A:$A,'Staffing sheet 1ST Shift'!$I:$I,""),""))</f>
        <v/>
      </c>
      <c r="D2" s="45"/>
      <c r="E2" s="37" t="s">
        <v>12</v>
      </c>
      <c r="G2" s="45" t="s">
        <v>216</v>
      </c>
      <c r="H2" s="76">
        <f>COUNTIF(D2:D48,"*Tasking*")+COUNTIF(D2:D48,"*Replenishment*")+COUNTIF(D2:D48,"*Putaways*")+COUNTIF(D2:D48,"* Full Pallet*")</f>
        <v>0</v>
      </c>
      <c r="I2" s="47" t="s">
        <v>14</v>
      </c>
      <c r="J2" s="78"/>
      <c r="L2" s="37" t="s">
        <v>15</v>
      </c>
      <c r="S2" s="37" t="s">
        <v>28</v>
      </c>
      <c r="U2" s="43"/>
      <c r="V2" s="37" t="s">
        <v>32</v>
      </c>
    </row>
    <row r="3" spans="1:22" x14ac:dyDescent="0.2">
      <c r="A3" s="39" t="s">
        <v>16</v>
      </c>
      <c r="B3" s="44">
        <f>Inputs!F4</f>
        <v>0</v>
      </c>
      <c r="C3" s="39" t="str">
        <f>IF($B3&lt;&gt;"x","",IFERROR(_xlfn.XLOOKUP($A3,'Staffing sheet 1ST Shift'!$A:$A,'Staffing sheet 1ST Shift'!$I:$I,""),""))</f>
        <v/>
      </c>
      <c r="D3" s="45"/>
      <c r="G3" s="45" t="s">
        <v>217</v>
      </c>
      <c r="H3" s="76">
        <f>H10</f>
        <v>0</v>
      </c>
      <c r="I3" s="47"/>
      <c r="J3" s="76"/>
      <c r="S3" s="37" t="s">
        <v>23</v>
      </c>
      <c r="U3" s="43"/>
      <c r="V3" s="37" t="s">
        <v>210</v>
      </c>
    </row>
    <row r="4" spans="1:22" x14ac:dyDescent="0.2">
      <c r="A4" s="39" t="s">
        <v>144</v>
      </c>
      <c r="B4" s="44">
        <f>Inputs!F5</f>
        <v>0</v>
      </c>
      <c r="C4" s="39" t="str">
        <f>IF($B4&lt;&gt;"x","",IFERROR(_xlfn.XLOOKUP($A4,'Staffing sheet 1ST Shift'!$A:$A,'Staffing sheet 1ST Shift'!$I:$I,""),""))</f>
        <v/>
      </c>
      <c r="D4" s="45"/>
      <c r="G4" s="45" t="s">
        <v>218</v>
      </c>
      <c r="H4" s="76">
        <f>H9</f>
        <v>0</v>
      </c>
      <c r="I4" s="48" t="s">
        <v>21</v>
      </c>
      <c r="J4" s="78"/>
      <c r="S4" s="37" t="s">
        <v>68</v>
      </c>
      <c r="U4" s="43"/>
      <c r="V4" s="37" t="s">
        <v>23</v>
      </c>
    </row>
    <row r="5" spans="1:22" x14ac:dyDescent="0.2">
      <c r="A5" s="39" t="s">
        <v>191</v>
      </c>
      <c r="B5" s="44">
        <f>Inputs!F6</f>
        <v>0</v>
      </c>
      <c r="C5" s="39" t="str">
        <f>IF($B5&lt;&gt;"x","",IFERROR(_xlfn.XLOOKUP($A5,'Staffing sheet 1ST Shift'!$A:$A,'Staffing sheet 1ST Shift'!$I:$I,""),""))</f>
        <v/>
      </c>
      <c r="D5" s="45"/>
      <c r="G5" s="45" t="s">
        <v>219</v>
      </c>
      <c r="H5" s="77">
        <f>H15</f>
        <v>0</v>
      </c>
      <c r="I5" s="49" t="s">
        <v>26</v>
      </c>
      <c r="S5" s="37" t="s">
        <v>17</v>
      </c>
      <c r="V5" s="37" t="s">
        <v>209</v>
      </c>
    </row>
    <row r="6" spans="1:22" x14ac:dyDescent="0.2">
      <c r="A6" s="39" t="s">
        <v>189</v>
      </c>
      <c r="B6" s="44">
        <f>Inputs!F7</f>
        <v>0</v>
      </c>
      <c r="C6" s="39" t="str">
        <f>IF($B6&lt;&gt;"x","",IFERROR(_xlfn.XLOOKUP($A6,'Staffing sheet 1ST Shift'!$A:$A,'Staffing sheet 1ST Shift'!$I:$I,""),""))</f>
        <v/>
      </c>
      <c r="D6" s="45"/>
      <c r="G6" s="45"/>
      <c r="H6" s="77"/>
      <c r="I6" s="48" t="s">
        <v>7</v>
      </c>
      <c r="S6" s="37" t="s">
        <v>32</v>
      </c>
      <c r="V6" s="37" t="s">
        <v>18</v>
      </c>
    </row>
    <row r="7" spans="1:22" x14ac:dyDescent="0.2">
      <c r="A7" s="39" t="s">
        <v>22</v>
      </c>
      <c r="B7" s="44">
        <f>Inputs!F8</f>
        <v>0</v>
      </c>
      <c r="C7" s="39" t="str">
        <f>IF($B7&lt;&gt;"x","",IFERROR(_xlfn.XLOOKUP($A7,'Staffing sheet 1ST Shift'!$A:$A,'Staffing sheet 1ST Shift'!$I:$I,""),""))</f>
        <v/>
      </c>
      <c r="D7" s="45"/>
      <c r="G7" s="44"/>
      <c r="H7" s="77"/>
      <c r="I7" s="49" t="s">
        <v>30</v>
      </c>
      <c r="V7" s="37" t="s">
        <v>28</v>
      </c>
    </row>
    <row r="8" spans="1:22" x14ac:dyDescent="0.2">
      <c r="A8" s="39" t="s">
        <v>27</v>
      </c>
      <c r="B8" s="44">
        <f>Inputs!F9</f>
        <v>0</v>
      </c>
      <c r="C8" s="39" t="str">
        <f>IF($B8&lt;&gt;"x","",IFERROR(_xlfn.XLOOKUP($A8,'Staffing sheet 1ST Shift'!$A:$A,'Staffing sheet 1ST Shift'!$I:$I,""),""))</f>
        <v/>
      </c>
      <c r="D8" s="45"/>
      <c r="G8" s="37" t="s">
        <v>33</v>
      </c>
      <c r="H8" s="37" t="s">
        <v>34</v>
      </c>
      <c r="I8" s="37" t="s">
        <v>35</v>
      </c>
      <c r="J8" s="37" t="s">
        <v>36</v>
      </c>
      <c r="K8" s="37" t="s">
        <v>37</v>
      </c>
      <c r="M8" s="37" t="s">
        <v>38</v>
      </c>
      <c r="N8" s="37" t="s">
        <v>39</v>
      </c>
      <c r="O8" s="37" t="s">
        <v>40</v>
      </c>
      <c r="P8" s="37" t="s">
        <v>41</v>
      </c>
      <c r="Q8" s="37" t="s">
        <v>42</v>
      </c>
      <c r="R8" s="37" t="s">
        <v>43</v>
      </c>
      <c r="S8" s="37" t="s">
        <v>44</v>
      </c>
      <c r="T8" s="37" t="s">
        <v>45</v>
      </c>
      <c r="V8" s="37" t="s">
        <v>208</v>
      </c>
    </row>
    <row r="9" spans="1:22" x14ac:dyDescent="0.25">
      <c r="A9" s="39" t="s">
        <v>46</v>
      </c>
      <c r="B9" s="44">
        <f>Inputs!F10</f>
        <v>0</v>
      </c>
      <c r="C9" s="39" t="str">
        <f>IF($B9&lt;&gt;"x","",IFERROR(_xlfn.XLOOKUP($A9,'Staffing sheet 1ST Shift'!$A:$A,'Staffing sheet 1ST Shift'!$I:$I,""),""))</f>
        <v/>
      </c>
      <c r="D9" s="45"/>
      <c r="G9" s="40" t="s">
        <v>47</v>
      </c>
      <c r="H9" s="37">
        <f>COUNTIF(D1:D48, "Unloading")</f>
        <v>0</v>
      </c>
      <c r="J9" s="37" t="s">
        <v>48</v>
      </c>
      <c r="K9" s="42">
        <f>2</f>
        <v>2</v>
      </c>
      <c r="M9" s="42">
        <f>Table2[[#This Row],[Available Staff ]]-Table2[[#This Row],[Needed ]]</f>
        <v>-2</v>
      </c>
      <c r="N9" s="42">
        <f>Table5[[#This Row],[Workers Gap]]*H3</f>
        <v>0</v>
      </c>
      <c r="O9" s="37" t="str">
        <f t="shared" ref="O9:O15" si="0">IF(M9&lt;0,"Understaffed",IF(M9=0,"Good","Overstaffed"))</f>
        <v>Understaffed</v>
      </c>
      <c r="P9" s="43">
        <f>ROUNDUP(P11/2,0)</f>
        <v>0</v>
      </c>
      <c r="Q9" s="37">
        <f>44*'Crew Sheet'!H3*Table2[[#This Row],[Available Staff ]]</f>
        <v>0</v>
      </c>
      <c r="R9" s="50" t="e">
        <f>Table4[[#This Row],[Expected Completed Cases]]/Table4[[#This Row],[Expected Volume]]</f>
        <v>#DIV/0!</v>
      </c>
      <c r="S9" s="50" t="str">
        <f t="shared" ref="S9:S15" si="1">IF($G9="Picking","PROTECT - PICKING BOTTLENECK",IF($O9="Understaffed","URGENT - ADD STAFF",IF(AND($O9="Overstaffed",$R9&gt;=100%),"AVAILABLE TO MOVE",IF(AND($O9="Overstaffed",$R9&lt;100%),"HIGH - DO NOT PULL","OK"))))</f>
        <v>URGENT - ADD STAFF</v>
      </c>
      <c r="T9" s="37" t="str">
        <f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10" spans="1:22" x14ac:dyDescent="0.25">
      <c r="A10" s="39" t="s">
        <v>49</v>
      </c>
      <c r="B10" s="44">
        <f>Inputs!F11</f>
        <v>0</v>
      </c>
      <c r="C10" s="39" t="str">
        <f>IF($B10&lt;&gt;"x","",IFERROR(_xlfn.XLOOKUP($A10,'Staffing sheet 1ST Shift'!$A:$A,'Staffing sheet 1ST Shift'!$I:$I,""),""))</f>
        <v/>
      </c>
      <c r="D10" s="45"/>
      <c r="G10" s="40" t="s">
        <v>50</v>
      </c>
      <c r="H10" s="37">
        <f>COUNTIF(D2:D48, "Receiving")</f>
        <v>0</v>
      </c>
      <c r="J10" s="37" t="s">
        <v>48</v>
      </c>
      <c r="K10" s="42">
        <v>2</v>
      </c>
      <c r="M10" s="42">
        <f>Table2[[#This Row],[Available Staff ]]-Table2[[#This Row],[Needed ]]</f>
        <v>-2</v>
      </c>
      <c r="N10" s="42">
        <f>Table5[[#This Row],[Workers Gap]]*$H$3</f>
        <v>0</v>
      </c>
      <c r="O10" s="37" t="str">
        <f t="shared" si="0"/>
        <v>Understaffed</v>
      </c>
      <c r="P10" s="43">
        <f>ROUNDUP(P11/2,0)</f>
        <v>0</v>
      </c>
      <c r="Q10" s="37">
        <f>44*H3*Table2[[#This Row],[Available Staff ]]</f>
        <v>0</v>
      </c>
      <c r="R10" s="50" t="e">
        <f>Table4[[#This Row],[Expected Completed Cases]]/Table4[[#This Row],[Expected Volume]]</f>
        <v>#DIV/0!</v>
      </c>
      <c r="S10" s="50" t="str">
        <f t="shared" si="1"/>
        <v>URGENT - ADD STAFF</v>
      </c>
      <c r="T10" s="37" t="str">
        <f t="shared" ref="T10:T15" si="2">IF(M10&lt;0,"Need "&amp;ROUND(ABS(M10),1)&amp;" more workers / "&amp;ROUND(ABS(N10),1)&amp;" labor hrs",IF(M10&gt;0,"Can move "&amp;ROUND(M10,1)&amp;" workers / "&amp;ROUND(N10,1)&amp;" labor hrs","Balanced Staffing"))</f>
        <v>Need 2 more workers / 0 labor hrs</v>
      </c>
    </row>
    <row r="11" spans="1:22" x14ac:dyDescent="0.25">
      <c r="A11" s="39" t="s">
        <v>51</v>
      </c>
      <c r="B11" s="44">
        <f>Inputs!F12</f>
        <v>0</v>
      </c>
      <c r="C11" s="39" t="str">
        <f>IF($B11&lt;&gt;"x","",IFERROR(_xlfn.XLOOKUP($A11,'Staffing sheet 1ST Shift'!$A:$A,'Staffing sheet 1ST Shift'!$I:$I,""),""))</f>
        <v/>
      </c>
      <c r="D11" s="45"/>
      <c r="G11" s="40" t="s">
        <v>52</v>
      </c>
      <c r="H11" s="37">
        <f>COUNTIF(D2:D48, "Putaways")</f>
        <v>0</v>
      </c>
      <c r="J11" s="37" t="s">
        <v>48</v>
      </c>
      <c r="K11" s="42">
        <f>('Staffing Forecast'!AB13/2)/(25*Inputs!B4)</f>
        <v>0</v>
      </c>
      <c r="M11" s="42">
        <f>Table2[[#This Row],[Available Staff ]]-Table2[[#This Row],[Needed ]]</f>
        <v>0</v>
      </c>
      <c r="N11" s="42">
        <f>Table5[[#This Row],[Workers Gap]]*$H$3</f>
        <v>0</v>
      </c>
      <c r="O11" s="37" t="str">
        <f t="shared" si="0"/>
        <v>Good</v>
      </c>
      <c r="P11" s="43">
        <f>IF(H2="1st",'Staffing Forecast'!AB13*0.52, 'Staffing Forecast'!AB13*0.48)</f>
        <v>0</v>
      </c>
      <c r="Q11" s="42">
        <f>25*H3*Table2[[#This Row],[Available Staff ]]</f>
        <v>0</v>
      </c>
      <c r="R11" s="50" t="e">
        <f>Table4[[#This Row],[Expected Completed Cases]]/Table4[[#This Row],[Expected Volume]]</f>
        <v>#DIV/0!</v>
      </c>
      <c r="S11" s="50" t="e">
        <f t="shared" si="1"/>
        <v>#DIV/0!</v>
      </c>
      <c r="T11" s="37" t="str">
        <f t="shared" si="2"/>
        <v>Balanced Staffing</v>
      </c>
    </row>
    <row r="12" spans="1:22" x14ac:dyDescent="0.25">
      <c r="A12" s="39" t="s">
        <v>53</v>
      </c>
      <c r="B12" s="44">
        <f>Inputs!F13</f>
        <v>0</v>
      </c>
      <c r="C12" s="39" t="str">
        <f>IF($B12&lt;&gt;"x","",IFERROR(_xlfn.XLOOKUP($A12,'Staffing sheet 1ST Shift'!$A:$A,'Staffing sheet 1ST Shift'!$I:$I,""),""))</f>
        <v/>
      </c>
      <c r="D12" s="45"/>
      <c r="G12" s="40" t="s">
        <v>10</v>
      </c>
      <c r="H12" s="37">
        <f>COUNTIF(D2:D49, "Picking")</f>
        <v>0</v>
      </c>
      <c r="J12" s="37" t="s">
        <v>54</v>
      </c>
      <c r="K12" s="42">
        <f>(Inputs!B5/(185*Inputs!B4))</f>
        <v>0</v>
      </c>
      <c r="M12" s="42">
        <f>Table2[[#This Row],[Available Staff ]]-Table2[[#This Row],[Needed ]]</f>
        <v>0</v>
      </c>
      <c r="N12" s="42">
        <f>Table5[[#This Row],[Workers Gap]]*$H$3</f>
        <v>0</v>
      </c>
      <c r="O12" s="37" t="str">
        <f t="shared" si="0"/>
        <v>Good</v>
      </c>
      <c r="P12" s="43">
        <f>H5</f>
        <v>0</v>
      </c>
      <c r="Q12" s="43">
        <f>185*'Crew Sheet'!H3*Table2[[#This Row],[Available Staff ]]</f>
        <v>0</v>
      </c>
      <c r="R12" s="50" t="e">
        <f>Table4[[#This Row],[Expected Completed Cases]]/Table4[[#This Row],[Expected Volume]]</f>
        <v>#DIV/0!</v>
      </c>
      <c r="S12" s="50" t="e">
        <f t="shared" si="1"/>
        <v>#DIV/0!</v>
      </c>
      <c r="T12" s="37" t="str">
        <f t="shared" si="2"/>
        <v>Balanced Staffing</v>
      </c>
    </row>
    <row r="13" spans="1:22" x14ac:dyDescent="0.25">
      <c r="A13" s="39" t="s">
        <v>55</v>
      </c>
      <c r="B13" s="44">
        <f>Inputs!F14</f>
        <v>0</v>
      </c>
      <c r="C13" s="39" t="str">
        <f>IF($B13&lt;&gt;"x","",IFERROR(_xlfn.XLOOKUP($A13,'Staffing sheet 1ST Shift'!$A:$A,'Staffing sheet 1ST Shift'!$I:$I,""),""))</f>
        <v/>
      </c>
      <c r="D13" s="45"/>
      <c r="G13" s="40" t="s">
        <v>32</v>
      </c>
      <c r="H13" s="37">
        <f>COUNTIF(D2:D50, "Replenishment")</f>
        <v>0</v>
      </c>
      <c r="J13" s="37" t="s">
        <v>54</v>
      </c>
      <c r="K13" s="42">
        <f>(Inputs!B5/70)/(25*8.5)</f>
        <v>0</v>
      </c>
      <c r="M13" s="42">
        <f>Table2[[#This Row],[Available Staff ]]-Table2[[#This Row],[Needed ]]</f>
        <v>0</v>
      </c>
      <c r="N13" s="42">
        <f>Table5[[#This Row],[Workers Gap]]*$H$3</f>
        <v>0</v>
      </c>
      <c r="O13" s="37" t="str">
        <f t="shared" si="0"/>
        <v>Good</v>
      </c>
      <c r="P13" s="43">
        <f>H5/70</f>
        <v>0</v>
      </c>
      <c r="Q13" s="43">
        <f>25*H3*Table2[[#This Row],[Available Staff ]]</f>
        <v>0</v>
      </c>
      <c r="R13" s="50" t="e">
        <f>Table4[[#This Row],[Expected Completed Cases]]/Table4[[#This Row],[Expected Volume]]</f>
        <v>#DIV/0!</v>
      </c>
      <c r="S13" s="50" t="e">
        <f t="shared" si="1"/>
        <v>#DIV/0!</v>
      </c>
      <c r="T13" s="37" t="str">
        <f t="shared" si="2"/>
        <v>Balanced Staffing</v>
      </c>
    </row>
    <row r="14" spans="1:22" x14ac:dyDescent="0.25">
      <c r="A14" s="39" t="s">
        <v>172</v>
      </c>
      <c r="B14" s="44">
        <f>Inputs!F15</f>
        <v>0</v>
      </c>
      <c r="C14" s="39" t="str">
        <f>IF($B14&lt;&gt;"x","",IFERROR(_xlfn.XLOOKUP($A14,'Staffing sheet 1ST Shift'!$A:$A,'Staffing sheet 1ST Shift'!$I:$I,""),""))</f>
        <v/>
      </c>
      <c r="D14" s="45"/>
      <c r="G14" s="40" t="s">
        <v>57</v>
      </c>
      <c r="H14" s="37">
        <f>COUNTIF(D2:D51, "Full Pallets")</f>
        <v>0</v>
      </c>
      <c r="J14" s="37" t="s">
        <v>54</v>
      </c>
      <c r="K14" s="42">
        <f>(Inputs!B6/(25*Inputs!B4))</f>
        <v>0</v>
      </c>
      <c r="M14" s="42">
        <f>Table2[[#This Row],[Available Staff ]]-Table2[[#This Row],[Needed ]]</f>
        <v>0</v>
      </c>
      <c r="N14" s="42">
        <f>Table5[[#This Row],[Workers Gap]]*$H$3</f>
        <v>0</v>
      </c>
      <c r="O14" s="37" t="str">
        <f t="shared" si="0"/>
        <v>Good</v>
      </c>
      <c r="P14" s="43">
        <f>H6</f>
        <v>0</v>
      </c>
      <c r="Q14" s="43">
        <f>25*H3*Table2[[#This Row],[Available Staff ]]</f>
        <v>0</v>
      </c>
      <c r="R14" s="50" t="e">
        <f>Table4[[#This Row],[Expected Completed Cases]]/Table4[[#This Row],[Expected Volume]]</f>
        <v>#DIV/0!</v>
      </c>
      <c r="S14" s="50" t="e">
        <f t="shared" si="1"/>
        <v>#DIV/0!</v>
      </c>
      <c r="T14" s="37" t="str">
        <f t="shared" si="2"/>
        <v>Balanced Staffing</v>
      </c>
    </row>
    <row r="15" spans="1:22" x14ac:dyDescent="0.25">
      <c r="A15" s="39" t="s">
        <v>56</v>
      </c>
      <c r="B15" s="44">
        <f>Inputs!F16</f>
        <v>0</v>
      </c>
      <c r="C15" s="39" t="str">
        <f>IF($B15&lt;&gt;"x","",IFERROR(_xlfn.XLOOKUP($A15,'Staffing sheet 1ST Shift'!$A:$A,'Staffing sheet 1ST Shift'!$I:$I,""),""))</f>
        <v/>
      </c>
      <c r="D15" s="45"/>
      <c r="G15" s="40" t="s">
        <v>58</v>
      </c>
      <c r="H15" s="37">
        <f>COUNTIF(D2:D52, "Loading")</f>
        <v>0</v>
      </c>
      <c r="J15" s="37" t="s">
        <v>54</v>
      </c>
      <c r="K15" s="42">
        <f>'Staffing Forecast'!P13</f>
        <v>0</v>
      </c>
      <c r="M15" s="42">
        <f>Table2[[#This Row],[Available Staff ]]-Table2[[#This Row],[Needed ]]</f>
        <v>0</v>
      </c>
      <c r="N15" s="42">
        <f>Table5[[#This Row],[Workers Gap]]*$H$3</f>
        <v>0</v>
      </c>
      <c r="O15" s="37" t="str">
        <f t="shared" si="0"/>
        <v>Good</v>
      </c>
      <c r="P15" s="43">
        <f>U4</f>
        <v>0</v>
      </c>
      <c r="Q15" s="43">
        <f>1*H3*Table2[[#This Row],[Available Staff ]]</f>
        <v>0</v>
      </c>
      <c r="R15" s="50" t="e">
        <f>Table4[[#This Row],[Expected Completed Cases]]/Table4[[#This Row],[Expected Volume]]</f>
        <v>#DIV/0!</v>
      </c>
      <c r="S15" s="50" t="e">
        <f t="shared" si="1"/>
        <v>#DIV/0!</v>
      </c>
      <c r="T15" s="37" t="str">
        <f t="shared" si="2"/>
        <v>Balanced Staffing</v>
      </c>
    </row>
    <row r="16" spans="1:22" x14ac:dyDescent="0.2">
      <c r="A16" s="39" t="s">
        <v>173</v>
      </c>
      <c r="B16" s="44">
        <f>Inputs!F17</f>
        <v>0</v>
      </c>
      <c r="C16" s="39" t="str">
        <f>IF($B16&lt;&gt;"x","",IFERROR(_xlfn.XLOOKUP($A16,'Staffing sheet 1ST Shift'!$A:$A,'Staffing sheet 1ST Shift'!$I:$I,""),""))</f>
        <v/>
      </c>
      <c r="D16" s="45"/>
      <c r="G16" s="37" t="s">
        <v>59</v>
      </c>
      <c r="H16" s="37">
        <f>SUM(H9:H15)</f>
        <v>0</v>
      </c>
      <c r="K16" s="42">
        <f>ROUNDUP(SUM(K9:K15),0)</f>
        <v>4</v>
      </c>
      <c r="M16" s="42">
        <f>SUM(M9:M15)</f>
        <v>-4</v>
      </c>
      <c r="N16" s="42">
        <f>SUM(N9:N15)</f>
        <v>0</v>
      </c>
      <c r="S16" s="53"/>
    </row>
    <row r="17" spans="1:14" x14ac:dyDescent="0.25">
      <c r="A17" s="39" t="s">
        <v>204</v>
      </c>
      <c r="B17" s="44">
        <f>Inputs!F47</f>
        <v>0</v>
      </c>
      <c r="C17" s="39"/>
      <c r="D17" s="45"/>
      <c r="G17" s="46"/>
      <c r="J17" s="37" t="str">
        <f>IF(K16&gt;H16,"UnderStaffed",IF(K16=H16,"Good","Overstaffed"))</f>
        <v>UnderStaffed</v>
      </c>
    </row>
    <row r="18" spans="1:14" x14ac:dyDescent="0.2">
      <c r="A18" s="39" t="s">
        <v>174</v>
      </c>
      <c r="B18" s="44">
        <f>Inputs!F18</f>
        <v>0</v>
      </c>
      <c r="C18" s="39" t="str">
        <f>IF($B18&lt;&gt;"x","",IFERROR(_xlfn.XLOOKUP($A18,'Staffing sheet 1ST Shift'!$A:$A,'Staffing sheet 1ST Shift'!$I:$I,""),""))</f>
        <v/>
      </c>
      <c r="D18" s="45"/>
    </row>
    <row r="19" spans="1:14" x14ac:dyDescent="0.2">
      <c r="A19" s="39" t="s">
        <v>181</v>
      </c>
      <c r="B19" s="44">
        <f>Inputs!F19</f>
        <v>0</v>
      </c>
      <c r="C19" s="39" t="str">
        <f>IF($B19&lt;&gt;"x","",IFERROR(_xlfn.XLOOKUP($A19,'Staffing sheet 1ST Shift'!$A:$A,'Staffing sheet 1ST Shift'!$I:$I,""),""))</f>
        <v/>
      </c>
      <c r="D19" s="45"/>
    </row>
    <row r="20" spans="1:14" x14ac:dyDescent="0.2">
      <c r="A20" s="39" t="s">
        <v>60</v>
      </c>
      <c r="B20" s="44">
        <f>Inputs!F20</f>
        <v>0</v>
      </c>
      <c r="C20" s="39" t="str">
        <f>IF($B20&lt;&gt;"x","",IFERROR(_xlfn.XLOOKUP($A20,'Staffing sheet 1ST Shift'!$A:$A,'Staffing sheet 1ST Shift'!$I:$I,""),""))</f>
        <v/>
      </c>
      <c r="D20" s="45"/>
    </row>
    <row r="21" spans="1:14" x14ac:dyDescent="0.2">
      <c r="A21" s="39" t="s">
        <v>61</v>
      </c>
      <c r="B21" s="44">
        <f>Inputs!F21</f>
        <v>0</v>
      </c>
      <c r="C21" s="39" t="str">
        <f>IF($B21&lt;&gt;"x","",IFERROR(_xlfn.XLOOKUP($A21,'Staffing sheet 1ST Shift'!$A:$A,'Staffing sheet 1ST Shift'!$I:$I,""),""))</f>
        <v/>
      </c>
      <c r="D21" s="45"/>
    </row>
    <row r="22" spans="1:14" x14ac:dyDescent="0.2">
      <c r="A22" s="39" t="s">
        <v>146</v>
      </c>
      <c r="B22" s="44">
        <f>Inputs!F22</f>
        <v>0</v>
      </c>
      <c r="C22" s="39" t="str">
        <f>IF($B22&lt;&gt;"x","",IFERROR(_xlfn.XLOOKUP($A22,'Staffing sheet 1ST Shift'!$A:$A,'Staffing sheet 1ST Shift'!$I:$I,""),""))</f>
        <v/>
      </c>
      <c r="D22" s="45"/>
    </row>
    <row r="23" spans="1:14" x14ac:dyDescent="0.2">
      <c r="A23" s="39" t="s">
        <v>147</v>
      </c>
      <c r="B23" s="44">
        <f>Inputs!F23</f>
        <v>0</v>
      </c>
      <c r="C23" s="39" t="str">
        <f>IF($B23&lt;&gt;"x","",IFERROR(_xlfn.XLOOKUP($A23,'Staffing sheet 1ST Shift'!$A:$A,'Staffing sheet 1ST Shift'!$I:$I,""),""))</f>
        <v/>
      </c>
      <c r="D23" s="45"/>
      <c r="G23" s="37" t="s">
        <v>62</v>
      </c>
      <c r="J23" s="43"/>
    </row>
    <row r="24" spans="1:14" x14ac:dyDescent="0.2">
      <c r="A24" s="39" t="s">
        <v>205</v>
      </c>
      <c r="B24" s="44">
        <f>Inputs!F24</f>
        <v>0</v>
      </c>
      <c r="C24" s="39" t="str">
        <f>IF($B24&lt;&gt;"x","",IFERROR(_xlfn.XLOOKUP($A24,'Staffing sheet 1ST Shift'!$A:$A,'Staffing sheet 1ST Shift'!$I:$I,""),""))</f>
        <v/>
      </c>
      <c r="D24" s="45"/>
      <c r="G24" s="37" t="s">
        <v>63</v>
      </c>
      <c r="H24" s="37" t="s">
        <v>33</v>
      </c>
      <c r="J24" s="37" t="s">
        <v>40</v>
      </c>
      <c r="K24" s="37" t="s">
        <v>64</v>
      </c>
      <c r="M24" s="37" t="s">
        <v>39</v>
      </c>
      <c r="N24" s="37" t="s">
        <v>65</v>
      </c>
    </row>
    <row r="25" spans="1:14" x14ac:dyDescent="0.2">
      <c r="A25" s="39" t="s">
        <v>66</v>
      </c>
      <c r="B25" s="44">
        <f>Inputs!F25</f>
        <v>0</v>
      </c>
      <c r="C25" s="39" t="str">
        <f>IF($B25&lt;&gt;"x","",IFERROR(_xlfn.XLOOKUP($A25,'Staffing sheet 1ST Shift'!$A:$A,'Staffing sheet 1ST Shift'!$I:$I,""),""))</f>
        <v/>
      </c>
      <c r="D25" s="45"/>
      <c r="G25" s="37">
        <f>IF(K25&lt;0,RANK(M25,$M$25:$M$31,1),"")</f>
        <v>1</v>
      </c>
      <c r="H25" s="37" t="s">
        <v>47</v>
      </c>
      <c r="J25" s="37" t="str">
        <f>_xlfn.XLOOKUP(H25,$G$9:$G$15,$O$9:$O$15,"")</f>
        <v>Understaffed</v>
      </c>
      <c r="K25" s="42">
        <f>_xlfn.XLOOKUP(H25,$G$9:$G$15,$M$9:$M$15,"")</f>
        <v>-2</v>
      </c>
      <c r="M25" s="42">
        <f>_xlfn.XLOOKUP(H25,$G$9:$G$15,$N$9:$N$15,"")</f>
        <v>0</v>
      </c>
      <c r="N25" s="37" t="str">
        <f t="shared" ref="N25:N31" si="3"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26" spans="1:14" x14ac:dyDescent="0.2">
      <c r="A26" s="39" t="s">
        <v>175</v>
      </c>
      <c r="B26" s="44">
        <f>Inputs!F26</f>
        <v>0</v>
      </c>
      <c r="C26" s="39" t="str">
        <f>IF($B26&lt;&gt;"x","",IFERROR(_xlfn.XLOOKUP($A26,'Staffing sheet 1ST Shift'!$A:$A,'Staffing sheet 1ST Shift'!$I:$I,""),""))</f>
        <v/>
      </c>
      <c r="D26" s="45"/>
      <c r="G26" s="37">
        <f t="shared" ref="G26:G31" si="4">IF(K26&lt;0,RANK(M26,$M$25:$M$31,1),"")</f>
        <v>1</v>
      </c>
      <c r="H26" s="37" t="s">
        <v>50</v>
      </c>
      <c r="J26" s="37" t="str">
        <f t="shared" ref="J26:J31" si="5">_xlfn.XLOOKUP(H26,$G$9:$G$15,$O$9:$O$15,"")</f>
        <v>Understaffed</v>
      </c>
      <c r="K26" s="42">
        <f t="shared" ref="K26" si="6">_xlfn.XLOOKUP(H26,$G$9:$G$15,$M$9:$M$15,"")</f>
        <v>-2</v>
      </c>
      <c r="M26" s="42">
        <f t="shared" ref="M26" si="7">_xlfn.XLOOKUP(H26,$G$9:$G$15,$N$9:$N$15,"")</f>
        <v>0</v>
      </c>
      <c r="N26" s="37" t="str">
        <f t="shared" si="3"/>
        <v>Need 2 more workers / 0 labor hrs</v>
      </c>
    </row>
    <row r="27" spans="1:14" x14ac:dyDescent="0.2">
      <c r="A27" s="39" t="s">
        <v>184</v>
      </c>
      <c r="B27" s="44">
        <f>Inputs!F27</f>
        <v>0</v>
      </c>
      <c r="C27" s="39" t="str">
        <f>IF($B27&lt;&gt;"x","",IFERROR(_xlfn.XLOOKUP($A27,'Staffing sheet 1ST Shift'!$A:$A,'Staffing sheet 1ST Shift'!$I:$I,""),""))</f>
        <v/>
      </c>
      <c r="D27" s="45"/>
      <c r="G27" s="37" t="str">
        <f t="shared" si="4"/>
        <v/>
      </c>
      <c r="H27" s="37" t="s">
        <v>52</v>
      </c>
      <c r="J27" s="37" t="str">
        <f t="shared" si="5"/>
        <v>Good</v>
      </c>
      <c r="K27" s="42">
        <f>_xlfn.XLOOKUP(H27,$G$9:$G$15,$M$9:$M$15,"")</f>
        <v>0</v>
      </c>
      <c r="M27" s="42">
        <f>_xlfn.XLOOKUP(H27,$G$9:$G$15,$N$9:$N$15,"")</f>
        <v>0</v>
      </c>
      <c r="N27" s="37" t="str">
        <f t="shared" si="3"/>
        <v>Balanced Staffing</v>
      </c>
    </row>
    <row r="28" spans="1:14" x14ac:dyDescent="0.2">
      <c r="A28" s="39" t="s">
        <v>203</v>
      </c>
      <c r="B28" s="44">
        <f>Inputs!F28</f>
        <v>0</v>
      </c>
      <c r="C28" s="39" t="str">
        <f>IF($B28&lt;&gt;"x","",IFERROR(_xlfn.XLOOKUP($A28,'Staffing sheet 1ST Shift'!$A:$A,'Staffing sheet 1ST Shift'!$I:$I,""),""))</f>
        <v/>
      </c>
      <c r="D28" s="45"/>
      <c r="G28" s="37" t="str">
        <f t="shared" si="4"/>
        <v/>
      </c>
      <c r="H28" s="37" t="s">
        <v>68</v>
      </c>
      <c r="J28" s="37" t="str">
        <f>O12</f>
        <v>Good</v>
      </c>
      <c r="K28" s="42">
        <f>M12</f>
        <v>0</v>
      </c>
      <c r="M28" s="42">
        <f>N12</f>
        <v>0</v>
      </c>
      <c r="N28" s="37" t="str">
        <f t="shared" si="3"/>
        <v>Balanced Staffing</v>
      </c>
    </row>
    <row r="29" spans="1:14" x14ac:dyDescent="0.2">
      <c r="A29" s="39" t="s">
        <v>182</v>
      </c>
      <c r="B29" s="44">
        <f>Inputs!F29</f>
        <v>0</v>
      </c>
      <c r="C29" s="39" t="str">
        <f>IF($B29&lt;&gt;"x","",IFERROR(_xlfn.XLOOKUP($A29,'Staffing sheet 1ST Shift'!$A:$A,'Staffing sheet 1ST Shift'!$I:$I,""),""))</f>
        <v/>
      </c>
      <c r="D29" s="45"/>
      <c r="G29" s="37" t="str">
        <f t="shared" si="4"/>
        <v/>
      </c>
      <c r="H29" s="37" t="s">
        <v>32</v>
      </c>
      <c r="J29" s="37" t="str">
        <f t="shared" si="5"/>
        <v>Good</v>
      </c>
      <c r="K29" s="42">
        <f>_xlfn.XLOOKUP(H29,$G$9:$G$15,$M$9:$M$15,"")</f>
        <v>0</v>
      </c>
      <c r="M29" s="42">
        <f>_xlfn.XLOOKUP(H29,$G$9:$G$15,$N$9:$N$15,"")</f>
        <v>0</v>
      </c>
      <c r="N29" s="37" t="str">
        <f t="shared" si="3"/>
        <v>Balanced Staffing</v>
      </c>
    </row>
    <row r="30" spans="1:14" x14ac:dyDescent="0.2">
      <c r="A30" s="39" t="s">
        <v>145</v>
      </c>
      <c r="B30" s="44">
        <f>Inputs!F30</f>
        <v>0</v>
      </c>
      <c r="C30" s="39" t="str">
        <f>IF($B30&lt;&gt;"x","",IFERROR(_xlfn.XLOOKUP($A30,'Staffing sheet 1ST Shift'!$A:$A,'Staffing sheet 1ST Shift'!$I:$I,""),""))</f>
        <v/>
      </c>
      <c r="D30" s="45"/>
      <c r="G30" s="37" t="str">
        <f t="shared" si="4"/>
        <v/>
      </c>
      <c r="H30" s="37" t="s">
        <v>57</v>
      </c>
      <c r="J30" s="37" t="str">
        <f t="shared" si="5"/>
        <v>Good</v>
      </c>
      <c r="K30" s="42">
        <f>_xlfn.XLOOKUP(H30,$G$9:$G$15,$M$9:$M$15,"")</f>
        <v>0</v>
      </c>
      <c r="M30" s="42">
        <f>_xlfn.XLOOKUP(H30,$G$9:$G$15,$N$9:$N$15,"")</f>
        <v>0</v>
      </c>
      <c r="N30" s="37" t="str">
        <f t="shared" si="3"/>
        <v>Balanced Staffing</v>
      </c>
    </row>
    <row r="31" spans="1:14" x14ac:dyDescent="0.2">
      <c r="A31" s="39" t="s">
        <v>163</v>
      </c>
      <c r="B31" s="44">
        <f>Inputs!F31</f>
        <v>0</v>
      </c>
      <c r="C31" s="39" t="str">
        <f>IF($B31&lt;&gt;"x","",IFERROR(_xlfn.XLOOKUP($A31,'Staffing sheet 1ST Shift'!$A:$A,'Staffing sheet 1ST Shift'!$I:$I,""),""))</f>
        <v/>
      </c>
      <c r="D31" s="45"/>
      <c r="G31" s="37" t="str">
        <f t="shared" si="4"/>
        <v/>
      </c>
      <c r="H31" s="37" t="s">
        <v>58</v>
      </c>
      <c r="J31" s="37" t="str">
        <f t="shared" si="5"/>
        <v>Good</v>
      </c>
      <c r="K31" s="42">
        <f>_xlfn.XLOOKUP(H31,$G$9:$G$15,$M$9:$M$15,"")</f>
        <v>0</v>
      </c>
      <c r="M31" s="42">
        <f>_xlfn.XLOOKUP(H31,$G$9:$G$15,$N$9:$N$15,"")</f>
        <v>0</v>
      </c>
      <c r="N31" s="37" t="str">
        <f t="shared" si="3"/>
        <v>Balanced Staffing</v>
      </c>
    </row>
    <row r="32" spans="1:14" x14ac:dyDescent="0.2">
      <c r="A32" s="39" t="s">
        <v>67</v>
      </c>
      <c r="B32" s="44">
        <f>Inputs!F32</f>
        <v>0</v>
      </c>
      <c r="C32" s="39" t="str">
        <f>IF($B32&lt;&gt;"x","",IFERROR(_xlfn.XLOOKUP($A32,'Staffing sheet 1ST Shift'!$A:$A,'Staffing sheet 1ST Shift'!$I:$I,""),""))</f>
        <v/>
      </c>
      <c r="D32" s="45"/>
      <c r="H32" s="38"/>
      <c r="I32" s="38"/>
      <c r="J32" s="38"/>
      <c r="K32" s="38"/>
      <c r="L32" s="38"/>
      <c r="M32" s="38"/>
      <c r="N32" s="38"/>
    </row>
    <row r="33" spans="1:4" x14ac:dyDescent="0.2">
      <c r="A33" s="39" t="s">
        <v>69</v>
      </c>
      <c r="B33" s="44">
        <f>Inputs!F33</f>
        <v>0</v>
      </c>
      <c r="C33" s="39" t="str">
        <f>IF($B33&lt;&gt;"x","",IFERROR(_xlfn.XLOOKUP($A33,'Staffing sheet 1ST Shift'!$A:$A,'Staffing sheet 1ST Shift'!$I:$I,""),""))</f>
        <v/>
      </c>
      <c r="D33" s="45"/>
    </row>
    <row r="34" spans="1:4" x14ac:dyDescent="0.2">
      <c r="A34" s="39" t="s">
        <v>70</v>
      </c>
      <c r="B34" s="44">
        <f>Inputs!F34</f>
        <v>0</v>
      </c>
      <c r="C34" s="39" t="str">
        <f>IF($B34&lt;&gt;"x","",IFERROR(_xlfn.XLOOKUP($A34,'Staffing sheet 1ST Shift'!$A:$A,'Staffing sheet 1ST Shift'!$I:$I,""),""))</f>
        <v/>
      </c>
      <c r="D34" s="45"/>
    </row>
    <row r="35" spans="1:4" x14ac:dyDescent="0.2">
      <c r="A35" s="39" t="s">
        <v>71</v>
      </c>
      <c r="B35" s="44">
        <f>Inputs!F35</f>
        <v>0</v>
      </c>
      <c r="C35" s="39" t="str">
        <f>IF($B35&lt;&gt;"x","",IFERROR(_xlfn.XLOOKUP($A35,'Staffing sheet 1ST Shift'!$A:$A,'Staffing sheet 1ST Shift'!$I:$I,""),""))</f>
        <v/>
      </c>
      <c r="D35" s="45"/>
    </row>
    <row r="36" spans="1:4" x14ac:dyDescent="0.2">
      <c r="A36" s="39" t="s">
        <v>72</v>
      </c>
      <c r="B36" s="44">
        <f>Inputs!F36</f>
        <v>0</v>
      </c>
      <c r="C36" s="39" t="str">
        <f>IF($B36&lt;&gt;"x","",IFERROR(_xlfn.XLOOKUP($A36,'Staffing sheet 1ST Shift'!$A:$A,'Staffing sheet 1ST Shift'!$I:$I,""),""))</f>
        <v/>
      </c>
      <c r="D36" s="45"/>
    </row>
    <row r="37" spans="1:4" x14ac:dyDescent="0.2">
      <c r="A37" s="39" t="s">
        <v>221</v>
      </c>
      <c r="B37" s="44">
        <f>Inputs!F46</f>
        <v>0</v>
      </c>
      <c r="C37" s="39"/>
      <c r="D37" s="45"/>
    </row>
    <row r="38" spans="1:4" x14ac:dyDescent="0.2">
      <c r="A38" s="39" t="s">
        <v>143</v>
      </c>
      <c r="B38" s="44">
        <f>Inputs!F37</f>
        <v>0</v>
      </c>
      <c r="C38" s="39" t="str">
        <f>IF($B38&lt;&gt;"x","",IFERROR(_xlfn.XLOOKUP($A38,'Staffing sheet 1ST Shift'!$A:$A,'Staffing sheet 1ST Shift'!$I:$I,""),""))</f>
        <v/>
      </c>
      <c r="D38" s="45"/>
    </row>
    <row r="39" spans="1:4" x14ac:dyDescent="0.2">
      <c r="A39" s="39" t="s">
        <v>142</v>
      </c>
      <c r="B39" s="44">
        <f>Inputs!F38</f>
        <v>0</v>
      </c>
      <c r="C39" s="39" t="str">
        <f>IF($B39&lt;&gt;"x","",IFERROR(_xlfn.XLOOKUP($A39,'Staffing sheet 1ST Shift'!$A:$A,'Staffing sheet 1ST Shift'!$I:$I,""),""))</f>
        <v/>
      </c>
      <c r="D39" s="45"/>
    </row>
    <row r="40" spans="1:4" x14ac:dyDescent="0.2">
      <c r="A40" s="39" t="s">
        <v>177</v>
      </c>
      <c r="B40" s="44">
        <f>Inputs!F39</f>
        <v>0</v>
      </c>
      <c r="C40" s="39" t="str">
        <f>IF($B40&lt;&gt;"x","",IFERROR(_xlfn.XLOOKUP($A40,'Staffing sheet 1ST Shift'!$A:$A,'Staffing sheet 1ST Shift'!$I:$I,""),""))</f>
        <v/>
      </c>
      <c r="D40" s="45"/>
    </row>
    <row r="41" spans="1:4" x14ac:dyDescent="0.2">
      <c r="A41" s="39" t="s">
        <v>178</v>
      </c>
      <c r="B41" s="44">
        <f>Inputs!F40</f>
        <v>0</v>
      </c>
      <c r="C41" s="39" t="str">
        <f>IF($B41&lt;&gt;"x","",IFERROR(_xlfn.XLOOKUP($A41,'Staffing sheet 1ST Shift'!$A:$A,'Staffing sheet 1ST Shift'!$I:$I,""),""))</f>
        <v/>
      </c>
      <c r="D41" s="45"/>
    </row>
    <row r="42" spans="1:4" x14ac:dyDescent="0.2">
      <c r="A42" s="39" t="s">
        <v>73</v>
      </c>
      <c r="B42" s="44">
        <f>Inputs!F41</f>
        <v>0</v>
      </c>
      <c r="C42" s="39" t="str">
        <f>IF($B42&lt;&gt;"x","",IFERROR(_xlfn.XLOOKUP($A42,'Staffing sheet 1ST Shift'!$A:$A,'Staffing sheet 1ST Shift'!$I:$I,""),""))</f>
        <v/>
      </c>
      <c r="D42" s="45"/>
    </row>
    <row r="43" spans="1:4" x14ac:dyDescent="0.2">
      <c r="A43" s="39" t="s">
        <v>179</v>
      </c>
      <c r="B43" s="44">
        <f>Inputs!F42</f>
        <v>0</v>
      </c>
      <c r="C43" s="39" t="str">
        <f>IF($B43&lt;&gt;"x","",IFERROR(_xlfn.XLOOKUP($A43,'Staffing sheet 1ST Shift'!$A:$A,'Staffing sheet 1ST Shift'!$I:$I,""),""))</f>
        <v/>
      </c>
      <c r="D43" s="45"/>
    </row>
    <row r="44" spans="1:4" x14ac:dyDescent="0.2">
      <c r="A44" s="39" t="s">
        <v>74</v>
      </c>
      <c r="B44" s="44">
        <f>Inputs!F43</f>
        <v>0</v>
      </c>
      <c r="C44" s="39" t="str">
        <f>IF($B44&lt;&gt;"x","",IFERROR(_xlfn.XLOOKUP($A44,'Staffing sheet 1ST Shift'!$A:$A,'Staffing sheet 1ST Shift'!$I:$I,""),""))</f>
        <v/>
      </c>
      <c r="D44" s="45"/>
    </row>
    <row r="45" spans="1:4" x14ac:dyDescent="0.2">
      <c r="A45" s="39" t="s">
        <v>180</v>
      </c>
      <c r="B45" s="44">
        <f>Inputs!F44</f>
        <v>0</v>
      </c>
      <c r="C45" s="39" t="str">
        <f>IF($B45&lt;&gt;"x","",IFERROR(_xlfn.XLOOKUP($A45,'Staffing sheet 1ST Shift'!$A:$A,'Staffing sheet 1ST Shift'!$I:$I,""),""))</f>
        <v/>
      </c>
      <c r="D45" s="45"/>
    </row>
    <row r="46" spans="1:4" x14ac:dyDescent="0.2">
      <c r="A46" s="39" t="s">
        <v>207</v>
      </c>
      <c r="B46" s="44">
        <f>Inputs!F45</f>
        <v>0</v>
      </c>
      <c r="C46" s="39" t="str">
        <f>IF($B46&lt;&gt;"x","",IFERROR(_xlfn.XLOOKUP($A46,'Staffing sheet 1ST Shift'!$A:$A,'Staffing sheet 1ST Shift'!$I:$I,""),""))</f>
        <v/>
      </c>
      <c r="D46" s="45"/>
    </row>
    <row r="47" spans="1:4" x14ac:dyDescent="0.2">
      <c r="A47" s="39" t="s">
        <v>222</v>
      </c>
      <c r="B47" s="44">
        <f>Inputs!F48</f>
        <v>0</v>
      </c>
      <c r="C47" s="39"/>
      <c r="D47" s="45"/>
    </row>
    <row r="48" spans="1:4" x14ac:dyDescent="0.2">
      <c r="A48" s="39" t="s">
        <v>223</v>
      </c>
      <c r="B48" s="44">
        <f>Inputs!F51</f>
        <v>0</v>
      </c>
      <c r="C48" s="39"/>
      <c r="D48" s="45"/>
    </row>
    <row r="49" spans="1:4" x14ac:dyDescent="0.2">
      <c r="A49" s="39" t="s">
        <v>224</v>
      </c>
      <c r="B49" s="44">
        <f>Inputs!F54</f>
        <v>0</v>
      </c>
      <c r="C49" s="39"/>
      <c r="D49" s="45"/>
    </row>
    <row r="50" spans="1:4" x14ac:dyDescent="0.2">
      <c r="A50" s="39"/>
      <c r="B50" s="44"/>
      <c r="C50" s="39"/>
      <c r="D50" s="45"/>
    </row>
    <row r="51" spans="1:4" x14ac:dyDescent="0.2">
      <c r="A51" s="39"/>
      <c r="B51" s="44"/>
      <c r="C51" s="39"/>
      <c r="D51" s="45"/>
    </row>
    <row r="52" spans="1:4" x14ac:dyDescent="0.2">
      <c r="A52" s="39"/>
      <c r="B52" s="44"/>
      <c r="C52" s="39"/>
      <c r="D52" s="45"/>
    </row>
    <row r="53" spans="1:4" x14ac:dyDescent="0.2">
      <c r="A53" s="39"/>
      <c r="B53" s="44"/>
      <c r="C53" s="39"/>
      <c r="D53" s="45"/>
    </row>
    <row r="54" spans="1:4" x14ac:dyDescent="0.2">
      <c r="A54" s="39"/>
      <c r="B54" s="44"/>
      <c r="C54" s="39"/>
      <c r="D54" s="45"/>
    </row>
    <row r="55" spans="1:4" x14ac:dyDescent="0.2">
      <c r="A55" s="39"/>
      <c r="B55" s="44"/>
      <c r="C55" s="39"/>
      <c r="D55" s="45"/>
    </row>
    <row r="56" spans="1:4" x14ac:dyDescent="0.2">
      <c r="A56" s="39"/>
      <c r="B56" s="44"/>
      <c r="C56" s="39"/>
      <c r="D56" s="45"/>
    </row>
    <row r="57" spans="1:4" x14ac:dyDescent="0.25">
      <c r="A57" s="73"/>
      <c r="B57" s="75">
        <f>COUNTIF(B2:B48,"X")</f>
        <v>0</v>
      </c>
      <c r="C57" s="74"/>
      <c r="D57" s="11"/>
    </row>
  </sheetData>
  <conditionalFormatting sqref="J17">
    <cfRule type="containsText" dxfId="2" priority="1" operator="containsText" text="Overstaffed">
      <formula>NOT(ISERROR(SEARCH("Overstaffed",J17)))</formula>
    </cfRule>
    <cfRule type="containsText" dxfId="1" priority="2" operator="containsText" text="Good">
      <formula>NOT(ISERROR(SEARCH("Good",J17)))</formula>
    </cfRule>
    <cfRule type="containsText" dxfId="0" priority="3" operator="containsText" text="Understaffed">
      <formula>NOT(ISERROR(SEARCH("Understaffed",J17)))</formula>
    </cfRule>
  </conditionalFormatting>
  <dataValidations count="6">
    <dataValidation type="list" allowBlank="1" showInputMessage="1" showErrorMessage="1" sqref="WVN983061:WVN983088 JB65557:JB65584 SX65557:SX65584 ACT65557:ACT65584 AMP65557:AMP65584 AWL65557:AWL65584 BGH65557:BGH65584 BQD65557:BQD65584 BZZ65557:BZZ65584 CJV65557:CJV65584 CTR65557:CTR65584 DDN65557:DDN65584 DNJ65557:DNJ65584 DXF65557:DXF65584 EHB65557:EHB65584 EQX65557:EQX65584 FAT65557:FAT65584 FKP65557:FKP65584 FUL65557:FUL65584 GEH65557:GEH65584 GOD65557:GOD65584 GXZ65557:GXZ65584 HHV65557:HHV65584 HRR65557:HRR65584 IBN65557:IBN65584 ILJ65557:ILJ65584 IVF65557:IVF65584 JFB65557:JFB65584 JOX65557:JOX65584 JYT65557:JYT65584 KIP65557:KIP65584 KSL65557:KSL65584 LCH65557:LCH65584 LMD65557:LMD65584 LVZ65557:LVZ65584 MFV65557:MFV65584 MPR65557:MPR65584 MZN65557:MZN65584 NJJ65557:NJJ65584 NTF65557:NTF65584 ODB65557:ODB65584 OMX65557:OMX65584 OWT65557:OWT65584 PGP65557:PGP65584 PQL65557:PQL65584 QAH65557:QAH65584 QKD65557:QKD65584 QTZ65557:QTZ65584 RDV65557:RDV65584 RNR65557:RNR65584 RXN65557:RXN65584 SHJ65557:SHJ65584 SRF65557:SRF65584 TBB65557:TBB65584 TKX65557:TKX65584 TUT65557:TUT65584 UEP65557:UEP65584 UOL65557:UOL65584 UYH65557:UYH65584 VID65557:VID65584 VRZ65557:VRZ65584 WBV65557:WBV65584 WLR65557:WLR65584 WVN65557:WVN65584 JB131093:JB131120 SX131093:SX131120 ACT131093:ACT131120 AMP131093:AMP131120 AWL131093:AWL131120 BGH131093:BGH131120 BQD131093:BQD131120 BZZ131093:BZZ131120 CJV131093:CJV131120 CTR131093:CTR131120 DDN131093:DDN131120 DNJ131093:DNJ131120 DXF131093:DXF131120 EHB131093:EHB131120 EQX131093:EQX131120 FAT131093:FAT131120 FKP131093:FKP131120 FUL131093:FUL131120 GEH131093:GEH131120 GOD131093:GOD131120 GXZ131093:GXZ131120 HHV131093:HHV131120 HRR131093:HRR131120 IBN131093:IBN131120 ILJ131093:ILJ131120 IVF131093:IVF131120 JFB131093:JFB131120 JOX131093:JOX131120 JYT131093:JYT131120 KIP131093:KIP131120 KSL131093:KSL131120 LCH131093:LCH131120 LMD131093:LMD131120 LVZ131093:LVZ131120 MFV131093:MFV131120 MPR131093:MPR131120 MZN131093:MZN131120 NJJ131093:NJJ131120 NTF131093:NTF131120 ODB131093:ODB131120 OMX131093:OMX131120 OWT131093:OWT131120 PGP131093:PGP131120 PQL131093:PQL131120 QAH131093:QAH131120 QKD131093:QKD131120 QTZ131093:QTZ131120 RDV131093:RDV131120 RNR131093:RNR131120 RXN131093:RXN131120 SHJ131093:SHJ131120 SRF131093:SRF131120 TBB131093:TBB131120 TKX131093:TKX131120 TUT131093:TUT131120 UEP131093:UEP131120 UOL131093:UOL131120 UYH131093:UYH131120 VID131093:VID131120 VRZ131093:VRZ131120 WBV131093:WBV131120 WLR131093:WLR131120 WVN131093:WVN131120 JB196629:JB196656 SX196629:SX196656 ACT196629:ACT196656 AMP196629:AMP196656 AWL196629:AWL196656 BGH196629:BGH196656 BQD196629:BQD196656 BZZ196629:BZZ196656 CJV196629:CJV196656 CTR196629:CTR196656 DDN196629:DDN196656 DNJ196629:DNJ196656 DXF196629:DXF196656 EHB196629:EHB196656 EQX196629:EQX196656 FAT196629:FAT196656 FKP196629:FKP196656 FUL196629:FUL196656 GEH196629:GEH196656 GOD196629:GOD196656 GXZ196629:GXZ196656 HHV196629:HHV196656 HRR196629:HRR196656 IBN196629:IBN196656 ILJ196629:ILJ196656 IVF196629:IVF196656 JFB196629:JFB196656 JOX196629:JOX196656 JYT196629:JYT196656 KIP196629:KIP196656 KSL196629:KSL196656 LCH196629:LCH196656 LMD196629:LMD196656 LVZ196629:LVZ196656 MFV196629:MFV196656 MPR196629:MPR196656 MZN196629:MZN196656 NJJ196629:NJJ196656 NTF196629:NTF196656 ODB196629:ODB196656 OMX196629:OMX196656 OWT196629:OWT196656 PGP196629:PGP196656 PQL196629:PQL196656 QAH196629:QAH196656 QKD196629:QKD196656 QTZ196629:QTZ196656 RDV196629:RDV196656 RNR196629:RNR196656 RXN196629:RXN196656 SHJ196629:SHJ196656 SRF196629:SRF196656 TBB196629:TBB196656 TKX196629:TKX196656 TUT196629:TUT196656 UEP196629:UEP196656 UOL196629:UOL196656 UYH196629:UYH196656 VID196629:VID196656 VRZ196629:VRZ196656 WBV196629:WBV196656 WLR196629:WLR196656 WVN196629:WVN196656 JB262165:JB262192 SX262165:SX262192 ACT262165:ACT262192 AMP262165:AMP262192 AWL262165:AWL262192 BGH262165:BGH262192 BQD262165:BQD262192 BZZ262165:BZZ262192 CJV262165:CJV262192 CTR262165:CTR262192 DDN262165:DDN262192 DNJ262165:DNJ262192 DXF262165:DXF262192 EHB262165:EHB262192 EQX262165:EQX262192 FAT262165:FAT262192 FKP262165:FKP262192 FUL262165:FUL262192 GEH262165:GEH262192 GOD262165:GOD262192 GXZ262165:GXZ262192 HHV262165:HHV262192 HRR262165:HRR262192 IBN262165:IBN262192 ILJ262165:ILJ262192 IVF262165:IVF262192 JFB262165:JFB262192 JOX262165:JOX262192 JYT262165:JYT262192 KIP262165:KIP262192 KSL262165:KSL262192 LCH262165:LCH262192 LMD262165:LMD262192 LVZ262165:LVZ262192 MFV262165:MFV262192 MPR262165:MPR262192 MZN262165:MZN262192 NJJ262165:NJJ262192 NTF262165:NTF262192 ODB262165:ODB262192 OMX262165:OMX262192 OWT262165:OWT262192 PGP262165:PGP262192 PQL262165:PQL262192 QAH262165:QAH262192 QKD262165:QKD262192 QTZ262165:QTZ262192 RDV262165:RDV262192 RNR262165:RNR262192 RXN262165:RXN262192 SHJ262165:SHJ262192 SRF262165:SRF262192 TBB262165:TBB262192 TKX262165:TKX262192 TUT262165:TUT262192 UEP262165:UEP262192 UOL262165:UOL262192 UYH262165:UYH262192 VID262165:VID262192 VRZ262165:VRZ262192 WBV262165:WBV262192 WLR262165:WLR262192 WVN262165:WVN262192 JB327701:JB327728 SX327701:SX327728 ACT327701:ACT327728 AMP327701:AMP327728 AWL327701:AWL327728 BGH327701:BGH327728 BQD327701:BQD327728 BZZ327701:BZZ327728 CJV327701:CJV327728 CTR327701:CTR327728 DDN327701:DDN327728 DNJ327701:DNJ327728 DXF327701:DXF327728 EHB327701:EHB327728 EQX327701:EQX327728 FAT327701:FAT327728 FKP327701:FKP327728 FUL327701:FUL327728 GEH327701:GEH327728 GOD327701:GOD327728 GXZ327701:GXZ327728 HHV327701:HHV327728 HRR327701:HRR327728 IBN327701:IBN327728 ILJ327701:ILJ327728 IVF327701:IVF327728 JFB327701:JFB327728 JOX327701:JOX327728 JYT327701:JYT327728 KIP327701:KIP327728 KSL327701:KSL327728 LCH327701:LCH327728 LMD327701:LMD327728 LVZ327701:LVZ327728 MFV327701:MFV327728 MPR327701:MPR327728 MZN327701:MZN327728 NJJ327701:NJJ327728 NTF327701:NTF327728 ODB327701:ODB327728 OMX327701:OMX327728 OWT327701:OWT327728 PGP327701:PGP327728 PQL327701:PQL327728 QAH327701:QAH327728 QKD327701:QKD327728 QTZ327701:QTZ327728 RDV327701:RDV327728 RNR327701:RNR327728 RXN327701:RXN327728 SHJ327701:SHJ327728 SRF327701:SRF327728 TBB327701:TBB327728 TKX327701:TKX327728 TUT327701:TUT327728 UEP327701:UEP327728 UOL327701:UOL327728 UYH327701:UYH327728 VID327701:VID327728 VRZ327701:VRZ327728 WBV327701:WBV327728 WLR327701:WLR327728 WVN327701:WVN327728 JB393237:JB393264 SX393237:SX393264 ACT393237:ACT393264 AMP393237:AMP393264 AWL393237:AWL393264 BGH393237:BGH393264 BQD393237:BQD393264 BZZ393237:BZZ393264 CJV393237:CJV393264 CTR393237:CTR393264 DDN393237:DDN393264 DNJ393237:DNJ393264 DXF393237:DXF393264 EHB393237:EHB393264 EQX393237:EQX393264 FAT393237:FAT393264 FKP393237:FKP393264 FUL393237:FUL393264 GEH393237:GEH393264 GOD393237:GOD393264 GXZ393237:GXZ393264 HHV393237:HHV393264 HRR393237:HRR393264 IBN393237:IBN393264 ILJ393237:ILJ393264 IVF393237:IVF393264 JFB393237:JFB393264 JOX393237:JOX393264 JYT393237:JYT393264 KIP393237:KIP393264 KSL393237:KSL393264 LCH393237:LCH393264 LMD393237:LMD393264 LVZ393237:LVZ393264 MFV393237:MFV393264 MPR393237:MPR393264 MZN393237:MZN393264 NJJ393237:NJJ393264 NTF393237:NTF393264 ODB393237:ODB393264 OMX393237:OMX393264 OWT393237:OWT393264 PGP393237:PGP393264 PQL393237:PQL393264 QAH393237:QAH393264 QKD393237:QKD393264 QTZ393237:QTZ393264 RDV393237:RDV393264 RNR393237:RNR393264 RXN393237:RXN393264 SHJ393237:SHJ393264 SRF393237:SRF393264 TBB393237:TBB393264 TKX393237:TKX393264 TUT393237:TUT393264 UEP393237:UEP393264 UOL393237:UOL393264 UYH393237:UYH393264 VID393237:VID393264 VRZ393237:VRZ393264 WBV393237:WBV393264 WLR393237:WLR393264 WVN393237:WVN393264 JB458773:JB458800 SX458773:SX458800 ACT458773:ACT458800 AMP458773:AMP458800 AWL458773:AWL458800 BGH458773:BGH458800 BQD458773:BQD458800 BZZ458773:BZZ458800 CJV458773:CJV458800 CTR458773:CTR458800 DDN458773:DDN458800 DNJ458773:DNJ458800 DXF458773:DXF458800 EHB458773:EHB458800 EQX458773:EQX458800 FAT458773:FAT458800 FKP458773:FKP458800 FUL458773:FUL458800 GEH458773:GEH458800 GOD458773:GOD458800 GXZ458773:GXZ458800 HHV458773:HHV458800 HRR458773:HRR458800 IBN458773:IBN458800 ILJ458773:ILJ458800 IVF458773:IVF458800 JFB458773:JFB458800 JOX458773:JOX458800 JYT458773:JYT458800 KIP458773:KIP458800 KSL458773:KSL458800 LCH458773:LCH458800 LMD458773:LMD458800 LVZ458773:LVZ458800 MFV458773:MFV458800 MPR458773:MPR458800 MZN458773:MZN458800 NJJ458773:NJJ458800 NTF458773:NTF458800 ODB458773:ODB458800 OMX458773:OMX458800 OWT458773:OWT458800 PGP458773:PGP458800 PQL458773:PQL458800 QAH458773:QAH458800 QKD458773:QKD458800 QTZ458773:QTZ458800 RDV458773:RDV458800 RNR458773:RNR458800 RXN458773:RXN458800 SHJ458773:SHJ458800 SRF458773:SRF458800 TBB458773:TBB458800 TKX458773:TKX458800 TUT458773:TUT458800 UEP458773:UEP458800 UOL458773:UOL458800 UYH458773:UYH458800 VID458773:VID458800 VRZ458773:VRZ458800 WBV458773:WBV458800 WLR458773:WLR458800 WVN458773:WVN458800 JB524309:JB524336 SX524309:SX524336 ACT524309:ACT524336 AMP524309:AMP524336 AWL524309:AWL524336 BGH524309:BGH524336 BQD524309:BQD524336 BZZ524309:BZZ524336 CJV524309:CJV524336 CTR524309:CTR524336 DDN524309:DDN524336 DNJ524309:DNJ524336 DXF524309:DXF524336 EHB524309:EHB524336 EQX524309:EQX524336 FAT524309:FAT524336 FKP524309:FKP524336 FUL524309:FUL524336 GEH524309:GEH524336 GOD524309:GOD524336 GXZ524309:GXZ524336 HHV524309:HHV524336 HRR524309:HRR524336 IBN524309:IBN524336 ILJ524309:ILJ524336 IVF524309:IVF524336 JFB524309:JFB524336 JOX524309:JOX524336 JYT524309:JYT524336 KIP524309:KIP524336 KSL524309:KSL524336 LCH524309:LCH524336 LMD524309:LMD524336 LVZ524309:LVZ524336 MFV524309:MFV524336 MPR524309:MPR524336 MZN524309:MZN524336 NJJ524309:NJJ524336 NTF524309:NTF524336 ODB524309:ODB524336 OMX524309:OMX524336 OWT524309:OWT524336 PGP524309:PGP524336 PQL524309:PQL524336 QAH524309:QAH524336 QKD524309:QKD524336 QTZ524309:QTZ524336 RDV524309:RDV524336 RNR524309:RNR524336 RXN524309:RXN524336 SHJ524309:SHJ524336 SRF524309:SRF524336 TBB524309:TBB524336 TKX524309:TKX524336 TUT524309:TUT524336 UEP524309:UEP524336 UOL524309:UOL524336 UYH524309:UYH524336 VID524309:VID524336 VRZ524309:VRZ524336 WBV524309:WBV524336 WLR524309:WLR524336 WVN524309:WVN524336 JB589845:JB589872 SX589845:SX589872 ACT589845:ACT589872 AMP589845:AMP589872 AWL589845:AWL589872 BGH589845:BGH589872 BQD589845:BQD589872 BZZ589845:BZZ589872 CJV589845:CJV589872 CTR589845:CTR589872 DDN589845:DDN589872 DNJ589845:DNJ589872 DXF589845:DXF589872 EHB589845:EHB589872 EQX589845:EQX589872 FAT589845:FAT589872 FKP589845:FKP589872 FUL589845:FUL589872 GEH589845:GEH589872 GOD589845:GOD589872 GXZ589845:GXZ589872 HHV589845:HHV589872 HRR589845:HRR589872 IBN589845:IBN589872 ILJ589845:ILJ589872 IVF589845:IVF589872 JFB589845:JFB589872 JOX589845:JOX589872 JYT589845:JYT589872 KIP589845:KIP589872 KSL589845:KSL589872 LCH589845:LCH589872 LMD589845:LMD589872 LVZ589845:LVZ589872 MFV589845:MFV589872 MPR589845:MPR589872 MZN589845:MZN589872 NJJ589845:NJJ589872 NTF589845:NTF589872 ODB589845:ODB589872 OMX589845:OMX589872 OWT589845:OWT589872 PGP589845:PGP589872 PQL589845:PQL589872 QAH589845:QAH589872 QKD589845:QKD589872 QTZ589845:QTZ589872 RDV589845:RDV589872 RNR589845:RNR589872 RXN589845:RXN589872 SHJ589845:SHJ589872 SRF589845:SRF589872 TBB589845:TBB589872 TKX589845:TKX589872 TUT589845:TUT589872 UEP589845:UEP589872 UOL589845:UOL589872 UYH589845:UYH589872 VID589845:VID589872 VRZ589845:VRZ589872 WBV589845:WBV589872 WLR589845:WLR589872 WVN589845:WVN589872 JB655381:JB655408 SX655381:SX655408 ACT655381:ACT655408 AMP655381:AMP655408 AWL655381:AWL655408 BGH655381:BGH655408 BQD655381:BQD655408 BZZ655381:BZZ655408 CJV655381:CJV655408 CTR655381:CTR655408 DDN655381:DDN655408 DNJ655381:DNJ655408 DXF655381:DXF655408 EHB655381:EHB655408 EQX655381:EQX655408 FAT655381:FAT655408 FKP655381:FKP655408 FUL655381:FUL655408 GEH655381:GEH655408 GOD655381:GOD655408 GXZ655381:GXZ655408 HHV655381:HHV655408 HRR655381:HRR655408 IBN655381:IBN655408 ILJ655381:ILJ655408 IVF655381:IVF655408 JFB655381:JFB655408 JOX655381:JOX655408 JYT655381:JYT655408 KIP655381:KIP655408 KSL655381:KSL655408 LCH655381:LCH655408 LMD655381:LMD655408 LVZ655381:LVZ655408 MFV655381:MFV655408 MPR655381:MPR655408 MZN655381:MZN655408 NJJ655381:NJJ655408 NTF655381:NTF655408 ODB655381:ODB655408 OMX655381:OMX655408 OWT655381:OWT655408 PGP655381:PGP655408 PQL655381:PQL655408 QAH655381:QAH655408 QKD655381:QKD655408 QTZ655381:QTZ655408 RDV655381:RDV655408 RNR655381:RNR655408 RXN655381:RXN655408 SHJ655381:SHJ655408 SRF655381:SRF655408 TBB655381:TBB655408 TKX655381:TKX655408 TUT655381:TUT655408 UEP655381:UEP655408 UOL655381:UOL655408 UYH655381:UYH655408 VID655381:VID655408 VRZ655381:VRZ655408 WBV655381:WBV655408 WLR655381:WLR655408 WVN655381:WVN655408 JB720917:JB720944 SX720917:SX720944 ACT720917:ACT720944 AMP720917:AMP720944 AWL720917:AWL720944 BGH720917:BGH720944 BQD720917:BQD720944 BZZ720917:BZZ720944 CJV720917:CJV720944 CTR720917:CTR720944 DDN720917:DDN720944 DNJ720917:DNJ720944 DXF720917:DXF720944 EHB720917:EHB720944 EQX720917:EQX720944 FAT720917:FAT720944 FKP720917:FKP720944 FUL720917:FUL720944 GEH720917:GEH720944 GOD720917:GOD720944 GXZ720917:GXZ720944 HHV720917:HHV720944 HRR720917:HRR720944 IBN720917:IBN720944 ILJ720917:ILJ720944 IVF720917:IVF720944 JFB720917:JFB720944 JOX720917:JOX720944 JYT720917:JYT720944 KIP720917:KIP720944 KSL720917:KSL720944 LCH720917:LCH720944 LMD720917:LMD720944 LVZ720917:LVZ720944 MFV720917:MFV720944 MPR720917:MPR720944 MZN720917:MZN720944 NJJ720917:NJJ720944 NTF720917:NTF720944 ODB720917:ODB720944 OMX720917:OMX720944 OWT720917:OWT720944 PGP720917:PGP720944 PQL720917:PQL720944 QAH720917:QAH720944 QKD720917:QKD720944 QTZ720917:QTZ720944 RDV720917:RDV720944 RNR720917:RNR720944 RXN720917:RXN720944 SHJ720917:SHJ720944 SRF720917:SRF720944 TBB720917:TBB720944 TKX720917:TKX720944 TUT720917:TUT720944 UEP720917:UEP720944 UOL720917:UOL720944 UYH720917:UYH720944 VID720917:VID720944 VRZ720917:VRZ720944 WBV720917:WBV720944 WLR720917:WLR720944 WVN720917:WVN720944 JB786453:JB786480 SX786453:SX786480 ACT786453:ACT786480 AMP786453:AMP786480 AWL786453:AWL786480 BGH786453:BGH786480 BQD786453:BQD786480 BZZ786453:BZZ786480 CJV786453:CJV786480 CTR786453:CTR786480 DDN786453:DDN786480 DNJ786453:DNJ786480 DXF786453:DXF786480 EHB786453:EHB786480 EQX786453:EQX786480 FAT786453:FAT786480 FKP786453:FKP786480 FUL786453:FUL786480 GEH786453:GEH786480 GOD786453:GOD786480 GXZ786453:GXZ786480 HHV786453:HHV786480 HRR786453:HRR786480 IBN786453:IBN786480 ILJ786453:ILJ786480 IVF786453:IVF786480 JFB786453:JFB786480 JOX786453:JOX786480 JYT786453:JYT786480 KIP786453:KIP786480 KSL786453:KSL786480 LCH786453:LCH786480 LMD786453:LMD786480 LVZ786453:LVZ786480 MFV786453:MFV786480 MPR786453:MPR786480 MZN786453:MZN786480 NJJ786453:NJJ786480 NTF786453:NTF786480 ODB786453:ODB786480 OMX786453:OMX786480 OWT786453:OWT786480 PGP786453:PGP786480 PQL786453:PQL786480 QAH786453:QAH786480 QKD786453:QKD786480 QTZ786453:QTZ786480 RDV786453:RDV786480 RNR786453:RNR786480 RXN786453:RXN786480 SHJ786453:SHJ786480 SRF786453:SRF786480 TBB786453:TBB786480 TKX786453:TKX786480 TUT786453:TUT786480 UEP786453:UEP786480 UOL786453:UOL786480 UYH786453:UYH786480 VID786453:VID786480 VRZ786453:VRZ786480 WBV786453:WBV786480 WLR786453:WLR786480 WVN786453:WVN786480 JB851989:JB852016 SX851989:SX852016 ACT851989:ACT852016 AMP851989:AMP852016 AWL851989:AWL852016 BGH851989:BGH852016 BQD851989:BQD852016 BZZ851989:BZZ852016 CJV851989:CJV852016 CTR851989:CTR852016 DDN851989:DDN852016 DNJ851989:DNJ852016 DXF851989:DXF852016 EHB851989:EHB852016 EQX851989:EQX852016 FAT851989:FAT852016 FKP851989:FKP852016 FUL851989:FUL852016 GEH851989:GEH852016 GOD851989:GOD852016 GXZ851989:GXZ852016 HHV851989:HHV852016 HRR851989:HRR852016 IBN851989:IBN852016 ILJ851989:ILJ852016 IVF851989:IVF852016 JFB851989:JFB852016 JOX851989:JOX852016 JYT851989:JYT852016 KIP851989:KIP852016 KSL851989:KSL852016 LCH851989:LCH852016 LMD851989:LMD852016 LVZ851989:LVZ852016 MFV851989:MFV852016 MPR851989:MPR852016 MZN851989:MZN852016 NJJ851989:NJJ852016 NTF851989:NTF852016 ODB851989:ODB852016 OMX851989:OMX852016 OWT851989:OWT852016 PGP851989:PGP852016 PQL851989:PQL852016 QAH851989:QAH852016 QKD851989:QKD852016 QTZ851989:QTZ852016 RDV851989:RDV852016 RNR851989:RNR852016 RXN851989:RXN852016 SHJ851989:SHJ852016 SRF851989:SRF852016 TBB851989:TBB852016 TKX851989:TKX852016 TUT851989:TUT852016 UEP851989:UEP852016 UOL851989:UOL852016 UYH851989:UYH852016 VID851989:VID852016 VRZ851989:VRZ852016 WBV851989:WBV852016 WLR851989:WLR852016 WVN851989:WVN852016 JB917525:JB917552 SX917525:SX917552 ACT917525:ACT917552 AMP917525:AMP917552 AWL917525:AWL917552 BGH917525:BGH917552 BQD917525:BQD917552 BZZ917525:BZZ917552 CJV917525:CJV917552 CTR917525:CTR917552 DDN917525:DDN917552 DNJ917525:DNJ917552 DXF917525:DXF917552 EHB917525:EHB917552 EQX917525:EQX917552 FAT917525:FAT917552 FKP917525:FKP917552 FUL917525:FUL917552 GEH917525:GEH917552 GOD917525:GOD917552 GXZ917525:GXZ917552 HHV917525:HHV917552 HRR917525:HRR917552 IBN917525:IBN917552 ILJ917525:ILJ917552 IVF917525:IVF917552 JFB917525:JFB917552 JOX917525:JOX917552 JYT917525:JYT917552 KIP917525:KIP917552 KSL917525:KSL917552 LCH917525:LCH917552 LMD917525:LMD917552 LVZ917525:LVZ917552 MFV917525:MFV917552 MPR917525:MPR917552 MZN917525:MZN917552 NJJ917525:NJJ917552 NTF917525:NTF917552 ODB917525:ODB917552 OMX917525:OMX917552 OWT917525:OWT917552 PGP917525:PGP917552 PQL917525:PQL917552 QAH917525:QAH917552 QKD917525:QKD917552 QTZ917525:QTZ917552 RDV917525:RDV917552 RNR917525:RNR917552 RXN917525:RXN917552 SHJ917525:SHJ917552 SRF917525:SRF917552 TBB917525:TBB917552 TKX917525:TKX917552 TUT917525:TUT917552 UEP917525:UEP917552 UOL917525:UOL917552 UYH917525:UYH917552 VID917525:VID917552 VRZ917525:VRZ917552 WBV917525:WBV917552 WLR917525:WLR917552 WVN917525:WVN917552 JB983061:JB983088 SX983061:SX983088 ACT983061:ACT983088 AMP983061:AMP983088 AWL983061:AWL983088 BGH983061:BGH983088 BQD983061:BQD983088 BZZ983061:BZZ983088 CJV983061:CJV983088 CTR983061:CTR983088 DDN983061:DDN983088 DNJ983061:DNJ983088 DXF983061:DXF983088 EHB983061:EHB983088 EQX983061:EQX983088 FAT983061:FAT983088 FKP983061:FKP983088 FUL983061:FUL983088 GEH983061:GEH983088 GOD983061:GOD983088 GXZ983061:GXZ983088 HHV983061:HHV983088 HRR983061:HRR983088 IBN983061:IBN983088 ILJ983061:ILJ983088 IVF983061:IVF983088 JFB983061:JFB983088 JOX983061:JOX983088 JYT983061:JYT983088 KIP983061:KIP983088 KSL983061:KSL983088 LCH983061:LCH983088 LMD983061:LMD983088 LVZ983061:LVZ983088 MFV983061:MFV983088 MPR983061:MPR983088 MZN983061:MZN983088 NJJ983061:NJJ983088 NTF983061:NTF983088 ODB983061:ODB983088 OMX983061:OMX983088 OWT983061:OWT983088 PGP983061:PGP983088 PQL983061:PQL983088 QAH983061:QAH983088 QKD983061:QKD983088 QTZ983061:QTZ983088 RDV983061:RDV983088 RNR983061:RNR983088 RXN983061:RXN983088 SHJ983061:SHJ983088 SRF983061:SRF983088 TBB983061:TBB983088 TKX983061:TKX983088 TUT983061:TUT983088 UEP983061:UEP983088 UOL983061:UOL983088 UYH983061:UYH983088 VID983061:VID983088 VRZ983061:VRZ983088 WBV983061:WBV983088 WLR983061:WLR983088 WVN1:WVN34 WLR1:WLR34 WBV1:WBV34 VRZ1:VRZ34 VID1:VID34 UYH1:UYH34 UOL1:UOL34 UEP1:UEP34 TUT1:TUT34 TKX1:TKX34 TBB1:TBB34 SRF1:SRF34 SHJ1:SHJ34 RXN1:RXN34 RNR1:RNR34 RDV1:RDV34 QTZ1:QTZ34 QKD1:QKD34 QAH1:QAH34 PQL1:PQL34 PGP1:PGP34 OWT1:OWT34 OMX1:OMX34 ODB1:ODB34 NTF1:NTF34 NJJ1:NJJ34 MZN1:MZN34 MPR1:MPR34 MFV1:MFV34 LVZ1:LVZ34 LMD1:LMD34 LCH1:LCH34 KSL1:KSL34 KIP1:KIP34 JYT1:JYT34 JOX1:JOX34 JFB1:JFB34 IVF1:IVF34 ILJ1:ILJ34 IBN1:IBN34 HRR1:HRR34 HHV1:HHV34 GXZ1:GXZ34 GOD1:GOD34 GEH1:GEH34 FUL1:FUL34 FKP1:FKP34 FAT1:FAT34 EQX1:EQX34 EHB1:EHB34 DXF1:DXF34 DNJ1:DNJ34 DDN1:DDN34 CTR1:CTR34 CJV1:CJV34 BZZ1:BZZ34 BQD1:BQD34 BGH1:BGH34 AWL1:AWL34 AMP1:AMP34 ACT1:ACT34 SX1:SX34 JB1:JB34 B65557:B65584 B131093:B131120 B196629:B196656 B262165:B262192 B327701:B327728 B393237:B393264 B458773:B458800 B524309:B524336 B589845:B589872 B655381:B655408 B720917:B720944 B786453:B786480 B851989:B852016 B917525:B917552 B983061:B983088 B1" xr:uid="{1CC7598A-C000-4646-8423-8FAFF9E82D21}">
      <formula1>#REF!</formula1>
    </dataValidation>
    <dataValidation type="list" allowBlank="1" showInputMessage="1" showErrorMessage="1" sqref="C65557:D65584 C983061:D983088 C917525:D917552 C851989:D852016 C786453:D786480 C720917:D720944 C655381:D655408 C589845:D589872 C524309:D524336 C458773:D458800 C393237:D393264 C327701:D327728 C262165:D262192 C196629:D196656 C131093:D131120" xr:uid="{F4E25A44-BCE6-4FE3-85BF-C9BC66C43997}">
      <formula1>$O$1:$O$6</formula1>
    </dataValidation>
    <dataValidation type="list" allowBlank="1" showInputMessage="1" showErrorMessage="1" sqref="WVO983061:WVO983088 JC65557:JC65584 SY65557:SY65584 ACU65557:ACU65584 AMQ65557:AMQ65584 AWM65557:AWM65584 BGI65557:BGI65584 BQE65557:BQE65584 CAA65557:CAA65584 CJW65557:CJW65584 CTS65557:CTS65584 DDO65557:DDO65584 DNK65557:DNK65584 DXG65557:DXG65584 EHC65557:EHC65584 EQY65557:EQY65584 FAU65557:FAU65584 FKQ65557:FKQ65584 FUM65557:FUM65584 GEI65557:GEI65584 GOE65557:GOE65584 GYA65557:GYA65584 HHW65557:HHW65584 HRS65557:HRS65584 IBO65557:IBO65584 ILK65557:ILK65584 IVG65557:IVG65584 JFC65557:JFC65584 JOY65557:JOY65584 JYU65557:JYU65584 KIQ65557:KIQ65584 KSM65557:KSM65584 LCI65557:LCI65584 LME65557:LME65584 LWA65557:LWA65584 MFW65557:MFW65584 MPS65557:MPS65584 MZO65557:MZO65584 NJK65557:NJK65584 NTG65557:NTG65584 ODC65557:ODC65584 OMY65557:OMY65584 OWU65557:OWU65584 PGQ65557:PGQ65584 PQM65557:PQM65584 QAI65557:QAI65584 QKE65557:QKE65584 QUA65557:QUA65584 RDW65557:RDW65584 RNS65557:RNS65584 RXO65557:RXO65584 SHK65557:SHK65584 SRG65557:SRG65584 TBC65557:TBC65584 TKY65557:TKY65584 TUU65557:TUU65584 UEQ65557:UEQ65584 UOM65557:UOM65584 UYI65557:UYI65584 VIE65557:VIE65584 VSA65557:VSA65584 WBW65557:WBW65584 WLS65557:WLS65584 WVO65557:WVO65584 JC131093:JC131120 SY131093:SY131120 ACU131093:ACU131120 AMQ131093:AMQ131120 AWM131093:AWM131120 BGI131093:BGI131120 BQE131093:BQE131120 CAA131093:CAA131120 CJW131093:CJW131120 CTS131093:CTS131120 DDO131093:DDO131120 DNK131093:DNK131120 DXG131093:DXG131120 EHC131093:EHC131120 EQY131093:EQY131120 FAU131093:FAU131120 FKQ131093:FKQ131120 FUM131093:FUM131120 GEI131093:GEI131120 GOE131093:GOE131120 GYA131093:GYA131120 HHW131093:HHW131120 HRS131093:HRS131120 IBO131093:IBO131120 ILK131093:ILK131120 IVG131093:IVG131120 JFC131093:JFC131120 JOY131093:JOY131120 JYU131093:JYU131120 KIQ131093:KIQ131120 KSM131093:KSM131120 LCI131093:LCI131120 LME131093:LME131120 LWA131093:LWA131120 MFW131093:MFW131120 MPS131093:MPS131120 MZO131093:MZO131120 NJK131093:NJK131120 NTG131093:NTG131120 ODC131093:ODC131120 OMY131093:OMY131120 OWU131093:OWU131120 PGQ131093:PGQ131120 PQM131093:PQM131120 QAI131093:QAI131120 QKE131093:QKE131120 QUA131093:QUA131120 RDW131093:RDW131120 RNS131093:RNS131120 RXO131093:RXO131120 SHK131093:SHK131120 SRG131093:SRG131120 TBC131093:TBC131120 TKY131093:TKY131120 TUU131093:TUU131120 UEQ131093:UEQ131120 UOM131093:UOM131120 UYI131093:UYI131120 VIE131093:VIE131120 VSA131093:VSA131120 WBW131093:WBW131120 WLS131093:WLS131120 WVO131093:WVO131120 JC196629:JC196656 SY196629:SY196656 ACU196629:ACU196656 AMQ196629:AMQ196656 AWM196629:AWM196656 BGI196629:BGI196656 BQE196629:BQE196656 CAA196629:CAA196656 CJW196629:CJW196656 CTS196629:CTS196656 DDO196629:DDO196656 DNK196629:DNK196656 DXG196629:DXG196656 EHC196629:EHC196656 EQY196629:EQY196656 FAU196629:FAU196656 FKQ196629:FKQ196656 FUM196629:FUM196656 GEI196629:GEI196656 GOE196629:GOE196656 GYA196629:GYA196656 HHW196629:HHW196656 HRS196629:HRS196656 IBO196629:IBO196656 ILK196629:ILK196656 IVG196629:IVG196656 JFC196629:JFC196656 JOY196629:JOY196656 JYU196629:JYU196656 KIQ196629:KIQ196656 KSM196629:KSM196656 LCI196629:LCI196656 LME196629:LME196656 LWA196629:LWA196656 MFW196629:MFW196656 MPS196629:MPS196656 MZO196629:MZO196656 NJK196629:NJK196656 NTG196629:NTG196656 ODC196629:ODC196656 OMY196629:OMY196656 OWU196629:OWU196656 PGQ196629:PGQ196656 PQM196629:PQM196656 QAI196629:QAI196656 QKE196629:QKE196656 QUA196629:QUA196656 RDW196629:RDW196656 RNS196629:RNS196656 RXO196629:RXO196656 SHK196629:SHK196656 SRG196629:SRG196656 TBC196629:TBC196656 TKY196629:TKY196656 TUU196629:TUU196656 UEQ196629:UEQ196656 UOM196629:UOM196656 UYI196629:UYI196656 VIE196629:VIE196656 VSA196629:VSA196656 WBW196629:WBW196656 WLS196629:WLS196656 WVO196629:WVO196656 JC262165:JC262192 SY262165:SY262192 ACU262165:ACU262192 AMQ262165:AMQ262192 AWM262165:AWM262192 BGI262165:BGI262192 BQE262165:BQE262192 CAA262165:CAA262192 CJW262165:CJW262192 CTS262165:CTS262192 DDO262165:DDO262192 DNK262165:DNK262192 DXG262165:DXG262192 EHC262165:EHC262192 EQY262165:EQY262192 FAU262165:FAU262192 FKQ262165:FKQ262192 FUM262165:FUM262192 GEI262165:GEI262192 GOE262165:GOE262192 GYA262165:GYA262192 HHW262165:HHW262192 HRS262165:HRS262192 IBO262165:IBO262192 ILK262165:ILK262192 IVG262165:IVG262192 JFC262165:JFC262192 JOY262165:JOY262192 JYU262165:JYU262192 KIQ262165:KIQ262192 KSM262165:KSM262192 LCI262165:LCI262192 LME262165:LME262192 LWA262165:LWA262192 MFW262165:MFW262192 MPS262165:MPS262192 MZO262165:MZO262192 NJK262165:NJK262192 NTG262165:NTG262192 ODC262165:ODC262192 OMY262165:OMY262192 OWU262165:OWU262192 PGQ262165:PGQ262192 PQM262165:PQM262192 QAI262165:QAI262192 QKE262165:QKE262192 QUA262165:QUA262192 RDW262165:RDW262192 RNS262165:RNS262192 RXO262165:RXO262192 SHK262165:SHK262192 SRG262165:SRG262192 TBC262165:TBC262192 TKY262165:TKY262192 TUU262165:TUU262192 UEQ262165:UEQ262192 UOM262165:UOM262192 UYI262165:UYI262192 VIE262165:VIE262192 VSA262165:VSA262192 WBW262165:WBW262192 WLS262165:WLS262192 WVO262165:WVO262192 JC327701:JC327728 SY327701:SY327728 ACU327701:ACU327728 AMQ327701:AMQ327728 AWM327701:AWM327728 BGI327701:BGI327728 BQE327701:BQE327728 CAA327701:CAA327728 CJW327701:CJW327728 CTS327701:CTS327728 DDO327701:DDO327728 DNK327701:DNK327728 DXG327701:DXG327728 EHC327701:EHC327728 EQY327701:EQY327728 FAU327701:FAU327728 FKQ327701:FKQ327728 FUM327701:FUM327728 GEI327701:GEI327728 GOE327701:GOE327728 GYA327701:GYA327728 HHW327701:HHW327728 HRS327701:HRS327728 IBO327701:IBO327728 ILK327701:ILK327728 IVG327701:IVG327728 JFC327701:JFC327728 JOY327701:JOY327728 JYU327701:JYU327728 KIQ327701:KIQ327728 KSM327701:KSM327728 LCI327701:LCI327728 LME327701:LME327728 LWA327701:LWA327728 MFW327701:MFW327728 MPS327701:MPS327728 MZO327701:MZO327728 NJK327701:NJK327728 NTG327701:NTG327728 ODC327701:ODC327728 OMY327701:OMY327728 OWU327701:OWU327728 PGQ327701:PGQ327728 PQM327701:PQM327728 QAI327701:QAI327728 QKE327701:QKE327728 QUA327701:QUA327728 RDW327701:RDW327728 RNS327701:RNS327728 RXO327701:RXO327728 SHK327701:SHK327728 SRG327701:SRG327728 TBC327701:TBC327728 TKY327701:TKY327728 TUU327701:TUU327728 UEQ327701:UEQ327728 UOM327701:UOM327728 UYI327701:UYI327728 VIE327701:VIE327728 VSA327701:VSA327728 WBW327701:WBW327728 WLS327701:WLS327728 WVO327701:WVO327728 JC393237:JC393264 SY393237:SY393264 ACU393237:ACU393264 AMQ393237:AMQ393264 AWM393237:AWM393264 BGI393237:BGI393264 BQE393237:BQE393264 CAA393237:CAA393264 CJW393237:CJW393264 CTS393237:CTS393264 DDO393237:DDO393264 DNK393237:DNK393264 DXG393237:DXG393264 EHC393237:EHC393264 EQY393237:EQY393264 FAU393237:FAU393264 FKQ393237:FKQ393264 FUM393237:FUM393264 GEI393237:GEI393264 GOE393237:GOE393264 GYA393237:GYA393264 HHW393237:HHW393264 HRS393237:HRS393264 IBO393237:IBO393264 ILK393237:ILK393264 IVG393237:IVG393264 JFC393237:JFC393264 JOY393237:JOY393264 JYU393237:JYU393264 KIQ393237:KIQ393264 KSM393237:KSM393264 LCI393237:LCI393264 LME393237:LME393264 LWA393237:LWA393264 MFW393237:MFW393264 MPS393237:MPS393264 MZO393237:MZO393264 NJK393237:NJK393264 NTG393237:NTG393264 ODC393237:ODC393264 OMY393237:OMY393264 OWU393237:OWU393264 PGQ393237:PGQ393264 PQM393237:PQM393264 QAI393237:QAI393264 QKE393237:QKE393264 QUA393237:QUA393264 RDW393237:RDW393264 RNS393237:RNS393264 RXO393237:RXO393264 SHK393237:SHK393264 SRG393237:SRG393264 TBC393237:TBC393264 TKY393237:TKY393264 TUU393237:TUU393264 UEQ393237:UEQ393264 UOM393237:UOM393264 UYI393237:UYI393264 VIE393237:VIE393264 VSA393237:VSA393264 WBW393237:WBW393264 WLS393237:WLS393264 WVO393237:WVO393264 JC458773:JC458800 SY458773:SY458800 ACU458773:ACU458800 AMQ458773:AMQ458800 AWM458773:AWM458800 BGI458773:BGI458800 BQE458773:BQE458800 CAA458773:CAA458800 CJW458773:CJW458800 CTS458773:CTS458800 DDO458773:DDO458800 DNK458773:DNK458800 DXG458773:DXG458800 EHC458773:EHC458800 EQY458773:EQY458800 FAU458773:FAU458800 FKQ458773:FKQ458800 FUM458773:FUM458800 GEI458773:GEI458800 GOE458773:GOE458800 GYA458773:GYA458800 HHW458773:HHW458800 HRS458773:HRS458800 IBO458773:IBO458800 ILK458773:ILK458800 IVG458773:IVG458800 JFC458773:JFC458800 JOY458773:JOY458800 JYU458773:JYU458800 KIQ458773:KIQ458800 KSM458773:KSM458800 LCI458773:LCI458800 LME458773:LME458800 LWA458773:LWA458800 MFW458773:MFW458800 MPS458773:MPS458800 MZO458773:MZO458800 NJK458773:NJK458800 NTG458773:NTG458800 ODC458773:ODC458800 OMY458773:OMY458800 OWU458773:OWU458800 PGQ458773:PGQ458800 PQM458773:PQM458800 QAI458773:QAI458800 QKE458773:QKE458800 QUA458773:QUA458800 RDW458773:RDW458800 RNS458773:RNS458800 RXO458773:RXO458800 SHK458773:SHK458800 SRG458773:SRG458800 TBC458773:TBC458800 TKY458773:TKY458800 TUU458773:TUU458800 UEQ458773:UEQ458800 UOM458773:UOM458800 UYI458773:UYI458800 VIE458773:VIE458800 VSA458773:VSA458800 WBW458773:WBW458800 WLS458773:WLS458800 WVO458773:WVO458800 JC524309:JC524336 SY524309:SY524336 ACU524309:ACU524336 AMQ524309:AMQ524336 AWM524309:AWM524336 BGI524309:BGI524336 BQE524309:BQE524336 CAA524309:CAA524336 CJW524309:CJW524336 CTS524309:CTS524336 DDO524309:DDO524336 DNK524309:DNK524336 DXG524309:DXG524336 EHC524309:EHC524336 EQY524309:EQY524336 FAU524309:FAU524336 FKQ524309:FKQ524336 FUM524309:FUM524336 GEI524309:GEI524336 GOE524309:GOE524336 GYA524309:GYA524336 HHW524309:HHW524336 HRS524309:HRS524336 IBO524309:IBO524336 ILK524309:ILK524336 IVG524309:IVG524336 JFC524309:JFC524336 JOY524309:JOY524336 JYU524309:JYU524336 KIQ524309:KIQ524336 KSM524309:KSM524336 LCI524309:LCI524336 LME524309:LME524336 LWA524309:LWA524336 MFW524309:MFW524336 MPS524309:MPS524336 MZO524309:MZO524336 NJK524309:NJK524336 NTG524309:NTG524336 ODC524309:ODC524336 OMY524309:OMY524336 OWU524309:OWU524336 PGQ524309:PGQ524336 PQM524309:PQM524336 QAI524309:QAI524336 QKE524309:QKE524336 QUA524309:QUA524336 RDW524309:RDW524336 RNS524309:RNS524336 RXO524309:RXO524336 SHK524309:SHK524336 SRG524309:SRG524336 TBC524309:TBC524336 TKY524309:TKY524336 TUU524309:TUU524336 UEQ524309:UEQ524336 UOM524309:UOM524336 UYI524309:UYI524336 VIE524309:VIE524336 VSA524309:VSA524336 WBW524309:WBW524336 WLS524309:WLS524336 WVO524309:WVO524336 JC589845:JC589872 SY589845:SY589872 ACU589845:ACU589872 AMQ589845:AMQ589872 AWM589845:AWM589872 BGI589845:BGI589872 BQE589845:BQE589872 CAA589845:CAA589872 CJW589845:CJW589872 CTS589845:CTS589872 DDO589845:DDO589872 DNK589845:DNK589872 DXG589845:DXG589872 EHC589845:EHC589872 EQY589845:EQY589872 FAU589845:FAU589872 FKQ589845:FKQ589872 FUM589845:FUM589872 GEI589845:GEI589872 GOE589845:GOE589872 GYA589845:GYA589872 HHW589845:HHW589872 HRS589845:HRS589872 IBO589845:IBO589872 ILK589845:ILK589872 IVG589845:IVG589872 JFC589845:JFC589872 JOY589845:JOY589872 JYU589845:JYU589872 KIQ589845:KIQ589872 KSM589845:KSM589872 LCI589845:LCI589872 LME589845:LME589872 LWA589845:LWA589872 MFW589845:MFW589872 MPS589845:MPS589872 MZO589845:MZO589872 NJK589845:NJK589872 NTG589845:NTG589872 ODC589845:ODC589872 OMY589845:OMY589872 OWU589845:OWU589872 PGQ589845:PGQ589872 PQM589845:PQM589872 QAI589845:QAI589872 QKE589845:QKE589872 QUA589845:QUA589872 RDW589845:RDW589872 RNS589845:RNS589872 RXO589845:RXO589872 SHK589845:SHK589872 SRG589845:SRG589872 TBC589845:TBC589872 TKY589845:TKY589872 TUU589845:TUU589872 UEQ589845:UEQ589872 UOM589845:UOM589872 UYI589845:UYI589872 VIE589845:VIE589872 VSA589845:VSA589872 WBW589845:WBW589872 WLS589845:WLS589872 WVO589845:WVO589872 JC655381:JC655408 SY655381:SY655408 ACU655381:ACU655408 AMQ655381:AMQ655408 AWM655381:AWM655408 BGI655381:BGI655408 BQE655381:BQE655408 CAA655381:CAA655408 CJW655381:CJW655408 CTS655381:CTS655408 DDO655381:DDO655408 DNK655381:DNK655408 DXG655381:DXG655408 EHC655381:EHC655408 EQY655381:EQY655408 FAU655381:FAU655408 FKQ655381:FKQ655408 FUM655381:FUM655408 GEI655381:GEI655408 GOE655381:GOE655408 GYA655381:GYA655408 HHW655381:HHW655408 HRS655381:HRS655408 IBO655381:IBO655408 ILK655381:ILK655408 IVG655381:IVG655408 JFC655381:JFC655408 JOY655381:JOY655408 JYU655381:JYU655408 KIQ655381:KIQ655408 KSM655381:KSM655408 LCI655381:LCI655408 LME655381:LME655408 LWA655381:LWA655408 MFW655381:MFW655408 MPS655381:MPS655408 MZO655381:MZO655408 NJK655381:NJK655408 NTG655381:NTG655408 ODC655381:ODC655408 OMY655381:OMY655408 OWU655381:OWU655408 PGQ655381:PGQ655408 PQM655381:PQM655408 QAI655381:QAI655408 QKE655381:QKE655408 QUA655381:QUA655408 RDW655381:RDW655408 RNS655381:RNS655408 RXO655381:RXO655408 SHK655381:SHK655408 SRG655381:SRG655408 TBC655381:TBC655408 TKY655381:TKY655408 TUU655381:TUU655408 UEQ655381:UEQ655408 UOM655381:UOM655408 UYI655381:UYI655408 VIE655381:VIE655408 VSA655381:VSA655408 WBW655381:WBW655408 WLS655381:WLS655408 WVO655381:WVO655408 JC720917:JC720944 SY720917:SY720944 ACU720917:ACU720944 AMQ720917:AMQ720944 AWM720917:AWM720944 BGI720917:BGI720944 BQE720917:BQE720944 CAA720917:CAA720944 CJW720917:CJW720944 CTS720917:CTS720944 DDO720917:DDO720944 DNK720917:DNK720944 DXG720917:DXG720944 EHC720917:EHC720944 EQY720917:EQY720944 FAU720917:FAU720944 FKQ720917:FKQ720944 FUM720917:FUM720944 GEI720917:GEI720944 GOE720917:GOE720944 GYA720917:GYA720944 HHW720917:HHW720944 HRS720917:HRS720944 IBO720917:IBO720944 ILK720917:ILK720944 IVG720917:IVG720944 JFC720917:JFC720944 JOY720917:JOY720944 JYU720917:JYU720944 KIQ720917:KIQ720944 KSM720917:KSM720944 LCI720917:LCI720944 LME720917:LME720944 LWA720917:LWA720944 MFW720917:MFW720944 MPS720917:MPS720944 MZO720917:MZO720944 NJK720917:NJK720944 NTG720917:NTG720944 ODC720917:ODC720944 OMY720917:OMY720944 OWU720917:OWU720944 PGQ720917:PGQ720944 PQM720917:PQM720944 QAI720917:QAI720944 QKE720917:QKE720944 QUA720917:QUA720944 RDW720917:RDW720944 RNS720917:RNS720944 RXO720917:RXO720944 SHK720917:SHK720944 SRG720917:SRG720944 TBC720917:TBC720944 TKY720917:TKY720944 TUU720917:TUU720944 UEQ720917:UEQ720944 UOM720917:UOM720944 UYI720917:UYI720944 VIE720917:VIE720944 VSA720917:VSA720944 WBW720917:WBW720944 WLS720917:WLS720944 WVO720917:WVO720944 JC786453:JC786480 SY786453:SY786480 ACU786453:ACU786480 AMQ786453:AMQ786480 AWM786453:AWM786480 BGI786453:BGI786480 BQE786453:BQE786480 CAA786453:CAA786480 CJW786453:CJW786480 CTS786453:CTS786480 DDO786453:DDO786480 DNK786453:DNK786480 DXG786453:DXG786480 EHC786453:EHC786480 EQY786453:EQY786480 FAU786453:FAU786480 FKQ786453:FKQ786480 FUM786453:FUM786480 GEI786453:GEI786480 GOE786453:GOE786480 GYA786453:GYA786480 HHW786453:HHW786480 HRS786453:HRS786480 IBO786453:IBO786480 ILK786453:ILK786480 IVG786453:IVG786480 JFC786453:JFC786480 JOY786453:JOY786480 JYU786453:JYU786480 KIQ786453:KIQ786480 KSM786453:KSM786480 LCI786453:LCI786480 LME786453:LME786480 LWA786453:LWA786480 MFW786453:MFW786480 MPS786453:MPS786480 MZO786453:MZO786480 NJK786453:NJK786480 NTG786453:NTG786480 ODC786453:ODC786480 OMY786453:OMY786480 OWU786453:OWU786480 PGQ786453:PGQ786480 PQM786453:PQM786480 QAI786453:QAI786480 QKE786453:QKE786480 QUA786453:QUA786480 RDW786453:RDW786480 RNS786453:RNS786480 RXO786453:RXO786480 SHK786453:SHK786480 SRG786453:SRG786480 TBC786453:TBC786480 TKY786453:TKY786480 TUU786453:TUU786480 UEQ786453:UEQ786480 UOM786453:UOM786480 UYI786453:UYI786480 VIE786453:VIE786480 VSA786453:VSA786480 WBW786453:WBW786480 WLS786453:WLS786480 WVO786453:WVO786480 JC851989:JC852016 SY851989:SY852016 ACU851989:ACU852016 AMQ851989:AMQ852016 AWM851989:AWM852016 BGI851989:BGI852016 BQE851989:BQE852016 CAA851989:CAA852016 CJW851989:CJW852016 CTS851989:CTS852016 DDO851989:DDO852016 DNK851989:DNK852016 DXG851989:DXG852016 EHC851989:EHC852016 EQY851989:EQY852016 FAU851989:FAU852016 FKQ851989:FKQ852016 FUM851989:FUM852016 GEI851989:GEI852016 GOE851989:GOE852016 GYA851989:GYA852016 HHW851989:HHW852016 HRS851989:HRS852016 IBO851989:IBO852016 ILK851989:ILK852016 IVG851989:IVG852016 JFC851989:JFC852016 JOY851989:JOY852016 JYU851989:JYU852016 KIQ851989:KIQ852016 KSM851989:KSM852016 LCI851989:LCI852016 LME851989:LME852016 LWA851989:LWA852016 MFW851989:MFW852016 MPS851989:MPS852016 MZO851989:MZO852016 NJK851989:NJK852016 NTG851989:NTG852016 ODC851989:ODC852016 OMY851989:OMY852016 OWU851989:OWU852016 PGQ851989:PGQ852016 PQM851989:PQM852016 QAI851989:QAI852016 QKE851989:QKE852016 QUA851989:QUA852016 RDW851989:RDW852016 RNS851989:RNS852016 RXO851989:RXO852016 SHK851989:SHK852016 SRG851989:SRG852016 TBC851989:TBC852016 TKY851989:TKY852016 TUU851989:TUU852016 UEQ851989:UEQ852016 UOM851989:UOM852016 UYI851989:UYI852016 VIE851989:VIE852016 VSA851989:VSA852016 WBW851989:WBW852016 WLS851989:WLS852016 WVO851989:WVO852016 JC917525:JC917552 SY917525:SY917552 ACU917525:ACU917552 AMQ917525:AMQ917552 AWM917525:AWM917552 BGI917525:BGI917552 BQE917525:BQE917552 CAA917525:CAA917552 CJW917525:CJW917552 CTS917525:CTS917552 DDO917525:DDO917552 DNK917525:DNK917552 DXG917525:DXG917552 EHC917525:EHC917552 EQY917525:EQY917552 FAU917525:FAU917552 FKQ917525:FKQ917552 FUM917525:FUM917552 GEI917525:GEI917552 GOE917525:GOE917552 GYA917525:GYA917552 HHW917525:HHW917552 HRS917525:HRS917552 IBO917525:IBO917552 ILK917525:ILK917552 IVG917525:IVG917552 JFC917525:JFC917552 JOY917525:JOY917552 JYU917525:JYU917552 KIQ917525:KIQ917552 KSM917525:KSM917552 LCI917525:LCI917552 LME917525:LME917552 LWA917525:LWA917552 MFW917525:MFW917552 MPS917525:MPS917552 MZO917525:MZO917552 NJK917525:NJK917552 NTG917525:NTG917552 ODC917525:ODC917552 OMY917525:OMY917552 OWU917525:OWU917552 PGQ917525:PGQ917552 PQM917525:PQM917552 QAI917525:QAI917552 QKE917525:QKE917552 QUA917525:QUA917552 RDW917525:RDW917552 RNS917525:RNS917552 RXO917525:RXO917552 SHK917525:SHK917552 SRG917525:SRG917552 TBC917525:TBC917552 TKY917525:TKY917552 TUU917525:TUU917552 UEQ917525:UEQ917552 UOM917525:UOM917552 UYI917525:UYI917552 VIE917525:VIE917552 VSA917525:VSA917552 WBW917525:WBW917552 WLS917525:WLS917552 WVO917525:WVO917552 SY1:SY34 JC983061:JC983088 SY983061:SY983088 ACU983061:ACU983088 AMQ983061:AMQ983088 AWM983061:AWM983088 BGI983061:BGI983088 BQE983061:BQE983088 CAA983061:CAA983088 CJW983061:CJW983088 CTS983061:CTS983088 DDO983061:DDO983088 DNK983061:DNK983088 DXG983061:DXG983088 EHC983061:EHC983088 EQY983061:EQY983088 FAU983061:FAU983088 FKQ983061:FKQ983088 FUM983061:FUM983088 GEI983061:GEI983088 GOE983061:GOE983088 GYA983061:GYA983088 HHW983061:HHW983088 HRS983061:HRS983088 IBO983061:IBO983088 ILK983061:ILK983088 IVG983061:IVG983088 JFC983061:JFC983088 JOY983061:JOY983088 JYU983061:JYU983088 KIQ983061:KIQ983088 KSM983061:KSM983088 LCI983061:LCI983088 LME983061:LME983088 LWA983061:LWA983088 MFW983061:MFW983088 MPS983061:MPS983088 MZO983061:MZO983088 NJK983061:NJK983088 NTG983061:NTG983088 ODC983061:ODC983088 OMY983061:OMY983088 OWU983061:OWU983088 PGQ983061:PGQ983088 PQM983061:PQM983088 QAI983061:QAI983088 QKE983061:QKE983088 QUA983061:QUA983088 RDW983061:RDW983088 RNS983061:RNS983088 RXO983061:RXO983088 SHK983061:SHK983088 SRG983061:SRG983088 TBC983061:TBC983088 TKY983061:TKY983088 TUU983061:TUU983088 UEQ983061:UEQ983088 UOM983061:UOM983088 UYI983061:UYI983088 VIE983061:VIE983088 VSA983061:VSA983088 WBW983061:WBW983088 WLS983061:WLS983088 JC1:JC34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" xr:uid="{0305C507-2669-4718-B1EE-E244BFD6F82C}">
      <formula1>$K$1:$K$6</formula1>
    </dataValidation>
    <dataValidation type="list" allowBlank="1" showInputMessage="1" showErrorMessage="1" sqref="D2" xr:uid="{63FFCC71-E3A3-4A57-8E02-9151CC75D642}">
      <formula1>$V$1:$V$10</formula1>
    </dataValidation>
    <dataValidation type="list" allowBlank="1" showInputMessage="1" showErrorMessage="1" sqref="D3:D48" xr:uid="{93244274-20D3-4270-BF02-A6EEE07B196E}">
      <formula1>$V$1:$V$9</formula1>
    </dataValidation>
    <dataValidation type="list" allowBlank="1" showInputMessage="1" showErrorMessage="1" sqref="D49:D56" xr:uid="{D6ACAB5E-35FF-4664-9F78-132653FEE12F}">
      <formula1>$H$2:$H$9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H24" sqref="H24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00" t="s">
        <v>76</v>
      </c>
      <c r="F2" s="100"/>
      <c r="G2" s="10"/>
      <c r="H2" s="100" t="s">
        <v>77</v>
      </c>
      <c r="I2" s="10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01">
        <f>C27*C4</f>
        <v>0</v>
      </c>
      <c r="F3" s="102"/>
      <c r="G3" s="10"/>
      <c r="H3" s="101">
        <f>D27*C4</f>
        <v>38</v>
      </c>
      <c r="I3" s="102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03"/>
      <c r="F4" s="104"/>
      <c r="G4" s="10"/>
      <c r="H4" s="103"/>
      <c r="I4" s="10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/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9">
        <f>Inputs!B8</f>
        <v>0</v>
      </c>
      <c r="D9" s="13"/>
      <c r="E9" s="15"/>
      <c r="F9" s="106" t="s">
        <v>84</v>
      </c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6"/>
      <c r="R9" s="10"/>
      <c r="S9" s="15"/>
      <c r="T9" s="106" t="s">
        <v>85</v>
      </c>
      <c r="U9" s="106"/>
      <c r="V9" s="106"/>
      <c r="W9" s="106"/>
      <c r="X9" s="106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9">
        <f>Inputs!B9</f>
        <v>0</v>
      </c>
      <c r="D10" s="17"/>
      <c r="E10" s="18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9"/>
      <c r="R10" s="10"/>
      <c r="S10" s="18"/>
      <c r="T10" s="107"/>
      <c r="U10" s="107"/>
      <c r="V10" s="107"/>
      <c r="W10" s="107"/>
      <c r="X10" s="107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9">
        <f>Inputs!B10</f>
        <v>0</v>
      </c>
      <c r="D11" s="17"/>
      <c r="E11" s="18"/>
      <c r="F11" s="114" t="s">
        <v>79</v>
      </c>
      <c r="G11" s="114" t="s">
        <v>88</v>
      </c>
      <c r="H11" s="20"/>
      <c r="I11" s="115" t="s">
        <v>78</v>
      </c>
      <c r="J11" s="115" t="s">
        <v>89</v>
      </c>
      <c r="K11" s="21"/>
      <c r="L11" s="116" t="s">
        <v>90</v>
      </c>
      <c r="M11" s="116" t="s">
        <v>91</v>
      </c>
      <c r="N11" s="21"/>
      <c r="O11" s="117" t="s">
        <v>92</v>
      </c>
      <c r="P11" s="117" t="s">
        <v>93</v>
      </c>
      <c r="Q11" s="19"/>
      <c r="R11" s="10"/>
      <c r="S11" s="18"/>
      <c r="T11" s="114" t="s">
        <v>94</v>
      </c>
      <c r="U11" s="114" t="s">
        <v>95</v>
      </c>
      <c r="V11" s="20"/>
      <c r="W11" s="115" t="s">
        <v>96</v>
      </c>
      <c r="X11" s="115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14"/>
      <c r="G12" s="114"/>
      <c r="H12" s="20"/>
      <c r="I12" s="115"/>
      <c r="J12" s="115"/>
      <c r="K12" s="21"/>
      <c r="L12" s="116"/>
      <c r="M12" s="116"/>
      <c r="N12" s="21"/>
      <c r="O12" s="117"/>
      <c r="P12" s="117"/>
      <c r="Q12" s="19"/>
      <c r="R12" s="10"/>
      <c r="S12" s="18"/>
      <c r="T12" s="114"/>
      <c r="U12" s="114"/>
      <c r="V12" s="20"/>
      <c r="W12" s="115"/>
      <c r="X12" s="115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08">
        <f>C6</f>
        <v>0</v>
      </c>
      <c r="G13" s="109">
        <f>C6/(25*C4)</f>
        <v>0</v>
      </c>
      <c r="H13" s="10"/>
      <c r="I13" s="110">
        <f>C5</f>
        <v>0</v>
      </c>
      <c r="J13" s="112">
        <f>C5/(185*C4)</f>
        <v>0</v>
      </c>
      <c r="K13" s="23"/>
      <c r="L13" s="105">
        <f>C7</f>
        <v>0</v>
      </c>
      <c r="M13" s="105">
        <f>C7/(25*C4)</f>
        <v>0</v>
      </c>
      <c r="N13" s="23"/>
      <c r="O13" s="113">
        <f>C8</f>
        <v>0</v>
      </c>
      <c r="P13" s="113">
        <f>C8/(1*C4)</f>
        <v>0</v>
      </c>
      <c r="Q13" s="19"/>
      <c r="R13" s="10"/>
      <c r="S13" s="18"/>
      <c r="T13" s="108">
        <f>(C9="YES")*('Percentage Data'!R21)+(C10="YES")*('Percentage Data'!R22)+(C11="YES")*('Percentage Data'!R23)</f>
        <v>0</v>
      </c>
      <c r="U13" s="109">
        <f>((((C9="YES")*('Percentage Data'!R21)+(C10="YES")*('Percentage Data'!R22)+(C11="YES")*('Percentage Data'!R23))/C4)/C14)/2</f>
        <v>0</v>
      </c>
      <c r="V13" s="10"/>
      <c r="W13" s="111">
        <f>(C9="YES")*('Percentage Data'!R21)+(C10="YES")*('Percentage Data'!R22)+(C11="YES")*('Percentage Data'!R23)</f>
        <v>0</v>
      </c>
      <c r="X13" s="112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08"/>
      <c r="G14" s="109"/>
      <c r="H14" s="10"/>
      <c r="I14" s="111"/>
      <c r="J14" s="112"/>
      <c r="K14" s="23"/>
      <c r="L14" s="105"/>
      <c r="M14" s="105"/>
      <c r="N14" s="23"/>
      <c r="O14" s="113"/>
      <c r="P14" s="113"/>
      <c r="Q14" s="19"/>
      <c r="R14" s="10"/>
      <c r="S14" s="18"/>
      <c r="T14" s="108"/>
      <c r="U14" s="109" t="e">
        <f>((((#REF!="YES")*('Percentage Data'!AC4)+(#REF!="YES")*('Percentage Data'!AC5)+(#REF!="YES")*('Percentage Data'!AC6))/#REF!)/#REF!)/2</f>
        <v>#REF!</v>
      </c>
      <c r="V14" s="10"/>
      <c r="W14" s="111"/>
      <c r="X14" s="112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206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Sheet'!H9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Sheet'!H10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Sheet'!H11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Sheet'!H12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Sheet'!H13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Sheet'!H14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Sheet'!H15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91">
        <f>SUM(D20:D26)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X13:X14"/>
    <mergeCell ref="T11:T12"/>
    <mergeCell ref="U11:U12"/>
    <mergeCell ref="W11:W12"/>
    <mergeCell ref="X11:X12"/>
    <mergeCell ref="T13:T14"/>
    <mergeCell ref="U13:U14"/>
    <mergeCell ref="W13:W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abSelected="1" topLeftCell="A22" workbookViewId="0">
      <selection activeCell="E50" sqref="E50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hidden="1" customWidth="1"/>
    <col min="12" max="12" width="15.5703125" style="38" hidden="1" customWidth="1"/>
    <col min="13" max="13" width="9.140625" style="38" hidden="1" customWidth="1"/>
    <col min="14" max="14" width="21.7109375" style="38" bestFit="1" customWidth="1"/>
    <col min="15" max="15" width="11.140625" style="38" customWidth="1"/>
    <col min="16" max="17" width="9.140625" style="38"/>
    <col min="18" max="19" width="9.140625" style="38" hidden="1" customWidth="1"/>
    <col min="20" max="20" width="0" style="38" hidden="1" customWidth="1"/>
    <col min="21" max="21" width="13.28515625" style="38" hidden="1" customWidth="1"/>
    <col min="22" max="23" width="12.5703125" style="38" hidden="1" customWidth="1"/>
    <col min="24" max="24" width="14.7109375" style="38" hidden="1" customWidth="1"/>
    <col min="25" max="25" width="16" style="38" hidden="1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Sheet'!$A:$B,2,FALSE),"")</f>
        <v>0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Sheet'!$G:$G,'Crew Sheet'!$K:$K),0)),"Loading",
IF(AND(COUNTIF($D3,"*R*"),COUNTIFS($I$1:I2,"Receiving",$T$1:T2,"x")&lt;ROUNDUP(SUM('Crew Sheet'!$K$10:$K$11),0)),"Receiving",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Sheet'!$A:$B,2,FALSE),"")</f>
        <v>0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Sheet'!$G:$G,'Crew Sheet'!$K:$K),0)),"Loading",
IF(AND(COUNTIF($D4,"*R*"),COUNTIFS($I$1:I3,"Receiving",$T$1:T3,"x")&lt;ROUNDUP(SUM('Crew Sheet'!$K$10:$K$11),0)),"Receiving",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Sheet'!$A:$B,2,FALSE),"")</f>
        <v>0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Sheet'!$G:$G,'Crew Sheet'!$K:$K),0)),"Loading",
IF(AND(COUNTIF($D5,"*R*"),COUNTIFS($I$1:I4,"Receiving",$T$1:T4,"x")&lt;ROUNDUP(SUM('Crew Sheet'!$K$10:$K$11),0)),"Receiving",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Sheet'!$A:$B,2,FALSE),"")</f>
        <v>0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Sheet'!$G:$G,'Crew Sheet'!$K:$K),0)),"Loading",
IF(AND(COUNTIF($D6,"*R*"),COUNTIFS($I$1:I5,"Receiving",$T$1:T5,"x")&lt;ROUNDUP(SUM('Crew Sheet'!$K$10:$K$11),0)),"Receiving",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Sheet'!$A:$B,2,FALSE),"")</f>
        <v>0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Sheet'!$G:$G,'Crew Sheet'!$K:$K),0)),"Loading",
IF(AND(COUNTIF($D7,"*R*"),COUNTIFS($I$1:I6,"Receiving",$T$1:T6,"x")&lt;ROUNDUP(SUM('Crew Sheet'!$K$10:$K$11),0)),"Receiving",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Sheet'!$A:$B,2,FALSE),"")</f>
        <v>0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Sheet'!$G:$G,'Crew Sheet'!$K:$K),0)),"Loading",
IF(AND(COUNTIF($D8,"*R*"),COUNTIFS($I$1:I7,"Receiving",$T$1:T7,"x")&lt;ROUNDUP(SUM('Crew Sheet'!$K$10:$K$11),0)),"Receiving",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Sheet'!$A:$B,2,FALSE),"")</f>
        <v>0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Sheet'!$G:$G,'Crew Sheet'!$K:$K),0)),"Loading",
IF(AND(COUNTIF($D9,"*R*"),COUNTIFS($I$1:I8,"Receiving",$T$1:T8,"x")&lt;ROUNDUP(SUM('Crew Sheet'!$K$10:$K$11),0)),"Receiving",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Sheet'!$A:$B,2,FALSE),"")</f>
        <v>0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Sheet'!$G:$G,'Crew Sheet'!$K:$K),0)),"Loading",
IF(AND(COUNTIF($D10,"*R*"),COUNTIFS($I$1:I9,"Receiving",$T$1:T9,"x")&lt;ROUNDUP(SUM('Crew Sheet'!$K$10:$K$11),0)),"Receiving",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Sheet'!$A:$B,2,FALSE),"")</f>
        <v>0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Sheet'!$G:$G,'Crew Sheet'!$K:$K),0)),"Loading",
IF(AND(COUNTIF($D11,"*R*"),COUNTIFS($I$1:I10,"Receiving",$T$1:T10,"x")&lt;ROUNDUP(SUM('Crew Sheet'!$K$10:$K$11),0)),"Receiving",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Sheet'!$A:$B,2,FALSE),"")</f>
        <v>0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Sheet'!$G:$G,'Crew Sheet'!$K:$K),0)),"Loading",
IF(AND(COUNTIF($D12,"*R*"),COUNTIFS($I$1:I11,"Receiving",$T$1:T11,"x")&lt;ROUNDUP(SUM('Crew Sheet'!$K$10:$K$11),0)),"Receiving",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Sheet'!$A:$B,2,FALSE),"")</f>
        <v>0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Sheet'!$G:$G,'Crew Sheet'!$K:$K),0)),"Loading",
IF(AND(COUNTIF($D13,"*R*"),COUNTIFS($I$1:I12,"Receiving",$T$1:T12,"x")&lt;ROUNDUP(SUM('Crew Sheet'!$K$10:$K$11),0)),"Receiving",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Sheet'!$A:$B,2,FALSE),"")</f>
        <v>0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Sheet'!$G:$G,'Crew Sheet'!$K:$K),0)),"Loading",
IF(AND(COUNTIF($D14,"*R*"),COUNTIFS($I$1:I13,"Receiving",$T$1:T13,"x")&lt;ROUNDUP(SUM('Crew Sheet'!$K$10:$K$11),0)),"Receiving",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209</v>
      </c>
      <c r="T14" s="38">
        <f>IFERROR(VLOOKUP($A14,'Crew Sheet'!$A:$B,2,FALSE),"")</f>
        <v>0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Sheet'!$G:$G,'Crew Sheet'!$K:$K),0)),"Loading",
IF(AND(COUNTIF($D15,"*R*"),COUNTIFS($I$1:I14,"Receiving",$T$1:T14,"x")&lt;ROUNDUP(SUM('Crew Sheet'!$K$10:$K$11),0)),"Receiving",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Sheet'!$A:$B,2,FALSE),"")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Sheet'!$G:$G,'Crew Sheet'!$K:$K),0)),"Loading",
IF(AND(COUNTIF($D16,"*R*"),COUNTIFS($I$1:I15,"Receiving",$T$1:T15,"x")&lt;ROUNDUP(SUM('Crew Sheet'!$K$10:$K$11),0)),"Receiving",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Sheet'!$A:$B,2,FALSE),"")</f>
        <v>0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Sheet'!$G:$G,'Crew Sheet'!$K:$K),0)),"Loading",
IF(AND(COUNTIF($D17,"*R*"),COUNTIFS($I$1:I16,"Receiving",$T$1:T16,"x")&lt;ROUNDUP(SUM('Crew Sheet'!$K$10:$K$11),0)),"Receiving",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Sheet'!$A:$B,2,FALSE),"")</f>
        <v>0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Sheet'!$G:$G,'Crew Sheet'!$K:$K),0)),"Loading",
IF(AND(COUNTIF($D18,"*R*"),COUNTIFS($I$1:I17,"Receiving",$T$1:T17,"x")&lt;ROUNDUP(SUM('Crew Sheet'!$K$10:$K$11),0)),"Receiving",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Sheet'!$A:$B,2,FALSE),"")</f>
        <v>0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Sheet'!$G:$G,'Crew Sheet'!$K:$K),0)),"Loading",
IF(AND(COUNTIF($D19,"*R*"),COUNTIFS($I$1:I18,"Receiving",$T$1:T18,"x")&lt;ROUNDUP(SUM('Crew Sheet'!$K$10:$K$11),0)),"Receiving",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Sheet'!$A:$B,2,FALSE),"")</f>
        <v>0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Sheet'!$G:$G,'Crew Sheet'!$K:$K),0)),"Loading",
IF(AND(COUNTIF($D20,"*R*"),COUNTIFS($I$1:I19,"Receiving",$T$1:T19,"x")&lt;ROUNDUP(SUM('Crew Sheet'!$K$10:$K$11),0)),"Receiving",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Sheet'!$A:$B,2,FALSE),"")</f>
        <v>0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Sheet'!$G:$G,'Crew Sheet'!$K:$K),0)),"Loading",
IF(AND(COUNTIF($D21,"*R*"),COUNTIFS($I$1:I20,"Receiving",$T$1:T20,"x")&lt;ROUNDUP(SUM('Crew Sheet'!$K$10:$K$11),0)),"Receiving",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Sheet'!$A:$B,2,FALSE),"")</f>
        <v>0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Sheet'!$G:$G,'Crew Sheet'!$K:$K),0)),"Loading",
IF(AND(COUNTIF($D22,"*R*"),COUNTIFS($I$1:I21,"Receiving",$T$1:T21,"x")&lt;ROUNDUP(SUM('Crew Sheet'!$K$10:$K$11),0)),"Receiving",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Sheet'!$A:$B,2,FALSE),"")</f>
        <v>0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Sheet'!$G:$G,'Crew Sheet'!$K:$K),0)),"Loading",
IF(AND(COUNTIF($D23,"*R*"),COUNTIFS($I$1:I22,"Receiving",$T$1:T22,"x")&lt;ROUNDUP(SUM('Crew Sheet'!$K$10:$K$11),0)),"Receiving",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Sheet'!$A:$B,2,FALSE),"")</f>
        <v>0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Sheet'!$G:$G,'Crew Sheet'!$K:$K),0)),"Loading",
IF(AND(COUNTIF($D24,"*R*"),COUNTIFS($I$1:I23,"Receiving",$T$1:T23,"x")&lt;ROUNDUP(SUM('Crew Sheet'!$K$10:$K$11),0)),"Receiving",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Sheet'!$A:$B,2,FALSE),"")</f>
        <v>0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Sheet'!$G:$G,'Crew Sheet'!$K:$K),0)),"Loading",
IF(AND(COUNTIF($D25,"*R*"),COUNTIFS($I$1:I24,"Receiving",$T$1:T24,"x")&lt;ROUNDUP(SUM('Crew Sheet'!$K$10:$K$11),0)),"Receiving",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Sheet'!$A:$B,2,FALSE),"")</f>
        <v>0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Sheet'!$G:$G,'Crew Sheet'!$K:$K),0)),"Loading",
IF(AND(COUNTIF($D26,"*R*"),COUNTIFS($I$1:I25,"Receiving",$T$1:T25,"x")&lt;ROUNDUP(SUM('Crew Sheet'!$K$10:$K$11),0)),"Receiving",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Sheet'!$A:$B,2,FALSE),"")</f>
        <v>0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Sheet'!$G:$G,'Crew Sheet'!$K:$K),0)),"Loading",
IF(AND(COUNTIF($D27,"*R*"),COUNTIFS($I$1:I26,"Receiving",$T$1:T26,"x")&lt;ROUNDUP(SUM('Crew Sheet'!$K$10:$K$11),0)),"Receiving",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Sheet'!$A:$B,2,FALSE),"")</f>
        <v>0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Sheet'!$G:$G,'Crew Sheet'!$K:$K),0)),"Loading",
IF(AND(COUNTIF($D28,"*R*"),COUNTIFS($I$1:I27,"Receiving",$T$1:T27,"x")&lt;ROUNDUP(SUM('Crew Sheet'!$K$10:$K$11),0)),"Receiving",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Sheet'!$A:$B,2,FALSE),"")</f>
        <v>0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Sheet'!$G:$G,'Crew Sheet'!$K:$K),0)),"Loading",
IF(AND(COUNTIF($D29,"*R*"),COUNTIFS($I$1:I28,"Receiving",$T$1:T28,"x")&lt;ROUNDUP(SUM('Crew Sheet'!$K$10:$K$11),0)),"Receiving",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Sheet'!$A:$B,2,FALSE),"")</f>
        <v>0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Sheet'!$G:$G,'Crew Sheet'!$K:$K),0)),"Loading",
IF(AND(COUNTIF($D30,"*R*"),COUNTIFS($I$1:I29,"Receiving",$T$1:T29,"x")&lt;ROUNDUP(SUM('Crew Sheet'!$K$10:$K$11),0)),"Receiving",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Sheet'!$A:$B,2,FALSE),"")</f>
        <v>0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Sheet'!$G:$G,'Crew Sheet'!$K:$K),0)),"Loading",
IF(AND(COUNTIF($D31,"*R*"),COUNTIFS($I$1:I30,"Receiving",$T$1:T30,"x")&lt;ROUNDUP(SUM('Crew Sheet'!$K$10:$K$11),0)),"Receiving",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Sheet'!$A:$B,2,FALSE),"")</f>
        <v>0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Sheet'!$G:$G,'Crew Sheet'!$K:$K),0)),"Loading",
IF(AND(COUNTIF($D32,"*R*"),COUNTIFS($I$1:I31,"Receiving",$T$1:T31,"x")&lt;ROUNDUP(SUM('Crew Sheet'!$K$10:$K$11),0)),"Receiving",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Sheet'!$A:$B,2,FALSE),"")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205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Sheet'!$G:$G,'Crew Sheet'!$K:$K),0)),"Loading",
IF(AND(COUNTIF($D33,"*R*"),COUNTIFS($I$1:I32,"Receiving",$T$1:T32,"x")&lt;ROUNDUP(SUM('Crew Sheet'!$K$10:$K$11),0)),"Receiving",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Sheet'!$A:$B,2,FALSE),"")</f>
        <v>0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Sheet'!$G:$G,'Crew Sheet'!$K:$K),0)),"Loading",
IF(AND(COUNTIF($D34,"*R*"),COUNTIFS($I$1:I33,"Receiving",$T$1:T33,"x")&lt;ROUNDUP(SUM('Crew Sheet'!$K$10:$K$11),0)),"Receiving",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Sheet'!$A:$B,2,FALSE),"")</f>
        <v>0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Sheet'!$G:$G,'Crew Sheet'!$K:$K),0)),"Loading",
IF(AND(COUNTIF($D35,"*R*"),COUNTIFS($I$1:I34,"Receiving",$T$1:T34,"x")&lt;ROUNDUP(SUM('Crew Sheet'!$K$10:$K$11),0)),"Receiving",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Sheet'!$A:$B,2,FALSE),"")</f>
        <v>0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Sheet'!$G:$G,'Crew Sheet'!$K:$K),0)),"Loading",
IF(AND(COUNTIF($D36,"*R*"),COUNTIFS($I$1:I35,"Receiving",$T$1:T35,"x")&lt;ROUNDUP(SUM('Crew Sheet'!$K$10:$K$11),0)),"Receiving",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Sheet'!$A:$B,2,FALSE),"")</f>
        <v>0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Sheet'!$G:$G,'Crew Sheet'!$K:$K),0)),"Loading",
IF(AND(COUNTIF($D37,"*R*"),COUNTIFS($I$1:I36,"Receiving",$T$1:T36,"x")&lt;ROUNDUP(SUM('Crew Sheet'!$K$10:$K$11),0)),"Receiving",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Sheet'!$A:$B,2,FALSE),"")</f>
        <v>0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Sheet'!$G:$G,'Crew Sheet'!$K:$K),0)),"Loading",
IF(AND(COUNTIF($D38,"*R*"),COUNTIFS($I$1:I37,"Receiving",$T$1:T37,"x")&lt;ROUNDUP(SUM('Crew Sheet'!$K$10:$K$11),0)),"Receiving",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Sheet'!$A:$B,2,FALSE),"")</f>
        <v>0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Sheet'!$G:$G,'Crew Sheet'!$K:$K),0)),"Loading",
IF(AND(COUNTIF($D39,"*R*"),COUNTIFS($I$1:I38,"Receiving",$T$1:T38,"x")&lt;ROUNDUP(SUM('Crew Sheet'!$K$10:$K$11),0)),"Receiving",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Sheet'!$A:$B,2,FALSE),"")</f>
        <v>0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Sheet'!$G:$G,'Crew Sheet'!$K:$K),0)),"Loading",
IF(AND(COUNTIF($D40,"*R*"),COUNTIFS($I$1:I39,"Receiving",$T$1:T39,"x")&lt;ROUNDUP(SUM('Crew Sheet'!$K$10:$K$11),0)),"Receiving",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Sheet'!$A:$B,2,FALSE),"")</f>
        <v>0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Sheet'!$G:$G,'Crew Sheet'!$K:$K),0)),"Loading",
IF(AND(COUNTIF($D41,"*R*"),COUNTIFS($I$1:I40,"Receiving",$T$1:T40,"x")&lt;ROUNDUP(SUM('Crew Sheet'!$K$10:$K$11),0)),"Receiving",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Sheet'!$A:$B,2,FALSE),"")</f>
        <v>0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Sheet'!$G:$G,'Crew Sheet'!$K:$K),0)),"Loading",
IF(AND(COUNTIF($D42,"*R*"),COUNTIFS($I$1:I41,"Receiving",$T$1:T41,"x")&lt;ROUNDUP(SUM('Crew Sheet'!$K$10:$K$11),0)),"Receiving",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Sheet'!$A:$B,2,FALSE),"")</f>
        <v>0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Sheet'!$G:$G,'Crew Sheet'!$K:$K),0)),"Loading",
IF(AND(COUNTIF($D43,"*R*"),COUNTIFS($I$1:I42,"Receiving",$T$1:T42,"x")&lt;ROUNDUP(SUM('Crew Sheet'!$K$10:$K$11),0)),"Receiving",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Sheet'!$A:$B,2,FALSE),"")</f>
        <v>0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207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Sheet'!$G:$G,'Crew Sheet'!$K:$K),0)),"Loading",
IF(AND(COUNTIF($D44,"*R*"),COUNTIFS($I$1:I43,"Receiving",$T$1:T43,"x")&lt;ROUNDUP(SUM('Crew Sheet'!$K$10:$K$11),0)),"Receiving",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Sheet'!$A:$B,2,FALSE),"")</f>
        <v>0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221</v>
      </c>
      <c r="B45" s="39"/>
      <c r="C45" s="39"/>
      <c r="D45" s="39" t="s">
        <v>190</v>
      </c>
      <c r="E45" s="39" t="s">
        <v>12</v>
      </c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Sheet'!$G:$G,'Crew Sheet'!$K:$K),0)),"Loading",
IF(AND(COUNTIF($D45,"*R*"),COUNTIFS($I$1:I44,"Receiving",$T$1:T44,"x")&lt;ROUNDUP(SUM('Crew Sheet'!$K$10:$K$11),0)),"Receiving",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222</v>
      </c>
      <c r="B46" s="39"/>
      <c r="C46" s="39"/>
      <c r="D46" s="39" t="s">
        <v>188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Sheet'!$G:$G,'Crew Sheet'!$K:$K),0)),"Loading",
IF(AND(COUNTIF($D46,"*R*"),COUNTIFS($I$1:I45,"Receiving",$T$1:T45,"x")&lt;ROUNDUP(SUM('Crew Sheet'!$K$10:$K$11),0)),"Receiving",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223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Sheet'!$G:$G,'Crew Sheet'!$K:$K),0)),"Loading",
IF(AND(COUNTIF($D47,"*R*"),COUNTIFS($I$1:I46,"Receiving",$T$1:T46,"x")&lt;ROUNDUP(SUM('Crew Sheet'!$K$10:$K$11),0)),"Receiving",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224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Sheet'!$G:$G,'Crew Sheet'!$K:$K),0)),"Loading",
IF(AND(COUNTIF($D48,"*R*"),COUNTIFS($I$1:I47,"Receiving",$T$1:T47,"x")&lt;ROUNDUP(SUM('Crew Sheet'!$K$10:$K$11),0)),"Receiving",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Sheet'!$G:$G,'Crew Sheet'!$K:$K),0)),"Loading",
IF(AND(COUNTIF($D49,"*R*"),COUNTIFS($I$1:I48,"Receiving",$T$1:T48,"x")&lt;ROUNDUP(SUM('Crew Sheet'!$K$10:$K$11),0)),"Receiving",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/>
      <c r="B50" s="39"/>
      <c r="C50" s="39"/>
      <c r="D50" s="39"/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Sheet'!$G:$G,'Crew Sheet'!$K:$K),0)),"Loading",
IF(AND(COUNTIF($D50,"*R*"),COUNTIFS($I$1:I49,"Receiving",$T$1:T49,"x")&lt;ROUNDUP(SUM('Crew Sheet'!$K$10:$K$11),0)),"Receiving",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18" t="s">
        <v>111</v>
      </c>
      <c r="I2" s="118"/>
      <c r="J2" s="118"/>
      <c r="K2" s="118"/>
      <c r="L2" s="119" t="s">
        <v>112</v>
      </c>
      <c r="M2" s="120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Crew Sheet</vt:lpstr>
      <vt:lpstr>Staffing Forecast</vt:lpstr>
      <vt:lpstr>Staffing Dashboard</vt:lpstr>
      <vt:lpstr>Staffing sheet 1ST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2026-06-01T13:05:58Z</dcterms:modified>
  <cp:category/>
  <cp:contentStatus/>
</cp:coreProperties>
</file>