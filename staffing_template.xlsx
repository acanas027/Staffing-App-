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dresCan\Downloads\Work Done\TK_Tools_App\Staff-Report\"/>
    </mc:Choice>
  </mc:AlternateContent>
  <xr:revisionPtr revIDLastSave="0" documentId="13_ncr:1_{4E496625-0640-4797-B680-98E0EAE3D13F}" xr6:coauthVersionLast="47" xr6:coauthVersionMax="47" xr10:uidLastSave="{00000000-0000-0000-0000-000000000000}"/>
  <bookViews>
    <workbookView xWindow="-210" yWindow="165" windowWidth="29010" windowHeight="15105" activeTab="1" xr2:uid="{36622807-D3AD-4208-9E80-BAE88A007BA3}"/>
  </bookViews>
  <sheets>
    <sheet name="Inputs" sheetId="6" r:id="rId1"/>
    <sheet name="Crew Sheet" sheetId="3" r:id="rId2"/>
    <sheet name="Staffing Forecast" sheetId="2" r:id="rId3"/>
    <sheet name="Staffing Dashboard" sheetId="7" r:id="rId4"/>
    <sheet name="Staffing sheet 1ST Shift" sheetId="4" r:id="rId5"/>
    <sheet name="Staffing Sheet 2nd Shift" sheetId="8" r:id="rId6"/>
    <sheet name="Percentage Data" sheetId="1" r:id="rId7"/>
  </sheets>
  <externalReferences>
    <externalReference r:id="rId8"/>
  </externalReferences>
  <definedNames>
    <definedName name="Comments">'[1]DISPATCH SHEET'!#REF!</definedName>
    <definedName name="LateComment">'[1]DISPATCH SHEET'!#REF!</definedName>
    <definedName name="LateComments">#REF!</definedName>
  </definedNames>
  <calcPr calcId="191028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D15" i="3" s="1"/>
  <c r="E15" i="3" s="1"/>
  <c r="C16" i="3"/>
  <c r="D16" i="3" s="1"/>
  <c r="E16" i="3" s="1"/>
  <c r="C17" i="3"/>
  <c r="D17" i="3" s="1"/>
  <c r="E17" i="3" s="1"/>
  <c r="C18" i="3"/>
  <c r="D18" i="3" s="1"/>
  <c r="E18" i="3" s="1"/>
  <c r="C19" i="3"/>
  <c r="C20" i="3"/>
  <c r="C21" i="3"/>
  <c r="C22" i="3"/>
  <c r="C23" i="3"/>
  <c r="D23" i="3" s="1"/>
  <c r="E23" i="3" s="1"/>
  <c r="C24" i="3"/>
  <c r="C25" i="3"/>
  <c r="C26" i="3"/>
  <c r="D26" i="3" s="1"/>
  <c r="E26" i="3" s="1"/>
  <c r="C27" i="3"/>
  <c r="C28" i="3"/>
  <c r="C29" i="3"/>
  <c r="C30" i="3"/>
  <c r="C31" i="3"/>
  <c r="D31" i="3" s="1"/>
  <c r="E31" i="3" s="1"/>
  <c r="C32" i="3"/>
  <c r="D32" i="3" s="1"/>
  <c r="E32" i="3" s="1"/>
  <c r="C33" i="3"/>
  <c r="D33" i="3" s="1"/>
  <c r="E33" i="3" s="1"/>
  <c r="C34" i="3"/>
  <c r="C35" i="3"/>
  <c r="C36" i="3"/>
  <c r="C37" i="3"/>
  <c r="C38" i="3"/>
  <c r="D38" i="3" s="1"/>
  <c r="E38" i="3" s="1"/>
  <c r="C39" i="3"/>
  <c r="C40" i="3"/>
  <c r="C41" i="3"/>
  <c r="C42" i="3"/>
  <c r="C43" i="3"/>
  <c r="C44" i="3"/>
  <c r="D44" i="3" s="1"/>
  <c r="E44" i="3" s="1"/>
  <c r="C45" i="3"/>
  <c r="C46" i="3"/>
  <c r="C47" i="3"/>
  <c r="C48" i="3"/>
  <c r="C49" i="3"/>
  <c r="D49" i="3" s="1"/>
  <c r="E49" i="3" s="1"/>
  <c r="C50" i="3"/>
  <c r="D50" i="3" s="1"/>
  <c r="E50" i="3" s="1"/>
  <c r="C51" i="3"/>
  <c r="C52" i="3"/>
  <c r="C53" i="3"/>
  <c r="D53" i="3" s="1"/>
  <c r="E53" i="3" s="1"/>
  <c r="C54" i="3"/>
  <c r="C55" i="3"/>
  <c r="D55" i="3" s="1"/>
  <c r="E55" i="3" s="1"/>
  <c r="C56" i="3"/>
  <c r="C57" i="3"/>
  <c r="C58" i="3"/>
  <c r="C59" i="3"/>
  <c r="D59" i="3" s="1"/>
  <c r="E59" i="3" s="1"/>
  <c r="C60" i="3"/>
  <c r="C61" i="3"/>
  <c r="C62" i="3"/>
  <c r="C63" i="3"/>
  <c r="C64" i="3"/>
  <c r="D64" i="3" s="1"/>
  <c r="E64" i="3" s="1"/>
  <c r="C65" i="3"/>
  <c r="C66" i="3"/>
  <c r="D66" i="3" s="1"/>
  <c r="E66" i="3" s="1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D79" i="3" s="1"/>
  <c r="E79" i="3" s="1"/>
  <c r="C80" i="3"/>
  <c r="D80" i="3" s="1"/>
  <c r="E80" i="3" s="1"/>
  <c r="C81" i="3"/>
  <c r="C82" i="3"/>
  <c r="C83" i="3"/>
  <c r="C84" i="3"/>
  <c r="C85" i="3"/>
  <c r="C86" i="3"/>
  <c r="D86" i="3" s="1"/>
  <c r="E86" i="3" s="1"/>
  <c r="C87" i="3"/>
  <c r="C88" i="3"/>
  <c r="D88" i="3" s="1"/>
  <c r="E88" i="3" s="1"/>
  <c r="C89" i="3"/>
  <c r="C90" i="3"/>
  <c r="C91" i="3"/>
  <c r="C92" i="3"/>
  <c r="C93" i="3"/>
  <c r="C94" i="3"/>
  <c r="D94" i="3" s="1"/>
  <c r="E94" i="3" s="1"/>
  <c r="C95" i="3"/>
  <c r="C96" i="3"/>
  <c r="D96" i="3" s="1"/>
  <c r="E96" i="3" s="1"/>
  <c r="C97" i="3"/>
  <c r="D19" i="3"/>
  <c r="E19" i="3" s="1"/>
  <c r="D3" i="3"/>
  <c r="E3" i="3" s="1"/>
  <c r="D13" i="3"/>
  <c r="E13" i="3" s="1"/>
  <c r="D14" i="3"/>
  <c r="E14" i="3" s="1"/>
  <c r="D27" i="3"/>
  <c r="E27" i="3" s="1"/>
  <c r="D28" i="3"/>
  <c r="E28" i="3" s="1"/>
  <c r="D37" i="3"/>
  <c r="E37" i="3" s="1"/>
  <c r="D45" i="3"/>
  <c r="E45" i="3" s="1"/>
  <c r="D46" i="3"/>
  <c r="E46" i="3" s="1"/>
  <c r="D47" i="3"/>
  <c r="E47" i="3" s="1"/>
  <c r="D54" i="3"/>
  <c r="E54" i="3" s="1"/>
  <c r="D60" i="3"/>
  <c r="E60" i="3" s="1"/>
  <c r="D61" i="3"/>
  <c r="E61" i="3" s="1"/>
  <c r="D63" i="3"/>
  <c r="E63" i="3" s="1"/>
  <c r="D68" i="3"/>
  <c r="E68" i="3" s="1"/>
  <c r="D77" i="3"/>
  <c r="E77" i="3" s="1"/>
  <c r="D84" i="3"/>
  <c r="E84" i="3" s="1"/>
  <c r="D89" i="3"/>
  <c r="E89" i="3" s="1"/>
  <c r="D90" i="3"/>
  <c r="E90" i="3" s="1"/>
  <c r="D91" i="3"/>
  <c r="E91" i="3" s="1"/>
  <c r="D93" i="3"/>
  <c r="E93" i="3" s="1"/>
  <c r="E2" i="3"/>
  <c r="D8" i="3"/>
  <c r="E8" i="3" s="1"/>
  <c r="D9" i="3"/>
  <c r="E9" i="3" s="1"/>
  <c r="D10" i="3"/>
  <c r="E10" i="3" s="1"/>
  <c r="D40" i="3"/>
  <c r="E40" i="3" s="1"/>
  <c r="D51" i="3"/>
  <c r="E51" i="3" s="1"/>
  <c r="D67" i="3"/>
  <c r="E67" i="3" s="1"/>
  <c r="D87" i="3"/>
  <c r="E87" i="3" s="1"/>
  <c r="C98" i="3" a="1"/>
  <c r="C98" i="3" s="1"/>
  <c r="M1" i="6"/>
  <c r="H51" i="8"/>
  <c r="I51" i="8"/>
  <c r="H2" i="8"/>
  <c r="I2" i="8"/>
  <c r="I50" i="8"/>
  <c r="H50" i="8"/>
  <c r="I38" i="8"/>
  <c r="H38" i="8"/>
  <c r="I49" i="8"/>
  <c r="H49" i="8"/>
  <c r="I48" i="8"/>
  <c r="H48" i="8"/>
  <c r="I47" i="8"/>
  <c r="H47" i="8"/>
  <c r="I46" i="8"/>
  <c r="H46" i="8"/>
  <c r="I45" i="8"/>
  <c r="H45" i="8"/>
  <c r="I44" i="8"/>
  <c r="H44" i="8"/>
  <c r="I43" i="8"/>
  <c r="H43" i="8"/>
  <c r="I42" i="8"/>
  <c r="H42" i="8"/>
  <c r="I41" i="8"/>
  <c r="H41" i="8"/>
  <c r="I40" i="8"/>
  <c r="H40" i="8"/>
  <c r="I39" i="8"/>
  <c r="H39" i="8"/>
  <c r="I37" i="8"/>
  <c r="H37" i="8"/>
  <c r="I36" i="8"/>
  <c r="H36" i="8"/>
  <c r="I35" i="8"/>
  <c r="H35" i="8"/>
  <c r="I34" i="8"/>
  <c r="H34" i="8"/>
  <c r="I33" i="8"/>
  <c r="H33" i="8"/>
  <c r="I32" i="8"/>
  <c r="H32" i="8"/>
  <c r="I31" i="8"/>
  <c r="H31" i="8"/>
  <c r="I30" i="8"/>
  <c r="H30" i="8"/>
  <c r="I29" i="8"/>
  <c r="H29" i="8"/>
  <c r="I28" i="8"/>
  <c r="H28" i="8"/>
  <c r="I27" i="8"/>
  <c r="H27" i="8"/>
  <c r="I26" i="8"/>
  <c r="H26" i="8"/>
  <c r="I25" i="8"/>
  <c r="H25" i="8"/>
  <c r="I24" i="8"/>
  <c r="H24" i="8"/>
  <c r="I23" i="8"/>
  <c r="H23" i="8"/>
  <c r="I22" i="8"/>
  <c r="H22" i="8"/>
  <c r="I21" i="8"/>
  <c r="H21" i="8"/>
  <c r="I20" i="8"/>
  <c r="H20" i="8"/>
  <c r="I19" i="8"/>
  <c r="H19" i="8"/>
  <c r="I18" i="8"/>
  <c r="H18" i="8"/>
  <c r="I17" i="8"/>
  <c r="H17" i="8"/>
  <c r="I16" i="8"/>
  <c r="H16" i="8"/>
  <c r="I15" i="8"/>
  <c r="H15" i="8"/>
  <c r="I14" i="8"/>
  <c r="H14" i="8"/>
  <c r="I13" i="8"/>
  <c r="H13" i="8"/>
  <c r="I12" i="8"/>
  <c r="H12" i="8"/>
  <c r="I11" i="8"/>
  <c r="H11" i="8"/>
  <c r="I10" i="8"/>
  <c r="H10" i="8"/>
  <c r="I9" i="8"/>
  <c r="H9" i="8"/>
  <c r="I8" i="8"/>
  <c r="H8" i="8"/>
  <c r="I7" i="8"/>
  <c r="H7" i="8"/>
  <c r="I6" i="8"/>
  <c r="H6" i="8"/>
  <c r="I5" i="8"/>
  <c r="H5" i="8"/>
  <c r="I4" i="8"/>
  <c r="H4" i="8"/>
  <c r="I3" i="8"/>
  <c r="H3" i="8"/>
  <c r="D21" i="2"/>
  <c r="D20" i="2"/>
  <c r="L9" i="3"/>
  <c r="C10" i="2"/>
  <c r="B5" i="6"/>
  <c r="B6" i="6"/>
  <c r="B7" i="6"/>
  <c r="C8" i="2" s="1"/>
  <c r="I48" i="4" l="1"/>
  <c r="I49" i="4"/>
  <c r="I50" i="4"/>
  <c r="C4" i="2"/>
  <c r="C3" i="2"/>
  <c r="C2" i="2"/>
  <c r="C11" i="2"/>
  <c r="C9" i="2"/>
  <c r="D5" i="3"/>
  <c r="E5" i="3" s="1"/>
  <c r="D6" i="3"/>
  <c r="E6" i="3" s="1"/>
  <c r="D7" i="3"/>
  <c r="E7" i="3" s="1"/>
  <c r="D11" i="3"/>
  <c r="E11" i="3" s="1"/>
  <c r="D12" i="3"/>
  <c r="E12" i="3" s="1"/>
  <c r="E20" i="3"/>
  <c r="D21" i="3"/>
  <c r="E21" i="3" s="1"/>
  <c r="D22" i="3"/>
  <c r="E22" i="3" s="1"/>
  <c r="D24" i="3"/>
  <c r="E24" i="3" s="1"/>
  <c r="D25" i="3"/>
  <c r="E25" i="3" s="1"/>
  <c r="D29" i="3"/>
  <c r="E29" i="3" s="1"/>
  <c r="D30" i="3"/>
  <c r="E30" i="3" s="1"/>
  <c r="D34" i="3"/>
  <c r="E34" i="3" s="1"/>
  <c r="D35" i="3"/>
  <c r="E35" i="3" s="1"/>
  <c r="D36" i="3"/>
  <c r="E36" i="3" s="1"/>
  <c r="D39" i="3"/>
  <c r="E39" i="3" s="1"/>
  <c r="D41" i="3"/>
  <c r="E41" i="3" s="1"/>
  <c r="D42" i="3"/>
  <c r="E42" i="3" s="1"/>
  <c r="D43" i="3"/>
  <c r="E43" i="3" s="1"/>
  <c r="D48" i="3"/>
  <c r="E48" i="3" s="1"/>
  <c r="D52" i="3"/>
  <c r="E52" i="3" s="1"/>
  <c r="D56" i="3"/>
  <c r="E56" i="3" s="1"/>
  <c r="D57" i="3"/>
  <c r="E57" i="3" s="1"/>
  <c r="D58" i="3"/>
  <c r="E58" i="3" s="1"/>
  <c r="D62" i="3"/>
  <c r="E62" i="3" s="1"/>
  <c r="D65" i="3"/>
  <c r="E65" i="3" s="1"/>
  <c r="D69" i="3"/>
  <c r="E69" i="3" s="1"/>
  <c r="D70" i="3"/>
  <c r="E70" i="3" s="1"/>
  <c r="D71" i="3"/>
  <c r="E71" i="3" s="1"/>
  <c r="D72" i="3"/>
  <c r="E72" i="3" s="1"/>
  <c r="D73" i="3"/>
  <c r="E73" i="3" s="1"/>
  <c r="D74" i="3"/>
  <c r="E74" i="3" s="1"/>
  <c r="D76" i="3"/>
  <c r="E76" i="3" s="1"/>
  <c r="D78" i="3"/>
  <c r="E78" i="3" s="1"/>
  <c r="D81" i="3"/>
  <c r="E81" i="3" s="1"/>
  <c r="D82" i="3"/>
  <c r="E82" i="3" s="1"/>
  <c r="D83" i="3"/>
  <c r="E83" i="3" s="1"/>
  <c r="D85" i="3"/>
  <c r="E85" i="3" s="1"/>
  <c r="D92" i="3"/>
  <c r="E92" i="3" s="1"/>
  <c r="D95" i="3"/>
  <c r="E95" i="3" s="1"/>
  <c r="D97" i="3"/>
  <c r="E97" i="3" s="1"/>
  <c r="D75" i="3"/>
  <c r="E75" i="3" s="1"/>
  <c r="C2" i="3"/>
  <c r="L14" i="3"/>
  <c r="L13" i="3"/>
  <c r="C148" i="3" l="1"/>
  <c r="L12" i="3"/>
  <c r="C5" i="2"/>
  <c r="C6" i="2"/>
  <c r="T3" i="4" l="1"/>
  <c r="T4" i="4"/>
  <c r="I4" i="4" s="1"/>
  <c r="T5" i="4"/>
  <c r="I5" i="4" s="1"/>
  <c r="T6" i="4"/>
  <c r="T7" i="4"/>
  <c r="I7" i="4" s="1"/>
  <c r="T8" i="4"/>
  <c r="I8" i="4" s="1"/>
  <c r="T9" i="4"/>
  <c r="I9" i="4" s="1"/>
  <c r="T10" i="4"/>
  <c r="I10" i="4" s="1"/>
  <c r="T11" i="4"/>
  <c r="I11" i="4" s="1"/>
  <c r="T12" i="4"/>
  <c r="I12" i="4" s="1"/>
  <c r="T13" i="4"/>
  <c r="I13" i="4" s="1"/>
  <c r="T14" i="4"/>
  <c r="I14" i="4" s="1"/>
  <c r="T15" i="4"/>
  <c r="I15" i="4" s="1"/>
  <c r="T16" i="4"/>
  <c r="I16" i="4" s="1"/>
  <c r="T17" i="4"/>
  <c r="I17" i="4" s="1"/>
  <c r="T18" i="4"/>
  <c r="T19" i="4"/>
  <c r="I19" i="4" s="1"/>
  <c r="T20" i="4"/>
  <c r="T21" i="4"/>
  <c r="T22" i="4"/>
  <c r="I22" i="4" s="1"/>
  <c r="T23" i="4"/>
  <c r="I23" i="4" s="1"/>
  <c r="T24" i="4"/>
  <c r="T25" i="4"/>
  <c r="T26" i="4"/>
  <c r="I26" i="4" s="1"/>
  <c r="T27" i="4"/>
  <c r="T28" i="4"/>
  <c r="I28" i="4" s="1"/>
  <c r="T29" i="4"/>
  <c r="I29" i="4" s="1"/>
  <c r="T30" i="4"/>
  <c r="T31" i="4"/>
  <c r="I31" i="4" s="1"/>
  <c r="T32" i="4"/>
  <c r="I32" i="4" s="1"/>
  <c r="T33" i="4"/>
  <c r="T34" i="4"/>
  <c r="I34" i="4" s="1"/>
  <c r="T35" i="4"/>
  <c r="T36" i="4"/>
  <c r="T37" i="4"/>
  <c r="I37" i="4" s="1"/>
  <c r="T38" i="4"/>
  <c r="T39" i="4"/>
  <c r="T40" i="4"/>
  <c r="I40" i="4" s="1"/>
  <c r="T41" i="4"/>
  <c r="I41" i="4" s="1"/>
  <c r="T42" i="4"/>
  <c r="I42" i="4" s="1"/>
  <c r="T43" i="4"/>
  <c r="I43" i="4" s="1"/>
  <c r="T44" i="4"/>
  <c r="T2" i="4"/>
  <c r="I2" i="4" s="1"/>
  <c r="T45" i="4"/>
  <c r="I45" i="4" s="1"/>
  <c r="T46" i="4"/>
  <c r="I46" i="4" s="1"/>
  <c r="T47" i="4"/>
  <c r="I47" i="4" s="1"/>
  <c r="W46" i="4" l="1"/>
  <c r="U45" i="4"/>
  <c r="V35" i="4"/>
  <c r="V17" i="4"/>
  <c r="X32" i="4"/>
  <c r="X16" i="4"/>
  <c r="X31" i="4"/>
  <c r="X15" i="4"/>
  <c r="X14" i="4"/>
  <c r="Y29" i="4"/>
  <c r="X30" i="4"/>
  <c r="Y27" i="4"/>
  <c r="Y11" i="4"/>
  <c r="Y10" i="4"/>
  <c r="V33" i="4"/>
  <c r="W38" i="4"/>
  <c r="V37" i="4"/>
  <c r="V36" i="4"/>
  <c r="V34" i="4"/>
  <c r="Y44" i="4"/>
  <c r="Y12" i="4"/>
  <c r="Y26" i="4"/>
  <c r="Y41" i="4"/>
  <c r="Y25" i="4"/>
  <c r="Y9" i="4"/>
  <c r="W40" i="4"/>
  <c r="W24" i="4"/>
  <c r="W8" i="4"/>
  <c r="X2" i="4"/>
  <c r="X13" i="4"/>
  <c r="Y28" i="4"/>
  <c r="Y43" i="4"/>
  <c r="Y42" i="4"/>
  <c r="W39" i="4"/>
  <c r="W7" i="4"/>
  <c r="W6" i="4"/>
  <c r="V5" i="4"/>
  <c r="V4" i="4"/>
  <c r="V3" i="4"/>
  <c r="W22" i="4"/>
  <c r="V18" i="4"/>
  <c r="W23" i="4"/>
  <c r="V46" i="4"/>
  <c r="V45" i="4"/>
  <c r="X46" i="4"/>
  <c r="X45" i="4"/>
  <c r="W14" i="4"/>
  <c r="W5" i="4"/>
  <c r="W4" i="4"/>
  <c r="W19" i="4"/>
  <c r="W3" i="4"/>
  <c r="Y40" i="4"/>
  <c r="Y24" i="4"/>
  <c r="U40" i="4"/>
  <c r="U39" i="4"/>
  <c r="U38" i="4"/>
  <c r="U24" i="4"/>
  <c r="Y39" i="4"/>
  <c r="Y23" i="4"/>
  <c r="U23" i="4"/>
  <c r="Y8" i="4"/>
  <c r="U8" i="4"/>
  <c r="V41" i="4"/>
  <c r="Y7" i="4"/>
  <c r="U7" i="4"/>
  <c r="V32" i="4"/>
  <c r="Y6" i="4"/>
  <c r="U6" i="4"/>
  <c r="V31" i="4"/>
  <c r="V30" i="4"/>
  <c r="V25" i="4"/>
  <c r="W37" i="4"/>
  <c r="V16" i="4"/>
  <c r="W36" i="4"/>
  <c r="V15" i="4"/>
  <c r="W35" i="4"/>
  <c r="V14" i="4"/>
  <c r="W30" i="4"/>
  <c r="V9" i="4"/>
  <c r="W21" i="4"/>
  <c r="W20" i="4"/>
  <c r="X27" i="4"/>
  <c r="X11" i="4"/>
  <c r="Y38" i="4"/>
  <c r="Y22" i="4"/>
  <c r="U37" i="4"/>
  <c r="U21" i="4"/>
  <c r="U5" i="4"/>
  <c r="W34" i="4"/>
  <c r="W18" i="4"/>
  <c r="V2" i="4"/>
  <c r="V29" i="4"/>
  <c r="V13" i="4"/>
  <c r="X42" i="4"/>
  <c r="X26" i="4"/>
  <c r="X10" i="4"/>
  <c r="Y37" i="4"/>
  <c r="Y21" i="4"/>
  <c r="Y5" i="4"/>
  <c r="X12" i="4"/>
  <c r="U36" i="4"/>
  <c r="U20" i="4"/>
  <c r="U4" i="4"/>
  <c r="W33" i="4"/>
  <c r="W17" i="4"/>
  <c r="V44" i="4"/>
  <c r="V28" i="4"/>
  <c r="V12" i="4"/>
  <c r="X41" i="4"/>
  <c r="X25" i="4"/>
  <c r="X9" i="4"/>
  <c r="Y36" i="4"/>
  <c r="Y20" i="4"/>
  <c r="Y4" i="4"/>
  <c r="X29" i="4"/>
  <c r="X43" i="4"/>
  <c r="U35" i="4"/>
  <c r="U19" i="4"/>
  <c r="U3" i="4"/>
  <c r="W32" i="4"/>
  <c r="W16" i="4"/>
  <c r="V43" i="4"/>
  <c r="V27" i="4"/>
  <c r="V11" i="4"/>
  <c r="X40" i="4"/>
  <c r="X24" i="4"/>
  <c r="X8" i="4"/>
  <c r="Y35" i="4"/>
  <c r="Y19" i="4"/>
  <c r="Y3" i="4"/>
  <c r="U34" i="4"/>
  <c r="U18" i="4"/>
  <c r="W31" i="4"/>
  <c r="W15" i="4"/>
  <c r="V42" i="4"/>
  <c r="V26" i="4"/>
  <c r="V10" i="4"/>
  <c r="X39" i="4"/>
  <c r="X23" i="4"/>
  <c r="X7" i="4"/>
  <c r="Y34" i="4"/>
  <c r="Y18" i="4"/>
  <c r="U33" i="4"/>
  <c r="U17" i="4"/>
  <c r="Y17" i="4"/>
  <c r="U32" i="4"/>
  <c r="U16" i="4"/>
  <c r="W2" i="4"/>
  <c r="W29" i="4"/>
  <c r="W13" i="4"/>
  <c r="V40" i="4"/>
  <c r="V24" i="4"/>
  <c r="V8" i="4"/>
  <c r="X37" i="4"/>
  <c r="X21" i="4"/>
  <c r="X5" i="4"/>
  <c r="Y32" i="4"/>
  <c r="Y16" i="4"/>
  <c r="X44" i="4"/>
  <c r="X28" i="4"/>
  <c r="Y33" i="4"/>
  <c r="U31" i="4"/>
  <c r="U15" i="4"/>
  <c r="W44" i="4"/>
  <c r="W28" i="4"/>
  <c r="W12" i="4"/>
  <c r="V39" i="4"/>
  <c r="V23" i="4"/>
  <c r="V7" i="4"/>
  <c r="X36" i="4"/>
  <c r="X20" i="4"/>
  <c r="X4" i="4"/>
  <c r="Y31" i="4"/>
  <c r="Y15" i="4"/>
  <c r="X38" i="4"/>
  <c r="X22" i="4"/>
  <c r="U30" i="4"/>
  <c r="U14" i="4"/>
  <c r="W43" i="4"/>
  <c r="W27" i="4"/>
  <c r="W11" i="4"/>
  <c r="V38" i="4"/>
  <c r="V22" i="4"/>
  <c r="V6" i="4"/>
  <c r="X35" i="4"/>
  <c r="X19" i="4"/>
  <c r="X3" i="4"/>
  <c r="Y30" i="4"/>
  <c r="Y14" i="4"/>
  <c r="X6" i="4"/>
  <c r="U2" i="4"/>
  <c r="U29" i="4"/>
  <c r="U13" i="4"/>
  <c r="W42" i="4"/>
  <c r="W26" i="4"/>
  <c r="W10" i="4"/>
  <c r="V21" i="4"/>
  <c r="X34" i="4"/>
  <c r="X18" i="4"/>
  <c r="Y2" i="4"/>
  <c r="Y13" i="4"/>
  <c r="U44" i="4"/>
  <c r="U28" i="4"/>
  <c r="U12" i="4"/>
  <c r="W41" i="4"/>
  <c r="W25" i="4"/>
  <c r="W9" i="4"/>
  <c r="V20" i="4"/>
  <c r="X33" i="4"/>
  <c r="X17" i="4"/>
  <c r="U43" i="4"/>
  <c r="U27" i="4"/>
  <c r="U11" i="4"/>
  <c r="V19" i="4"/>
  <c r="U22" i="4"/>
  <c r="U42" i="4"/>
  <c r="U26" i="4"/>
  <c r="U10" i="4"/>
  <c r="U41" i="4"/>
  <c r="U25" i="4"/>
  <c r="U9" i="4"/>
  <c r="U46" i="4"/>
  <c r="W45" i="4"/>
  <c r="O13" i="2" l="1"/>
  <c r="F13" i="2"/>
  <c r="I13" i="2"/>
  <c r="H16" i="4"/>
  <c r="H43" i="4"/>
  <c r="H40" i="4"/>
  <c r="H27" i="4"/>
  <c r="H7" i="4"/>
  <c r="H9" i="4"/>
  <c r="H28" i="4"/>
  <c r="H45" i="4"/>
  <c r="H24" i="4"/>
  <c r="H25" i="4"/>
  <c r="H10" i="4"/>
  <c r="H29" i="4"/>
  <c r="H30" i="4"/>
  <c r="H2" i="4"/>
  <c r="H3" i="4"/>
  <c r="H41" i="4"/>
  <c r="H11" i="4"/>
  <c r="H46" i="4"/>
  <c r="H47" i="4"/>
  <c r="H12" i="4"/>
  <c r="H13" i="4"/>
  <c r="H42" i="4"/>
  <c r="H48" i="4"/>
  <c r="H31" i="4"/>
  <c r="H32" i="4"/>
  <c r="H33" i="4"/>
  <c r="H14" i="4"/>
  <c r="H4" i="4"/>
  <c r="H5" i="4"/>
  <c r="H15" i="4"/>
  <c r="H49" i="4"/>
  <c r="H34" i="4"/>
  <c r="H35" i="4"/>
  <c r="H17" i="4"/>
  <c r="H18" i="4"/>
  <c r="H36" i="4"/>
  <c r="H6" i="4"/>
  <c r="H37" i="4"/>
  <c r="H50" i="4"/>
  <c r="H26" i="4"/>
  <c r="H19" i="4"/>
  <c r="H38" i="4"/>
  <c r="H20" i="4"/>
  <c r="H21" i="4"/>
  <c r="H22" i="4"/>
  <c r="H39" i="4"/>
  <c r="H23" i="4"/>
  <c r="H44" i="4"/>
  <c r="H8" i="4" l="1"/>
  <c r="Q108" i="1" l="1" a="1"/>
  <c r="Q108" i="1" s="1"/>
  <c r="E8" i="1" l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5" i="1"/>
  <c r="E6" i="1"/>
  <c r="E7" i="1"/>
  <c r="E4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5" i="1"/>
  <c r="C6" i="1"/>
  <c r="C7" i="1"/>
  <c r="C8" i="1"/>
  <c r="C4" i="1"/>
  <c r="Q14" i="3"/>
  <c r="G13" i="2" l="1"/>
  <c r="D25" i="2" s="1"/>
  <c r="J13" i="2"/>
  <c r="D23" i="2" s="1"/>
  <c r="P13" i="2"/>
  <c r="L15" i="3" s="1"/>
  <c r="C7" i="2"/>
  <c r="D26" i="2" l="1"/>
  <c r="M13" i="2"/>
  <c r="D24" i="2" s="1"/>
  <c r="L13" i="2"/>
  <c r="Q15" i="3"/>
  <c r="X14" i="2" l="1"/>
  <c r="U14" i="2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R23" i="1"/>
  <c r="G23" i="1"/>
  <c r="R22" i="1"/>
  <c r="G22" i="1"/>
  <c r="R21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U13" i="2" l="1"/>
  <c r="H79" i="1"/>
  <c r="L79" i="1"/>
  <c r="I79" i="1"/>
  <c r="J303" i="1"/>
  <c r="I303" i="1"/>
  <c r="L303" i="1"/>
  <c r="H303" i="1"/>
  <c r="K479" i="1"/>
  <c r="I479" i="1"/>
  <c r="L479" i="1"/>
  <c r="H479" i="1"/>
  <c r="M671" i="1"/>
  <c r="I671" i="1"/>
  <c r="L671" i="1"/>
  <c r="H671" i="1"/>
  <c r="L943" i="1"/>
  <c r="I943" i="1"/>
  <c r="H943" i="1"/>
  <c r="H48" i="1"/>
  <c r="I48" i="1"/>
  <c r="L48" i="1"/>
  <c r="L160" i="1"/>
  <c r="H160" i="1"/>
  <c r="I160" i="1"/>
  <c r="H288" i="1"/>
  <c r="I288" i="1"/>
  <c r="L288" i="1"/>
  <c r="L448" i="1"/>
  <c r="H448" i="1"/>
  <c r="I448" i="1"/>
  <c r="L576" i="1"/>
  <c r="I576" i="1"/>
  <c r="H576" i="1"/>
  <c r="L640" i="1"/>
  <c r="I640" i="1"/>
  <c r="H640" i="1"/>
  <c r="I752" i="1"/>
  <c r="L752" i="1"/>
  <c r="H752" i="1"/>
  <c r="L848" i="1"/>
  <c r="I848" i="1"/>
  <c r="H848" i="1"/>
  <c r="I97" i="1"/>
  <c r="H97" i="1"/>
  <c r="L97" i="1"/>
  <c r="K273" i="1"/>
  <c r="H273" i="1"/>
  <c r="L273" i="1"/>
  <c r="I273" i="1"/>
  <c r="K449" i="1"/>
  <c r="H449" i="1"/>
  <c r="I449" i="1"/>
  <c r="L449" i="1"/>
  <c r="H577" i="1"/>
  <c r="L577" i="1"/>
  <c r="I577" i="1"/>
  <c r="H737" i="1"/>
  <c r="L737" i="1"/>
  <c r="I737" i="1"/>
  <c r="L929" i="1"/>
  <c r="I929" i="1"/>
  <c r="H929" i="1"/>
  <c r="H210" i="1"/>
  <c r="L210" i="1"/>
  <c r="I210" i="1"/>
  <c r="H626" i="1"/>
  <c r="L626" i="1"/>
  <c r="I626" i="1"/>
  <c r="M17" i="1"/>
  <c r="H17" i="1"/>
  <c r="L17" i="1"/>
  <c r="I17" i="1"/>
  <c r="H30" i="1"/>
  <c r="L30" i="1"/>
  <c r="I30" i="1"/>
  <c r="K46" i="1"/>
  <c r="H46" i="1"/>
  <c r="L46" i="1"/>
  <c r="I46" i="1"/>
  <c r="I62" i="1"/>
  <c r="H62" i="1"/>
  <c r="L62" i="1"/>
  <c r="K78" i="1"/>
  <c r="H78" i="1"/>
  <c r="L78" i="1"/>
  <c r="I78" i="1"/>
  <c r="H94" i="1"/>
  <c r="L94" i="1"/>
  <c r="I94" i="1"/>
  <c r="H110" i="1"/>
  <c r="L110" i="1"/>
  <c r="I110" i="1"/>
  <c r="M126" i="1"/>
  <c r="H126" i="1"/>
  <c r="I126" i="1"/>
  <c r="L126" i="1"/>
  <c r="K142" i="1"/>
  <c r="L142" i="1"/>
  <c r="H142" i="1"/>
  <c r="I142" i="1"/>
  <c r="L158" i="1"/>
  <c r="H158" i="1"/>
  <c r="I158" i="1"/>
  <c r="I174" i="1"/>
  <c r="L174" i="1"/>
  <c r="H174" i="1"/>
  <c r="K190" i="1"/>
  <c r="I190" i="1"/>
  <c r="L190" i="1"/>
  <c r="H190" i="1"/>
  <c r="J206" i="1"/>
  <c r="I206" i="1"/>
  <c r="L206" i="1"/>
  <c r="H206" i="1"/>
  <c r="J222" i="1"/>
  <c r="L222" i="1"/>
  <c r="I222" i="1"/>
  <c r="H222" i="1"/>
  <c r="L238" i="1"/>
  <c r="H238" i="1"/>
  <c r="I238" i="1"/>
  <c r="H254" i="1"/>
  <c r="L254" i="1"/>
  <c r="I254" i="1"/>
  <c r="K270" i="1"/>
  <c r="L270" i="1"/>
  <c r="H270" i="1"/>
  <c r="I270" i="1"/>
  <c r="L286" i="1"/>
  <c r="H286" i="1"/>
  <c r="I286" i="1"/>
  <c r="L302" i="1"/>
  <c r="H302" i="1"/>
  <c r="I302" i="1"/>
  <c r="M318" i="1"/>
  <c r="L318" i="1"/>
  <c r="I318" i="1"/>
  <c r="H318" i="1"/>
  <c r="H334" i="1"/>
  <c r="I334" i="1"/>
  <c r="L334" i="1"/>
  <c r="H350" i="1"/>
  <c r="I350" i="1"/>
  <c r="L350" i="1"/>
  <c r="L366" i="1"/>
  <c r="H366" i="1"/>
  <c r="I366" i="1"/>
  <c r="H382" i="1"/>
  <c r="I382" i="1"/>
  <c r="L382" i="1"/>
  <c r="J398" i="1"/>
  <c r="L398" i="1"/>
  <c r="H398" i="1"/>
  <c r="I398" i="1"/>
  <c r="M414" i="1"/>
  <c r="L414" i="1"/>
  <c r="H414" i="1"/>
  <c r="I414" i="1"/>
  <c r="I430" i="1"/>
  <c r="L430" i="1"/>
  <c r="H430" i="1"/>
  <c r="K446" i="1"/>
  <c r="L446" i="1"/>
  <c r="H446" i="1"/>
  <c r="I446" i="1"/>
  <c r="K462" i="1"/>
  <c r="I462" i="1"/>
  <c r="L462" i="1"/>
  <c r="H462" i="1"/>
  <c r="K478" i="1"/>
  <c r="L478" i="1"/>
  <c r="H478" i="1"/>
  <c r="I478" i="1"/>
  <c r="L494" i="1"/>
  <c r="H494" i="1"/>
  <c r="I494" i="1"/>
  <c r="H510" i="1"/>
  <c r="L510" i="1"/>
  <c r="I510" i="1"/>
  <c r="L526" i="1"/>
  <c r="H526" i="1"/>
  <c r="I526" i="1"/>
  <c r="L542" i="1"/>
  <c r="H542" i="1"/>
  <c r="I542" i="1"/>
  <c r="M558" i="1"/>
  <c r="L558" i="1"/>
  <c r="H558" i="1"/>
  <c r="I558" i="1"/>
  <c r="H574" i="1"/>
  <c r="I574" i="1"/>
  <c r="L574" i="1"/>
  <c r="M590" i="1"/>
  <c r="I590" i="1"/>
  <c r="L590" i="1"/>
  <c r="H590" i="1"/>
  <c r="H606" i="1"/>
  <c r="L606" i="1"/>
  <c r="I606" i="1"/>
  <c r="L622" i="1"/>
  <c r="I622" i="1"/>
  <c r="H622" i="1"/>
  <c r="L638" i="1"/>
  <c r="H638" i="1"/>
  <c r="I638" i="1"/>
  <c r="K654" i="1"/>
  <c r="L654" i="1"/>
  <c r="H654" i="1"/>
  <c r="I654" i="1"/>
  <c r="L670" i="1"/>
  <c r="H670" i="1"/>
  <c r="I670" i="1"/>
  <c r="L686" i="1"/>
  <c r="H686" i="1"/>
  <c r="I686" i="1"/>
  <c r="L702" i="1"/>
  <c r="I702" i="1"/>
  <c r="H702" i="1"/>
  <c r="I718" i="1"/>
  <c r="L718" i="1"/>
  <c r="H718" i="1"/>
  <c r="L734" i="1"/>
  <c r="H734" i="1"/>
  <c r="I734" i="1"/>
  <c r="H750" i="1"/>
  <c r="L750" i="1"/>
  <c r="I750" i="1"/>
  <c r="L766" i="1"/>
  <c r="H766" i="1"/>
  <c r="I766" i="1"/>
  <c r="L782" i="1"/>
  <c r="H782" i="1"/>
  <c r="I782" i="1"/>
  <c r="K798" i="1"/>
  <c r="L798" i="1"/>
  <c r="H798" i="1"/>
  <c r="I798" i="1"/>
  <c r="M814" i="1"/>
  <c r="H814" i="1"/>
  <c r="L814" i="1"/>
  <c r="I814" i="1"/>
  <c r="L830" i="1"/>
  <c r="H830" i="1"/>
  <c r="I830" i="1"/>
  <c r="L846" i="1"/>
  <c r="H846" i="1"/>
  <c r="I846" i="1"/>
  <c r="J862" i="1"/>
  <c r="H862" i="1"/>
  <c r="I862" i="1"/>
  <c r="L862" i="1"/>
  <c r="L878" i="1"/>
  <c r="H878" i="1"/>
  <c r="I878" i="1"/>
  <c r="J894" i="1"/>
  <c r="L894" i="1"/>
  <c r="I894" i="1"/>
  <c r="H894" i="1"/>
  <c r="L910" i="1"/>
  <c r="H910" i="1"/>
  <c r="I910" i="1"/>
  <c r="H926" i="1"/>
  <c r="L926" i="1"/>
  <c r="I926" i="1"/>
  <c r="M942" i="1"/>
  <c r="L942" i="1"/>
  <c r="H942" i="1"/>
  <c r="I942" i="1"/>
  <c r="L239" i="1"/>
  <c r="I239" i="1"/>
  <c r="H239" i="1"/>
  <c r="L799" i="1"/>
  <c r="H799" i="1"/>
  <c r="I799" i="1"/>
  <c r="J256" i="1"/>
  <c r="H256" i="1"/>
  <c r="L256" i="1"/>
  <c r="I256" i="1"/>
  <c r="I816" i="1"/>
  <c r="L816" i="1"/>
  <c r="H816" i="1"/>
  <c r="L305" i="1"/>
  <c r="H305" i="1"/>
  <c r="I305" i="1"/>
  <c r="H785" i="1"/>
  <c r="L785" i="1"/>
  <c r="I785" i="1"/>
  <c r="M290" i="1"/>
  <c r="L290" i="1"/>
  <c r="H290" i="1"/>
  <c r="I290" i="1"/>
  <c r="L802" i="1"/>
  <c r="H802" i="1"/>
  <c r="I802" i="1"/>
  <c r="I259" i="1"/>
  <c r="L259" i="1"/>
  <c r="H259" i="1"/>
  <c r="I419" i="1"/>
  <c r="L419" i="1"/>
  <c r="H419" i="1"/>
  <c r="I435" i="1"/>
  <c r="L435" i="1"/>
  <c r="H435" i="1"/>
  <c r="I451" i="1"/>
  <c r="L451" i="1"/>
  <c r="H451" i="1"/>
  <c r="I467" i="1"/>
  <c r="H467" i="1"/>
  <c r="L467" i="1"/>
  <c r="I483" i="1"/>
  <c r="L483" i="1"/>
  <c r="H483" i="1"/>
  <c r="M499" i="1"/>
  <c r="H499" i="1"/>
  <c r="I499" i="1"/>
  <c r="L499" i="1"/>
  <c r="I515" i="1"/>
  <c r="H515" i="1"/>
  <c r="L515" i="1"/>
  <c r="I531" i="1"/>
  <c r="L531" i="1"/>
  <c r="H531" i="1"/>
  <c r="I547" i="1"/>
  <c r="H547" i="1"/>
  <c r="L547" i="1"/>
  <c r="I563" i="1"/>
  <c r="H563" i="1"/>
  <c r="L563" i="1"/>
  <c r="H579" i="1"/>
  <c r="I579" i="1"/>
  <c r="L579" i="1"/>
  <c r="J595" i="1"/>
  <c r="I595" i="1"/>
  <c r="L595" i="1"/>
  <c r="H595" i="1"/>
  <c r="K611" i="1"/>
  <c r="I611" i="1"/>
  <c r="L611" i="1"/>
  <c r="H611" i="1"/>
  <c r="I627" i="1"/>
  <c r="L627" i="1"/>
  <c r="H627" i="1"/>
  <c r="I643" i="1"/>
  <c r="L643" i="1"/>
  <c r="H643" i="1"/>
  <c r="I659" i="1"/>
  <c r="H659" i="1"/>
  <c r="L659" i="1"/>
  <c r="I675" i="1"/>
  <c r="L675" i="1"/>
  <c r="H675" i="1"/>
  <c r="I691" i="1"/>
  <c r="L691" i="1"/>
  <c r="H691" i="1"/>
  <c r="I707" i="1"/>
  <c r="H707" i="1"/>
  <c r="L707" i="1"/>
  <c r="K723" i="1"/>
  <c r="I723" i="1"/>
  <c r="H723" i="1"/>
  <c r="L723" i="1"/>
  <c r="M739" i="1"/>
  <c r="I739" i="1"/>
  <c r="L739" i="1"/>
  <c r="H739" i="1"/>
  <c r="M755" i="1"/>
  <c r="H755" i="1"/>
  <c r="I755" i="1"/>
  <c r="L755" i="1"/>
  <c r="I771" i="1"/>
  <c r="L771" i="1"/>
  <c r="H771" i="1"/>
  <c r="I787" i="1"/>
  <c r="L787" i="1"/>
  <c r="H787" i="1"/>
  <c r="I803" i="1"/>
  <c r="L803" i="1"/>
  <c r="H803" i="1"/>
  <c r="I819" i="1"/>
  <c r="L819" i="1"/>
  <c r="H819" i="1"/>
  <c r="I835" i="1"/>
  <c r="L835" i="1"/>
  <c r="H835" i="1"/>
  <c r="H851" i="1"/>
  <c r="I851" i="1"/>
  <c r="L851" i="1"/>
  <c r="I867" i="1"/>
  <c r="H867" i="1"/>
  <c r="L867" i="1"/>
  <c r="I883" i="1"/>
  <c r="L883" i="1"/>
  <c r="H883" i="1"/>
  <c r="L899" i="1"/>
  <c r="H899" i="1"/>
  <c r="I899" i="1"/>
  <c r="L915" i="1"/>
  <c r="H915" i="1"/>
  <c r="I915" i="1"/>
  <c r="I931" i="1"/>
  <c r="L931" i="1"/>
  <c r="H931" i="1"/>
  <c r="M63" i="1"/>
  <c r="H63" i="1"/>
  <c r="L63" i="1"/>
  <c r="I63" i="1"/>
  <c r="L255" i="1"/>
  <c r="H255" i="1"/>
  <c r="I255" i="1"/>
  <c r="I415" i="1"/>
  <c r="L415" i="1"/>
  <c r="H415" i="1"/>
  <c r="H607" i="1"/>
  <c r="L607" i="1"/>
  <c r="I607" i="1"/>
  <c r="I815" i="1"/>
  <c r="H815" i="1"/>
  <c r="L815" i="1"/>
  <c r="L80" i="1"/>
  <c r="I80" i="1"/>
  <c r="H80" i="1"/>
  <c r="L384" i="1"/>
  <c r="H384" i="1"/>
  <c r="I384" i="1"/>
  <c r="H832" i="1"/>
  <c r="L832" i="1"/>
  <c r="I832" i="1"/>
  <c r="K65" i="1"/>
  <c r="H65" i="1"/>
  <c r="I65" i="1"/>
  <c r="L65" i="1"/>
  <c r="L321" i="1"/>
  <c r="H321" i="1"/>
  <c r="I321" i="1"/>
  <c r="L529" i="1"/>
  <c r="H529" i="1"/>
  <c r="I529" i="1"/>
  <c r="H833" i="1"/>
  <c r="L833" i="1"/>
  <c r="I833" i="1"/>
  <c r="M226" i="1"/>
  <c r="L226" i="1"/>
  <c r="H226" i="1"/>
  <c r="I226" i="1"/>
  <c r="L546" i="1"/>
  <c r="H546" i="1"/>
  <c r="I546" i="1"/>
  <c r="L930" i="1"/>
  <c r="H930" i="1"/>
  <c r="I930" i="1"/>
  <c r="L35" i="1"/>
  <c r="H35" i="1"/>
  <c r="I35" i="1"/>
  <c r="I115" i="1"/>
  <c r="L115" i="1"/>
  <c r="H115" i="1"/>
  <c r="J132" i="1"/>
  <c r="I132" i="1"/>
  <c r="L132" i="1"/>
  <c r="H132" i="1"/>
  <c r="I244" i="1"/>
  <c r="H244" i="1"/>
  <c r="L244" i="1"/>
  <c r="I260" i="1"/>
  <c r="L260" i="1"/>
  <c r="H260" i="1"/>
  <c r="I276" i="1"/>
  <c r="H276" i="1"/>
  <c r="L276" i="1"/>
  <c r="I292" i="1"/>
  <c r="L292" i="1"/>
  <c r="H292" i="1"/>
  <c r="M308" i="1"/>
  <c r="I308" i="1"/>
  <c r="L308" i="1"/>
  <c r="H308" i="1"/>
  <c r="I324" i="1"/>
  <c r="L324" i="1"/>
  <c r="H324" i="1"/>
  <c r="M340" i="1"/>
  <c r="I340" i="1"/>
  <c r="L340" i="1"/>
  <c r="H340" i="1"/>
  <c r="I356" i="1"/>
  <c r="L356" i="1"/>
  <c r="H356" i="1"/>
  <c r="M372" i="1"/>
  <c r="I372" i="1"/>
  <c r="L372" i="1"/>
  <c r="H372" i="1"/>
  <c r="J388" i="1"/>
  <c r="I388" i="1"/>
  <c r="H388" i="1"/>
  <c r="L388" i="1"/>
  <c r="I404" i="1"/>
  <c r="H404" i="1"/>
  <c r="L404" i="1"/>
  <c r="I420" i="1"/>
  <c r="H420" i="1"/>
  <c r="L420" i="1"/>
  <c r="K436" i="1"/>
  <c r="L436" i="1"/>
  <c r="H436" i="1"/>
  <c r="I436" i="1"/>
  <c r="L452" i="1"/>
  <c r="H452" i="1"/>
  <c r="I452" i="1"/>
  <c r="L468" i="1"/>
  <c r="H468" i="1"/>
  <c r="I468" i="1"/>
  <c r="L484" i="1"/>
  <c r="H484" i="1"/>
  <c r="I484" i="1"/>
  <c r="H500" i="1"/>
  <c r="L500" i="1"/>
  <c r="I500" i="1"/>
  <c r="I516" i="1"/>
  <c r="L516" i="1"/>
  <c r="H516" i="1"/>
  <c r="H532" i="1"/>
  <c r="I532" i="1"/>
  <c r="L532" i="1"/>
  <c r="M548" i="1"/>
  <c r="I548" i="1"/>
  <c r="L548" i="1"/>
  <c r="H548" i="1"/>
  <c r="I564" i="1"/>
  <c r="L564" i="1"/>
  <c r="H564" i="1"/>
  <c r="I580" i="1"/>
  <c r="L580" i="1"/>
  <c r="H580" i="1"/>
  <c r="I596" i="1"/>
  <c r="L596" i="1"/>
  <c r="H596" i="1"/>
  <c r="I612" i="1"/>
  <c r="L612" i="1"/>
  <c r="H612" i="1"/>
  <c r="I628" i="1"/>
  <c r="L628" i="1"/>
  <c r="H628" i="1"/>
  <c r="K644" i="1"/>
  <c r="I644" i="1"/>
  <c r="H644" i="1"/>
  <c r="L644" i="1"/>
  <c r="I660" i="1"/>
  <c r="L660" i="1"/>
  <c r="H660" i="1"/>
  <c r="I676" i="1"/>
  <c r="L676" i="1"/>
  <c r="H676" i="1"/>
  <c r="I692" i="1"/>
  <c r="L692" i="1"/>
  <c r="H692" i="1"/>
  <c r="M708" i="1"/>
  <c r="L708" i="1"/>
  <c r="H708" i="1"/>
  <c r="I708" i="1"/>
  <c r="J724" i="1"/>
  <c r="L724" i="1"/>
  <c r="H724" i="1"/>
  <c r="I724" i="1"/>
  <c r="L740" i="1"/>
  <c r="H740" i="1"/>
  <c r="I740" i="1"/>
  <c r="L756" i="1"/>
  <c r="H756" i="1"/>
  <c r="I756" i="1"/>
  <c r="H772" i="1"/>
  <c r="I772" i="1"/>
  <c r="L772" i="1"/>
  <c r="I788" i="1"/>
  <c r="L788" i="1"/>
  <c r="H788" i="1"/>
  <c r="I804" i="1"/>
  <c r="L804" i="1"/>
  <c r="H804" i="1"/>
  <c r="M820" i="1"/>
  <c r="I820" i="1"/>
  <c r="H820" i="1"/>
  <c r="L820" i="1"/>
  <c r="I836" i="1"/>
  <c r="L836" i="1"/>
  <c r="H836" i="1"/>
  <c r="I852" i="1"/>
  <c r="L852" i="1"/>
  <c r="H852" i="1"/>
  <c r="K868" i="1"/>
  <c r="I868" i="1"/>
  <c r="L868" i="1"/>
  <c r="H868" i="1"/>
  <c r="J884" i="1"/>
  <c r="I884" i="1"/>
  <c r="L884" i="1"/>
  <c r="H884" i="1"/>
  <c r="I900" i="1"/>
  <c r="L900" i="1"/>
  <c r="H900" i="1"/>
  <c r="M916" i="1"/>
  <c r="H916" i="1"/>
  <c r="I916" i="1"/>
  <c r="L916" i="1"/>
  <c r="L932" i="1"/>
  <c r="I932" i="1"/>
  <c r="H932" i="1"/>
  <c r="I31" i="1"/>
  <c r="H31" i="1"/>
  <c r="L31" i="1"/>
  <c r="L143" i="1"/>
  <c r="H143" i="1"/>
  <c r="I143" i="1"/>
  <c r="I271" i="1"/>
  <c r="L271" i="1"/>
  <c r="H271" i="1"/>
  <c r="K399" i="1"/>
  <c r="I399" i="1"/>
  <c r="L399" i="1"/>
  <c r="H399" i="1"/>
  <c r="I559" i="1"/>
  <c r="H559" i="1"/>
  <c r="L559" i="1"/>
  <c r="J639" i="1"/>
  <c r="I639" i="1"/>
  <c r="L639" i="1"/>
  <c r="H639" i="1"/>
  <c r="L767" i="1"/>
  <c r="H767" i="1"/>
  <c r="I767" i="1"/>
  <c r="I847" i="1"/>
  <c r="L847" i="1"/>
  <c r="H847" i="1"/>
  <c r="L19" i="1"/>
  <c r="H19" i="1"/>
  <c r="I19" i="1"/>
  <c r="I224" i="1"/>
  <c r="H224" i="1"/>
  <c r="L224" i="1"/>
  <c r="M400" i="1"/>
  <c r="H400" i="1"/>
  <c r="L400" i="1"/>
  <c r="I400" i="1"/>
  <c r="H544" i="1"/>
  <c r="L544" i="1"/>
  <c r="I544" i="1"/>
  <c r="I688" i="1"/>
  <c r="H688" i="1"/>
  <c r="L688" i="1"/>
  <c r="L944" i="1"/>
  <c r="I944" i="1"/>
  <c r="H944" i="1"/>
  <c r="L4" i="1"/>
  <c r="H4" i="1"/>
  <c r="I4" i="1"/>
  <c r="L113" i="1"/>
  <c r="H113" i="1"/>
  <c r="I113" i="1"/>
  <c r="J241" i="1"/>
  <c r="H241" i="1"/>
  <c r="L241" i="1"/>
  <c r="I241" i="1"/>
  <c r="K369" i="1"/>
  <c r="H369" i="1"/>
  <c r="L369" i="1"/>
  <c r="I369" i="1"/>
  <c r="H465" i="1"/>
  <c r="L465" i="1"/>
  <c r="I465" i="1"/>
  <c r="H593" i="1"/>
  <c r="L593" i="1"/>
  <c r="I593" i="1"/>
  <c r="I689" i="1"/>
  <c r="H689" i="1"/>
  <c r="L689" i="1"/>
  <c r="I769" i="1"/>
  <c r="L769" i="1"/>
  <c r="H769" i="1"/>
  <c r="H849" i="1"/>
  <c r="L849" i="1"/>
  <c r="I849" i="1"/>
  <c r="L21" i="1"/>
  <c r="H21" i="1"/>
  <c r="I21" i="1"/>
  <c r="L162" i="1"/>
  <c r="H162" i="1"/>
  <c r="I162" i="1"/>
  <c r="L322" i="1"/>
  <c r="H322" i="1"/>
  <c r="I322" i="1"/>
  <c r="L466" i="1"/>
  <c r="H466" i="1"/>
  <c r="I466" i="1"/>
  <c r="L690" i="1"/>
  <c r="H690" i="1"/>
  <c r="I690" i="1"/>
  <c r="K946" i="1"/>
  <c r="L946" i="1"/>
  <c r="H946" i="1"/>
  <c r="I946" i="1"/>
  <c r="I163" i="1"/>
  <c r="L163" i="1"/>
  <c r="H163" i="1"/>
  <c r="I371" i="1"/>
  <c r="H371" i="1"/>
  <c r="L371" i="1"/>
  <c r="I100" i="1"/>
  <c r="L100" i="1"/>
  <c r="H100" i="1"/>
  <c r="L37" i="1"/>
  <c r="H37" i="1"/>
  <c r="I37" i="1"/>
  <c r="M165" i="1"/>
  <c r="L165" i="1"/>
  <c r="H165" i="1"/>
  <c r="I165" i="1"/>
  <c r="L245" i="1"/>
  <c r="H245" i="1"/>
  <c r="I245" i="1"/>
  <c r="L325" i="1"/>
  <c r="H325" i="1"/>
  <c r="I325" i="1"/>
  <c r="K341" i="1"/>
  <c r="L341" i="1"/>
  <c r="H341" i="1"/>
  <c r="I341" i="1"/>
  <c r="M357" i="1"/>
  <c r="L357" i="1"/>
  <c r="H357" i="1"/>
  <c r="I357" i="1"/>
  <c r="L373" i="1"/>
  <c r="H373" i="1"/>
  <c r="I373" i="1"/>
  <c r="L389" i="1"/>
  <c r="H389" i="1"/>
  <c r="I389" i="1"/>
  <c r="L405" i="1"/>
  <c r="H405" i="1"/>
  <c r="I405" i="1"/>
  <c r="L421" i="1"/>
  <c r="H421" i="1"/>
  <c r="I421" i="1"/>
  <c r="L437" i="1"/>
  <c r="H437" i="1"/>
  <c r="I437" i="1"/>
  <c r="M453" i="1"/>
  <c r="L453" i="1"/>
  <c r="H453" i="1"/>
  <c r="I453" i="1"/>
  <c r="L469" i="1"/>
  <c r="H469" i="1"/>
  <c r="I469" i="1"/>
  <c r="M485" i="1"/>
  <c r="I485" i="1"/>
  <c r="H485" i="1"/>
  <c r="L485" i="1"/>
  <c r="L501" i="1"/>
  <c r="H501" i="1"/>
  <c r="I501" i="1"/>
  <c r="L517" i="1"/>
  <c r="I517" i="1"/>
  <c r="H517" i="1"/>
  <c r="H533" i="1"/>
  <c r="L533" i="1"/>
  <c r="I533" i="1"/>
  <c r="L549" i="1"/>
  <c r="H549" i="1"/>
  <c r="I549" i="1"/>
  <c r="L565" i="1"/>
  <c r="H565" i="1"/>
  <c r="I565" i="1"/>
  <c r="M581" i="1"/>
  <c r="H581" i="1"/>
  <c r="L581" i="1"/>
  <c r="I581" i="1"/>
  <c r="L597" i="1"/>
  <c r="H597" i="1"/>
  <c r="I597" i="1"/>
  <c r="J613" i="1"/>
  <c r="L613" i="1"/>
  <c r="H613" i="1"/>
  <c r="I613" i="1"/>
  <c r="L629" i="1"/>
  <c r="H629" i="1"/>
  <c r="I629" i="1"/>
  <c r="M645" i="1"/>
  <c r="H645" i="1"/>
  <c r="L645" i="1"/>
  <c r="I645" i="1"/>
  <c r="L661" i="1"/>
  <c r="H661" i="1"/>
  <c r="I661" i="1"/>
  <c r="H677" i="1"/>
  <c r="L677" i="1"/>
  <c r="I677" i="1"/>
  <c r="K693" i="1"/>
  <c r="L693" i="1"/>
  <c r="H693" i="1"/>
  <c r="I693" i="1"/>
  <c r="L709" i="1"/>
  <c r="H709" i="1"/>
  <c r="I709" i="1"/>
  <c r="J725" i="1"/>
  <c r="L725" i="1"/>
  <c r="H725" i="1"/>
  <c r="I725" i="1"/>
  <c r="L741" i="1"/>
  <c r="H741" i="1"/>
  <c r="I741" i="1"/>
  <c r="L757" i="1"/>
  <c r="H757" i="1"/>
  <c r="I757" i="1"/>
  <c r="J773" i="1"/>
  <c r="L773" i="1"/>
  <c r="H773" i="1"/>
  <c r="I773" i="1"/>
  <c r="J789" i="1"/>
  <c r="H789" i="1"/>
  <c r="L789" i="1"/>
  <c r="I789" i="1"/>
  <c r="L805" i="1"/>
  <c r="H805" i="1"/>
  <c r="I805" i="1"/>
  <c r="L821" i="1"/>
  <c r="H821" i="1"/>
  <c r="I821" i="1"/>
  <c r="L837" i="1"/>
  <c r="H837" i="1"/>
  <c r="I837" i="1"/>
  <c r="J853" i="1"/>
  <c r="L853" i="1"/>
  <c r="H853" i="1"/>
  <c r="I853" i="1"/>
  <c r="L869" i="1"/>
  <c r="H869" i="1"/>
  <c r="I869" i="1"/>
  <c r="L885" i="1"/>
  <c r="H885" i="1"/>
  <c r="I885" i="1"/>
  <c r="L901" i="1"/>
  <c r="H901" i="1"/>
  <c r="I901" i="1"/>
  <c r="K917" i="1"/>
  <c r="I917" i="1"/>
  <c r="L917" i="1"/>
  <c r="H917" i="1"/>
  <c r="I933" i="1"/>
  <c r="L933" i="1"/>
  <c r="H933" i="1"/>
  <c r="M111" i="1"/>
  <c r="H111" i="1"/>
  <c r="L111" i="1"/>
  <c r="I111" i="1"/>
  <c r="H783" i="1"/>
  <c r="L783" i="1"/>
  <c r="I783" i="1"/>
  <c r="I112" i="1"/>
  <c r="L112" i="1"/>
  <c r="H112" i="1"/>
  <c r="J784" i="1"/>
  <c r="H784" i="1"/>
  <c r="I784" i="1"/>
  <c r="L784" i="1"/>
  <c r="M145" i="1"/>
  <c r="L145" i="1"/>
  <c r="H145" i="1"/>
  <c r="I145" i="1"/>
  <c r="L801" i="1"/>
  <c r="H801" i="1"/>
  <c r="I801" i="1"/>
  <c r="M34" i="1"/>
  <c r="H34" i="1"/>
  <c r="L34" i="1"/>
  <c r="I34" i="1"/>
  <c r="L402" i="1"/>
  <c r="H402" i="1"/>
  <c r="I402" i="1"/>
  <c r="H818" i="1"/>
  <c r="L818" i="1"/>
  <c r="I818" i="1"/>
  <c r="I403" i="1"/>
  <c r="L403" i="1"/>
  <c r="H403" i="1"/>
  <c r="I7" i="1"/>
  <c r="L7" i="1"/>
  <c r="H7" i="1"/>
  <c r="J214" i="1"/>
  <c r="L214" i="1"/>
  <c r="I214" i="1"/>
  <c r="H214" i="1"/>
  <c r="M422" i="1"/>
  <c r="H422" i="1"/>
  <c r="L422" i="1"/>
  <c r="I422" i="1"/>
  <c r="I486" i="1"/>
  <c r="H486" i="1"/>
  <c r="L486" i="1"/>
  <c r="J550" i="1"/>
  <c r="L550" i="1"/>
  <c r="H550" i="1"/>
  <c r="I550" i="1"/>
  <c r="L566" i="1"/>
  <c r="H566" i="1"/>
  <c r="I566" i="1"/>
  <c r="H582" i="1"/>
  <c r="L582" i="1"/>
  <c r="I582" i="1"/>
  <c r="L598" i="1"/>
  <c r="H598" i="1"/>
  <c r="I598" i="1"/>
  <c r="L614" i="1"/>
  <c r="H614" i="1"/>
  <c r="I614" i="1"/>
  <c r="L630" i="1"/>
  <c r="H630" i="1"/>
  <c r="I630" i="1"/>
  <c r="M646" i="1"/>
  <c r="H646" i="1"/>
  <c r="L646" i="1"/>
  <c r="I646" i="1"/>
  <c r="J662" i="1"/>
  <c r="L662" i="1"/>
  <c r="H662" i="1"/>
  <c r="I662" i="1"/>
  <c r="K678" i="1"/>
  <c r="L678" i="1"/>
  <c r="H678" i="1"/>
  <c r="I678" i="1"/>
  <c r="L694" i="1"/>
  <c r="H694" i="1"/>
  <c r="I694" i="1"/>
  <c r="L710" i="1"/>
  <c r="H710" i="1"/>
  <c r="I710" i="1"/>
  <c r="L726" i="1"/>
  <c r="H726" i="1"/>
  <c r="I726" i="1"/>
  <c r="J742" i="1"/>
  <c r="L742" i="1"/>
  <c r="I742" i="1"/>
  <c r="H742" i="1"/>
  <c r="M758" i="1"/>
  <c r="L758" i="1"/>
  <c r="I758" i="1"/>
  <c r="H758" i="1"/>
  <c r="K774" i="1"/>
  <c r="L774" i="1"/>
  <c r="H774" i="1"/>
  <c r="I774" i="1"/>
  <c r="J790" i="1"/>
  <c r="I790" i="1"/>
  <c r="L790" i="1"/>
  <c r="H790" i="1"/>
  <c r="M806" i="1"/>
  <c r="L806" i="1"/>
  <c r="H806" i="1"/>
  <c r="I806" i="1"/>
  <c r="L822" i="1"/>
  <c r="H822" i="1"/>
  <c r="I822" i="1"/>
  <c r="L838" i="1"/>
  <c r="H838" i="1"/>
  <c r="I838" i="1"/>
  <c r="K854" i="1"/>
  <c r="L854" i="1"/>
  <c r="H854" i="1"/>
  <c r="I854" i="1"/>
  <c r="M870" i="1"/>
  <c r="L870" i="1"/>
  <c r="H870" i="1"/>
  <c r="I870" i="1"/>
  <c r="H886" i="1"/>
  <c r="L886" i="1"/>
  <c r="I886" i="1"/>
  <c r="I902" i="1"/>
  <c r="L902" i="1"/>
  <c r="H902" i="1"/>
  <c r="I918" i="1"/>
  <c r="L918" i="1"/>
  <c r="H918" i="1"/>
  <c r="M934" i="1"/>
  <c r="I934" i="1"/>
  <c r="H934" i="1"/>
  <c r="L934" i="1"/>
  <c r="J175" i="1"/>
  <c r="L175" i="1"/>
  <c r="H175" i="1"/>
  <c r="I175" i="1"/>
  <c r="M367" i="1"/>
  <c r="I367" i="1"/>
  <c r="L367" i="1"/>
  <c r="H367" i="1"/>
  <c r="I527" i="1"/>
  <c r="L527" i="1"/>
  <c r="H527" i="1"/>
  <c r="H687" i="1"/>
  <c r="I687" i="1"/>
  <c r="L687" i="1"/>
  <c r="M895" i="1"/>
  <c r="I895" i="1"/>
  <c r="L895" i="1"/>
  <c r="H895" i="1"/>
  <c r="L128" i="1"/>
  <c r="I128" i="1"/>
  <c r="H128" i="1"/>
  <c r="L320" i="1"/>
  <c r="I320" i="1"/>
  <c r="H320" i="1"/>
  <c r="H496" i="1"/>
  <c r="I496" i="1"/>
  <c r="L496" i="1"/>
  <c r="H656" i="1"/>
  <c r="I656" i="1"/>
  <c r="L656" i="1"/>
  <c r="I928" i="1"/>
  <c r="L928" i="1"/>
  <c r="H928" i="1"/>
  <c r="H177" i="1"/>
  <c r="L177" i="1"/>
  <c r="I177" i="1"/>
  <c r="H353" i="1"/>
  <c r="L353" i="1"/>
  <c r="I353" i="1"/>
  <c r="K513" i="1"/>
  <c r="H513" i="1"/>
  <c r="L513" i="1"/>
  <c r="I513" i="1"/>
  <c r="M673" i="1"/>
  <c r="L673" i="1"/>
  <c r="H673" i="1"/>
  <c r="I673" i="1"/>
  <c r="M897" i="1"/>
  <c r="H897" i="1"/>
  <c r="L897" i="1"/>
  <c r="I897" i="1"/>
  <c r="M82" i="1"/>
  <c r="L82" i="1"/>
  <c r="H82" i="1"/>
  <c r="I82" i="1"/>
  <c r="L242" i="1"/>
  <c r="H242" i="1"/>
  <c r="I242" i="1"/>
  <c r="H418" i="1"/>
  <c r="L418" i="1"/>
  <c r="I418" i="1"/>
  <c r="M562" i="1"/>
  <c r="L562" i="1"/>
  <c r="H562" i="1"/>
  <c r="I562" i="1"/>
  <c r="L706" i="1"/>
  <c r="H706" i="1"/>
  <c r="I706" i="1"/>
  <c r="H914" i="1"/>
  <c r="L914" i="1"/>
  <c r="I914" i="1"/>
  <c r="M6" i="1"/>
  <c r="H6" i="1"/>
  <c r="L6" i="1"/>
  <c r="I6" i="1"/>
  <c r="H99" i="1"/>
  <c r="I99" i="1"/>
  <c r="L99" i="1"/>
  <c r="I227" i="1"/>
  <c r="H227" i="1"/>
  <c r="L227" i="1"/>
  <c r="H291" i="1"/>
  <c r="I291" i="1"/>
  <c r="L291" i="1"/>
  <c r="I84" i="1"/>
  <c r="L84" i="1"/>
  <c r="H84" i="1"/>
  <c r="I196" i="1"/>
  <c r="L196" i="1"/>
  <c r="H196" i="1"/>
  <c r="L133" i="1"/>
  <c r="H133" i="1"/>
  <c r="I133" i="1"/>
  <c r="J293" i="1"/>
  <c r="L293" i="1"/>
  <c r="H293" i="1"/>
  <c r="I293" i="1"/>
  <c r="H70" i="1"/>
  <c r="L70" i="1"/>
  <c r="I70" i="1"/>
  <c r="K166" i="1"/>
  <c r="L166" i="1"/>
  <c r="H166" i="1"/>
  <c r="I166" i="1"/>
  <c r="J262" i="1"/>
  <c r="H262" i="1"/>
  <c r="L262" i="1"/>
  <c r="I262" i="1"/>
  <c r="K342" i="1"/>
  <c r="H342" i="1"/>
  <c r="L342" i="1"/>
  <c r="I342" i="1"/>
  <c r="K518" i="1"/>
  <c r="H518" i="1"/>
  <c r="L518" i="1"/>
  <c r="I518" i="1"/>
  <c r="M103" i="1"/>
  <c r="H103" i="1"/>
  <c r="L103" i="1"/>
  <c r="I103" i="1"/>
  <c r="J199" i="1"/>
  <c r="I199" i="1"/>
  <c r="H199" i="1"/>
  <c r="L199" i="1"/>
  <c r="L263" i="1"/>
  <c r="H263" i="1"/>
  <c r="I263" i="1"/>
  <c r="L359" i="1"/>
  <c r="H359" i="1"/>
  <c r="I359" i="1"/>
  <c r="H391" i="1"/>
  <c r="L391" i="1"/>
  <c r="I391" i="1"/>
  <c r="H423" i="1"/>
  <c r="L423" i="1"/>
  <c r="I423" i="1"/>
  <c r="M439" i="1"/>
  <c r="L439" i="1"/>
  <c r="H439" i="1"/>
  <c r="I439" i="1"/>
  <c r="I455" i="1"/>
  <c r="L455" i="1"/>
  <c r="H455" i="1"/>
  <c r="L471" i="1"/>
  <c r="I471" i="1"/>
  <c r="H471" i="1"/>
  <c r="H487" i="1"/>
  <c r="I487" i="1"/>
  <c r="L487" i="1"/>
  <c r="M503" i="1"/>
  <c r="L503" i="1"/>
  <c r="H503" i="1"/>
  <c r="I503" i="1"/>
  <c r="M519" i="1"/>
  <c r="L519" i="1"/>
  <c r="H519" i="1"/>
  <c r="I519" i="1"/>
  <c r="H535" i="1"/>
  <c r="L535" i="1"/>
  <c r="I535" i="1"/>
  <c r="M567" i="1"/>
  <c r="L567" i="1"/>
  <c r="H567" i="1"/>
  <c r="I567" i="1"/>
  <c r="H583" i="1"/>
  <c r="I583" i="1"/>
  <c r="L583" i="1"/>
  <c r="M599" i="1"/>
  <c r="L599" i="1"/>
  <c r="H599" i="1"/>
  <c r="I599" i="1"/>
  <c r="H615" i="1"/>
  <c r="L615" i="1"/>
  <c r="I615" i="1"/>
  <c r="L631" i="1"/>
  <c r="H631" i="1"/>
  <c r="I631" i="1"/>
  <c r="J647" i="1"/>
  <c r="L647" i="1"/>
  <c r="H647" i="1"/>
  <c r="I647" i="1"/>
  <c r="J663" i="1"/>
  <c r="L663" i="1"/>
  <c r="H663" i="1"/>
  <c r="I663" i="1"/>
  <c r="H679" i="1"/>
  <c r="L679" i="1"/>
  <c r="I679" i="1"/>
  <c r="K695" i="1"/>
  <c r="L695" i="1"/>
  <c r="H695" i="1"/>
  <c r="I695" i="1"/>
  <c r="M711" i="1"/>
  <c r="L711" i="1"/>
  <c r="I711" i="1"/>
  <c r="H711" i="1"/>
  <c r="K727" i="1"/>
  <c r="H727" i="1"/>
  <c r="I727" i="1"/>
  <c r="L727" i="1"/>
  <c r="M743" i="1"/>
  <c r="H743" i="1"/>
  <c r="L743" i="1"/>
  <c r="I743" i="1"/>
  <c r="J759" i="1"/>
  <c r="L759" i="1"/>
  <c r="H759" i="1"/>
  <c r="I759" i="1"/>
  <c r="L775" i="1"/>
  <c r="H775" i="1"/>
  <c r="I775" i="1"/>
  <c r="L791" i="1"/>
  <c r="H791" i="1"/>
  <c r="I791" i="1"/>
  <c r="L807" i="1"/>
  <c r="H807" i="1"/>
  <c r="I807" i="1"/>
  <c r="H823" i="1"/>
  <c r="L823" i="1"/>
  <c r="I823" i="1"/>
  <c r="H839" i="1"/>
  <c r="L839" i="1"/>
  <c r="I839" i="1"/>
  <c r="M855" i="1"/>
  <c r="L855" i="1"/>
  <c r="H855" i="1"/>
  <c r="I855" i="1"/>
  <c r="K871" i="1"/>
  <c r="L871" i="1"/>
  <c r="H871" i="1"/>
  <c r="I871" i="1"/>
  <c r="H887" i="1"/>
  <c r="I887" i="1"/>
  <c r="L887" i="1"/>
  <c r="I903" i="1"/>
  <c r="L903" i="1"/>
  <c r="H903" i="1"/>
  <c r="H919" i="1"/>
  <c r="L919" i="1"/>
  <c r="I919" i="1"/>
  <c r="L935" i="1"/>
  <c r="H935" i="1"/>
  <c r="I935" i="1"/>
  <c r="H18" i="1"/>
  <c r="L18" i="1"/>
  <c r="I18" i="1"/>
  <c r="I191" i="1"/>
  <c r="H191" i="1"/>
  <c r="L191" i="1"/>
  <c r="K383" i="1"/>
  <c r="I383" i="1"/>
  <c r="L383" i="1"/>
  <c r="H383" i="1"/>
  <c r="I543" i="1"/>
  <c r="H543" i="1"/>
  <c r="L543" i="1"/>
  <c r="M719" i="1"/>
  <c r="I719" i="1"/>
  <c r="L719" i="1"/>
  <c r="H719" i="1"/>
  <c r="H927" i="1"/>
  <c r="L927" i="1"/>
  <c r="I927" i="1"/>
  <c r="J176" i="1"/>
  <c r="H176" i="1"/>
  <c r="L176" i="1"/>
  <c r="I176" i="1"/>
  <c r="K304" i="1"/>
  <c r="I304" i="1"/>
  <c r="L304" i="1"/>
  <c r="H304" i="1"/>
  <c r="I464" i="1"/>
  <c r="H464" i="1"/>
  <c r="L464" i="1"/>
  <c r="H592" i="1"/>
  <c r="I592" i="1"/>
  <c r="L592" i="1"/>
  <c r="I736" i="1"/>
  <c r="H736" i="1"/>
  <c r="L736" i="1"/>
  <c r="H896" i="1"/>
  <c r="L896" i="1"/>
  <c r="I896" i="1"/>
  <c r="K20" i="1"/>
  <c r="I20" i="1"/>
  <c r="L20" i="1"/>
  <c r="H20" i="1"/>
  <c r="H209" i="1"/>
  <c r="L209" i="1"/>
  <c r="I209" i="1"/>
  <c r="K401" i="1"/>
  <c r="H401" i="1"/>
  <c r="I401" i="1"/>
  <c r="L401" i="1"/>
  <c r="K545" i="1"/>
  <c r="H545" i="1"/>
  <c r="L545" i="1"/>
  <c r="I545" i="1"/>
  <c r="K641" i="1"/>
  <c r="H641" i="1"/>
  <c r="L641" i="1"/>
  <c r="I641" i="1"/>
  <c r="H753" i="1"/>
  <c r="L753" i="1"/>
  <c r="I753" i="1"/>
  <c r="L865" i="1"/>
  <c r="H865" i="1"/>
  <c r="I865" i="1"/>
  <c r="I5" i="1"/>
  <c r="L5" i="1"/>
  <c r="H5" i="1"/>
  <c r="L130" i="1"/>
  <c r="H130" i="1"/>
  <c r="I130" i="1"/>
  <c r="J274" i="1"/>
  <c r="H274" i="1"/>
  <c r="L274" i="1"/>
  <c r="I274" i="1"/>
  <c r="L386" i="1"/>
  <c r="H386" i="1"/>
  <c r="I386" i="1"/>
  <c r="L514" i="1"/>
  <c r="H514" i="1"/>
  <c r="I514" i="1"/>
  <c r="H610" i="1"/>
  <c r="L610" i="1"/>
  <c r="I610" i="1"/>
  <c r="L738" i="1"/>
  <c r="H738" i="1"/>
  <c r="I738" i="1"/>
  <c r="H866" i="1"/>
  <c r="L866" i="1"/>
  <c r="I866" i="1"/>
  <c r="J131" i="1"/>
  <c r="I131" i="1"/>
  <c r="L131" i="1"/>
  <c r="H131" i="1"/>
  <c r="I387" i="1"/>
  <c r="H387" i="1"/>
  <c r="L387" i="1"/>
  <c r="K68" i="1"/>
  <c r="I68" i="1"/>
  <c r="L68" i="1"/>
  <c r="H68" i="1"/>
  <c r="M149" i="1"/>
  <c r="L149" i="1"/>
  <c r="H149" i="1"/>
  <c r="I149" i="1"/>
  <c r="L277" i="1"/>
  <c r="H277" i="1"/>
  <c r="I277" i="1"/>
  <c r="H54" i="1"/>
  <c r="L54" i="1"/>
  <c r="I54" i="1"/>
  <c r="H134" i="1"/>
  <c r="L134" i="1"/>
  <c r="I134" i="1"/>
  <c r="M246" i="1"/>
  <c r="L246" i="1"/>
  <c r="I246" i="1"/>
  <c r="H246" i="1"/>
  <c r="M358" i="1"/>
  <c r="H358" i="1"/>
  <c r="L358" i="1"/>
  <c r="I358" i="1"/>
  <c r="K534" i="1"/>
  <c r="I534" i="1"/>
  <c r="L534" i="1"/>
  <c r="H534" i="1"/>
  <c r="L87" i="1"/>
  <c r="H87" i="1"/>
  <c r="I87" i="1"/>
  <c r="M167" i="1"/>
  <c r="L167" i="1"/>
  <c r="H167" i="1"/>
  <c r="I167" i="1"/>
  <c r="L231" i="1"/>
  <c r="H231" i="1"/>
  <c r="I231" i="1"/>
  <c r="L247" i="1"/>
  <c r="H247" i="1"/>
  <c r="I247" i="1"/>
  <c r="H311" i="1"/>
  <c r="L311" i="1"/>
  <c r="I311" i="1"/>
  <c r="H375" i="1"/>
  <c r="L375" i="1"/>
  <c r="I375" i="1"/>
  <c r="M407" i="1"/>
  <c r="L407" i="1"/>
  <c r="H407" i="1"/>
  <c r="I407" i="1"/>
  <c r="H551" i="1"/>
  <c r="L551" i="1"/>
  <c r="I551" i="1"/>
  <c r="K11" i="1"/>
  <c r="L11" i="1"/>
  <c r="H11" i="1"/>
  <c r="I11" i="1"/>
  <c r="J24" i="1"/>
  <c r="L24" i="1"/>
  <c r="H24" i="1"/>
  <c r="I24" i="1"/>
  <c r="I40" i="1"/>
  <c r="L40" i="1"/>
  <c r="H40" i="1"/>
  <c r="M56" i="1"/>
  <c r="L56" i="1"/>
  <c r="H56" i="1"/>
  <c r="I56" i="1"/>
  <c r="L72" i="1"/>
  <c r="H72" i="1"/>
  <c r="I72" i="1"/>
  <c r="L88" i="1"/>
  <c r="H88" i="1"/>
  <c r="I88" i="1"/>
  <c r="L104" i="1"/>
  <c r="H104" i="1"/>
  <c r="I104" i="1"/>
  <c r="L120" i="1"/>
  <c r="H120" i="1"/>
  <c r="I120" i="1"/>
  <c r="M136" i="1"/>
  <c r="H136" i="1"/>
  <c r="L136" i="1"/>
  <c r="I136" i="1"/>
  <c r="L152" i="1"/>
  <c r="H152" i="1"/>
  <c r="I152" i="1"/>
  <c r="H168" i="1"/>
  <c r="L168" i="1"/>
  <c r="I168" i="1"/>
  <c r="L184" i="1"/>
  <c r="H184" i="1"/>
  <c r="I184" i="1"/>
  <c r="K200" i="1"/>
  <c r="L200" i="1"/>
  <c r="H200" i="1"/>
  <c r="I200" i="1"/>
  <c r="M216" i="1"/>
  <c r="L216" i="1"/>
  <c r="H216" i="1"/>
  <c r="I216" i="1"/>
  <c r="K232" i="1"/>
  <c r="L232" i="1"/>
  <c r="H232" i="1"/>
  <c r="I232" i="1"/>
  <c r="M248" i="1"/>
  <c r="L248" i="1"/>
  <c r="H248" i="1"/>
  <c r="I248" i="1"/>
  <c r="L264" i="1"/>
  <c r="H264" i="1"/>
  <c r="I264" i="1"/>
  <c r="M280" i="1"/>
  <c r="H280" i="1"/>
  <c r="L280" i="1"/>
  <c r="I280" i="1"/>
  <c r="L296" i="1"/>
  <c r="H296" i="1"/>
  <c r="I296" i="1"/>
  <c r="L312" i="1"/>
  <c r="H312" i="1"/>
  <c r="I312" i="1"/>
  <c r="K328" i="1"/>
  <c r="H328" i="1"/>
  <c r="L328" i="1"/>
  <c r="I328" i="1"/>
  <c r="M344" i="1"/>
  <c r="L344" i="1"/>
  <c r="H344" i="1"/>
  <c r="I344" i="1"/>
  <c r="L360" i="1"/>
  <c r="H360" i="1"/>
  <c r="I360" i="1"/>
  <c r="L376" i="1"/>
  <c r="H376" i="1"/>
  <c r="I376" i="1"/>
  <c r="L392" i="1"/>
  <c r="H392" i="1"/>
  <c r="I392" i="1"/>
  <c r="L408" i="1"/>
  <c r="H408" i="1"/>
  <c r="I408" i="1"/>
  <c r="M424" i="1"/>
  <c r="L424" i="1"/>
  <c r="H424" i="1"/>
  <c r="I424" i="1"/>
  <c r="J440" i="1"/>
  <c r="L440" i="1"/>
  <c r="H440" i="1"/>
  <c r="I440" i="1"/>
  <c r="H456" i="1"/>
  <c r="L456" i="1"/>
  <c r="I456" i="1"/>
  <c r="K472" i="1"/>
  <c r="L472" i="1"/>
  <c r="H472" i="1"/>
  <c r="I472" i="1"/>
  <c r="K488" i="1"/>
  <c r="L488" i="1"/>
  <c r="H488" i="1"/>
  <c r="I488" i="1"/>
  <c r="L504" i="1"/>
  <c r="H504" i="1"/>
  <c r="I504" i="1"/>
  <c r="M520" i="1"/>
  <c r="L520" i="1"/>
  <c r="H520" i="1"/>
  <c r="I520" i="1"/>
  <c r="H536" i="1"/>
  <c r="L536" i="1"/>
  <c r="I536" i="1"/>
  <c r="L552" i="1"/>
  <c r="H552" i="1"/>
  <c r="I552" i="1"/>
  <c r="L568" i="1"/>
  <c r="I568" i="1"/>
  <c r="H568" i="1"/>
  <c r="L584" i="1"/>
  <c r="H584" i="1"/>
  <c r="I584" i="1"/>
  <c r="M600" i="1"/>
  <c r="L600" i="1"/>
  <c r="H600" i="1"/>
  <c r="I600" i="1"/>
  <c r="L616" i="1"/>
  <c r="H616" i="1"/>
  <c r="I616" i="1"/>
  <c r="L632" i="1"/>
  <c r="H632" i="1"/>
  <c r="I632" i="1"/>
  <c r="M648" i="1"/>
  <c r="L648" i="1"/>
  <c r="H648" i="1"/>
  <c r="I648" i="1"/>
  <c r="L664" i="1"/>
  <c r="H664" i="1"/>
  <c r="I664" i="1"/>
  <c r="H680" i="1"/>
  <c r="L680" i="1"/>
  <c r="I680" i="1"/>
  <c r="L696" i="1"/>
  <c r="H696" i="1"/>
  <c r="I696" i="1"/>
  <c r="L712" i="1"/>
  <c r="H712" i="1"/>
  <c r="I712" i="1"/>
  <c r="L728" i="1"/>
  <c r="H728" i="1"/>
  <c r="I728" i="1"/>
  <c r="H744" i="1"/>
  <c r="L744" i="1"/>
  <c r="I744" i="1"/>
  <c r="M760" i="1"/>
  <c r="L760" i="1"/>
  <c r="H760" i="1"/>
  <c r="I760" i="1"/>
  <c r="I776" i="1"/>
  <c r="L776" i="1"/>
  <c r="H776" i="1"/>
  <c r="I792" i="1"/>
  <c r="L792" i="1"/>
  <c r="H792" i="1"/>
  <c r="I808" i="1"/>
  <c r="L808" i="1"/>
  <c r="H808" i="1"/>
  <c r="L824" i="1"/>
  <c r="H824" i="1"/>
  <c r="I824" i="1"/>
  <c r="L840" i="1"/>
  <c r="H840" i="1"/>
  <c r="I840" i="1"/>
  <c r="M856" i="1"/>
  <c r="L856" i="1"/>
  <c r="H856" i="1"/>
  <c r="I856" i="1"/>
  <c r="L872" i="1"/>
  <c r="H872" i="1"/>
  <c r="I872" i="1"/>
  <c r="L888" i="1"/>
  <c r="H888" i="1"/>
  <c r="I888" i="1"/>
  <c r="L904" i="1"/>
  <c r="H904" i="1"/>
  <c r="I904" i="1"/>
  <c r="M920" i="1"/>
  <c r="H920" i="1"/>
  <c r="L920" i="1"/>
  <c r="I920" i="1"/>
  <c r="L936" i="1"/>
  <c r="H936" i="1"/>
  <c r="I936" i="1"/>
  <c r="I223" i="1"/>
  <c r="L223" i="1"/>
  <c r="H223" i="1"/>
  <c r="I495" i="1"/>
  <c r="L495" i="1"/>
  <c r="H495" i="1"/>
  <c r="L831" i="1"/>
  <c r="H831" i="1"/>
  <c r="I831" i="1"/>
  <c r="K352" i="1"/>
  <c r="I352" i="1"/>
  <c r="H352" i="1"/>
  <c r="L352" i="1"/>
  <c r="I800" i="1"/>
  <c r="L800" i="1"/>
  <c r="H800" i="1"/>
  <c r="M193" i="1"/>
  <c r="L193" i="1"/>
  <c r="H193" i="1"/>
  <c r="I193" i="1"/>
  <c r="H817" i="1"/>
  <c r="L817" i="1"/>
  <c r="I817" i="1"/>
  <c r="H98" i="1"/>
  <c r="L98" i="1"/>
  <c r="I98" i="1"/>
  <c r="H450" i="1"/>
  <c r="L450" i="1"/>
  <c r="I450" i="1"/>
  <c r="L834" i="1"/>
  <c r="H834" i="1"/>
  <c r="I834" i="1"/>
  <c r="H83" i="1"/>
  <c r="I83" i="1"/>
  <c r="L83" i="1"/>
  <c r="K339" i="1"/>
  <c r="I339" i="1"/>
  <c r="L339" i="1"/>
  <c r="H339" i="1"/>
  <c r="I36" i="1"/>
  <c r="L36" i="1"/>
  <c r="H36" i="1"/>
  <c r="J164" i="1"/>
  <c r="L164" i="1"/>
  <c r="H164" i="1"/>
  <c r="I164" i="1"/>
  <c r="L69" i="1"/>
  <c r="H69" i="1"/>
  <c r="I69" i="1"/>
  <c r="L197" i="1"/>
  <c r="H197" i="1"/>
  <c r="I197" i="1"/>
  <c r="H23" i="1"/>
  <c r="L23" i="1"/>
  <c r="I23" i="1"/>
  <c r="K198" i="1"/>
  <c r="H198" i="1"/>
  <c r="I198" i="1"/>
  <c r="L198" i="1"/>
  <c r="I438" i="1"/>
  <c r="L438" i="1"/>
  <c r="H438" i="1"/>
  <c r="L71" i="1"/>
  <c r="H71" i="1"/>
  <c r="I71" i="1"/>
  <c r="M343" i="1"/>
  <c r="L343" i="1"/>
  <c r="H343" i="1"/>
  <c r="I343" i="1"/>
  <c r="L12" i="1"/>
  <c r="H12" i="1"/>
  <c r="I12" i="1"/>
  <c r="L25" i="1"/>
  <c r="I25" i="1"/>
  <c r="H25" i="1"/>
  <c r="I41" i="1"/>
  <c r="H41" i="1"/>
  <c r="L41" i="1"/>
  <c r="I57" i="1"/>
  <c r="H57" i="1"/>
  <c r="L57" i="1"/>
  <c r="M73" i="1"/>
  <c r="I73" i="1"/>
  <c r="H73" i="1"/>
  <c r="L73" i="1"/>
  <c r="M89" i="1"/>
  <c r="I89" i="1"/>
  <c r="H89" i="1"/>
  <c r="L89" i="1"/>
  <c r="I105" i="1"/>
  <c r="H105" i="1"/>
  <c r="L105" i="1"/>
  <c r="I121" i="1"/>
  <c r="H121" i="1"/>
  <c r="L121" i="1"/>
  <c r="H137" i="1"/>
  <c r="L137" i="1"/>
  <c r="I137" i="1"/>
  <c r="K153" i="1"/>
  <c r="I153" i="1"/>
  <c r="L153" i="1"/>
  <c r="H153" i="1"/>
  <c r="I169" i="1"/>
  <c r="L169" i="1"/>
  <c r="H169" i="1"/>
  <c r="I185" i="1"/>
  <c r="H185" i="1"/>
  <c r="L185" i="1"/>
  <c r="I201" i="1"/>
  <c r="H201" i="1"/>
  <c r="L201" i="1"/>
  <c r="I217" i="1"/>
  <c r="H217" i="1"/>
  <c r="L217" i="1"/>
  <c r="I233" i="1"/>
  <c r="H233" i="1"/>
  <c r="L233" i="1"/>
  <c r="I249" i="1"/>
  <c r="H249" i="1"/>
  <c r="L249" i="1"/>
  <c r="I265" i="1"/>
  <c r="H265" i="1"/>
  <c r="L265" i="1"/>
  <c r="I281" i="1"/>
  <c r="L281" i="1"/>
  <c r="H281" i="1"/>
  <c r="K297" i="1"/>
  <c r="I297" i="1"/>
  <c r="H297" i="1"/>
  <c r="L297" i="1"/>
  <c r="I313" i="1"/>
  <c r="H313" i="1"/>
  <c r="L313" i="1"/>
  <c r="M329" i="1"/>
  <c r="I329" i="1"/>
  <c r="L329" i="1"/>
  <c r="H329" i="1"/>
  <c r="I345" i="1"/>
  <c r="L345" i="1"/>
  <c r="H345" i="1"/>
  <c r="I361" i="1"/>
  <c r="H361" i="1"/>
  <c r="L361" i="1"/>
  <c r="I377" i="1"/>
  <c r="H377" i="1"/>
  <c r="L377" i="1"/>
  <c r="K393" i="1"/>
  <c r="H393" i="1"/>
  <c r="L393" i="1"/>
  <c r="I393" i="1"/>
  <c r="H409" i="1"/>
  <c r="L409" i="1"/>
  <c r="I409" i="1"/>
  <c r="L425" i="1"/>
  <c r="H425" i="1"/>
  <c r="I425" i="1"/>
  <c r="L441" i="1"/>
  <c r="H441" i="1"/>
  <c r="I441" i="1"/>
  <c r="L457" i="1"/>
  <c r="H457" i="1"/>
  <c r="I457" i="1"/>
  <c r="M473" i="1"/>
  <c r="I473" i="1"/>
  <c r="H473" i="1"/>
  <c r="L473" i="1"/>
  <c r="K489" i="1"/>
  <c r="I489" i="1"/>
  <c r="L489" i="1"/>
  <c r="H489" i="1"/>
  <c r="M505" i="1"/>
  <c r="H505" i="1"/>
  <c r="I505" i="1"/>
  <c r="L505" i="1"/>
  <c r="L521" i="1"/>
  <c r="H521" i="1"/>
  <c r="I521" i="1"/>
  <c r="L537" i="1"/>
  <c r="H537" i="1"/>
  <c r="I537" i="1"/>
  <c r="H553" i="1"/>
  <c r="L553" i="1"/>
  <c r="I553" i="1"/>
  <c r="M569" i="1"/>
  <c r="L569" i="1"/>
  <c r="H569" i="1"/>
  <c r="I569" i="1"/>
  <c r="M585" i="1"/>
  <c r="H585" i="1"/>
  <c r="I585" i="1"/>
  <c r="L585" i="1"/>
  <c r="I601" i="1"/>
  <c r="L601" i="1"/>
  <c r="H601" i="1"/>
  <c r="K617" i="1"/>
  <c r="I617" i="1"/>
  <c r="L617" i="1"/>
  <c r="H617" i="1"/>
  <c r="L633" i="1"/>
  <c r="H633" i="1"/>
  <c r="I633" i="1"/>
  <c r="L649" i="1"/>
  <c r="H649" i="1"/>
  <c r="I649" i="1"/>
  <c r="L665" i="1"/>
  <c r="H665" i="1"/>
  <c r="I665" i="1"/>
  <c r="H681" i="1"/>
  <c r="L681" i="1"/>
  <c r="I681" i="1"/>
  <c r="K697" i="1"/>
  <c r="L697" i="1"/>
  <c r="H697" i="1"/>
  <c r="I697" i="1"/>
  <c r="I713" i="1"/>
  <c r="L713" i="1"/>
  <c r="H713" i="1"/>
  <c r="H729" i="1"/>
  <c r="I729" i="1"/>
  <c r="L729" i="1"/>
  <c r="M745" i="1"/>
  <c r="I745" i="1"/>
  <c r="H745" i="1"/>
  <c r="L745" i="1"/>
  <c r="I761" i="1"/>
  <c r="L761" i="1"/>
  <c r="H761" i="1"/>
  <c r="J777" i="1"/>
  <c r="I777" i="1"/>
  <c r="H777" i="1"/>
  <c r="L777" i="1"/>
  <c r="K793" i="1"/>
  <c r="L793" i="1"/>
  <c r="H793" i="1"/>
  <c r="I793" i="1"/>
  <c r="L809" i="1"/>
  <c r="H809" i="1"/>
  <c r="I809" i="1"/>
  <c r="L825" i="1"/>
  <c r="H825" i="1"/>
  <c r="I825" i="1"/>
  <c r="I841" i="1"/>
  <c r="L841" i="1"/>
  <c r="H841" i="1"/>
  <c r="H857" i="1"/>
  <c r="I857" i="1"/>
  <c r="L857" i="1"/>
  <c r="L873" i="1"/>
  <c r="H873" i="1"/>
  <c r="I873" i="1"/>
  <c r="L889" i="1"/>
  <c r="H889" i="1"/>
  <c r="I889" i="1"/>
  <c r="I905" i="1"/>
  <c r="L905" i="1"/>
  <c r="H905" i="1"/>
  <c r="I921" i="1"/>
  <c r="L921" i="1"/>
  <c r="H921" i="1"/>
  <c r="L937" i="1"/>
  <c r="I937" i="1"/>
  <c r="H937" i="1"/>
  <c r="L127" i="1"/>
  <c r="H127" i="1"/>
  <c r="I127" i="1"/>
  <c r="M335" i="1"/>
  <c r="I335" i="1"/>
  <c r="L335" i="1"/>
  <c r="H335" i="1"/>
  <c r="M511" i="1"/>
  <c r="I511" i="1"/>
  <c r="L511" i="1"/>
  <c r="H511" i="1"/>
  <c r="L703" i="1"/>
  <c r="I703" i="1"/>
  <c r="H703" i="1"/>
  <c r="J144" i="1"/>
  <c r="I144" i="1"/>
  <c r="L144" i="1"/>
  <c r="H144" i="1"/>
  <c r="I272" i="1"/>
  <c r="L272" i="1"/>
  <c r="H272" i="1"/>
  <c r="K432" i="1"/>
  <c r="I432" i="1"/>
  <c r="H432" i="1"/>
  <c r="L432" i="1"/>
  <c r="L512" i="1"/>
  <c r="I512" i="1"/>
  <c r="H512" i="1"/>
  <c r="J608" i="1"/>
  <c r="I608" i="1"/>
  <c r="H608" i="1"/>
  <c r="L608" i="1"/>
  <c r="I704" i="1"/>
  <c r="H704" i="1"/>
  <c r="L704" i="1"/>
  <c r="M864" i="1"/>
  <c r="H864" i="1"/>
  <c r="L864" i="1"/>
  <c r="I864" i="1"/>
  <c r="L81" i="1"/>
  <c r="I81" i="1"/>
  <c r="H81" i="1"/>
  <c r="H257" i="1"/>
  <c r="L257" i="1"/>
  <c r="I257" i="1"/>
  <c r="L433" i="1"/>
  <c r="H433" i="1"/>
  <c r="I433" i="1"/>
  <c r="M561" i="1"/>
  <c r="L561" i="1"/>
  <c r="H561" i="1"/>
  <c r="I561" i="1"/>
  <c r="L705" i="1"/>
  <c r="H705" i="1"/>
  <c r="I705" i="1"/>
  <c r="L945" i="1"/>
  <c r="H945" i="1"/>
  <c r="I945" i="1"/>
  <c r="H66" i="1"/>
  <c r="L66" i="1"/>
  <c r="I66" i="1"/>
  <c r="H194" i="1"/>
  <c r="L194" i="1"/>
  <c r="I194" i="1"/>
  <c r="L354" i="1"/>
  <c r="H354" i="1"/>
  <c r="I354" i="1"/>
  <c r="K530" i="1"/>
  <c r="L530" i="1"/>
  <c r="H530" i="1"/>
  <c r="I530" i="1"/>
  <c r="K642" i="1"/>
  <c r="H642" i="1"/>
  <c r="L642" i="1"/>
  <c r="I642" i="1"/>
  <c r="J770" i="1"/>
  <c r="L770" i="1"/>
  <c r="I770" i="1"/>
  <c r="H770" i="1"/>
  <c r="L898" i="1"/>
  <c r="H898" i="1"/>
  <c r="I898" i="1"/>
  <c r="I147" i="1"/>
  <c r="L147" i="1"/>
  <c r="H147" i="1"/>
  <c r="I307" i="1"/>
  <c r="L307" i="1"/>
  <c r="H307" i="1"/>
  <c r="M22" i="1"/>
  <c r="H22" i="1"/>
  <c r="L22" i="1"/>
  <c r="I22" i="1"/>
  <c r="K148" i="1"/>
  <c r="L148" i="1"/>
  <c r="H148" i="1"/>
  <c r="I148" i="1"/>
  <c r="J53" i="1"/>
  <c r="H53" i="1"/>
  <c r="L53" i="1"/>
  <c r="I53" i="1"/>
  <c r="J213" i="1"/>
  <c r="L213" i="1"/>
  <c r="H213" i="1"/>
  <c r="I213" i="1"/>
  <c r="I9" i="1"/>
  <c r="H9" i="1"/>
  <c r="L9" i="1"/>
  <c r="M150" i="1"/>
  <c r="H150" i="1"/>
  <c r="L150" i="1"/>
  <c r="I150" i="1"/>
  <c r="J310" i="1"/>
  <c r="H310" i="1"/>
  <c r="L310" i="1"/>
  <c r="I310" i="1"/>
  <c r="I454" i="1"/>
  <c r="L454" i="1"/>
  <c r="H454" i="1"/>
  <c r="L39" i="1"/>
  <c r="H39" i="1"/>
  <c r="I39" i="1"/>
  <c r="L183" i="1"/>
  <c r="H183" i="1"/>
  <c r="I183" i="1"/>
  <c r="I26" i="1"/>
  <c r="L26" i="1"/>
  <c r="H26" i="1"/>
  <c r="M154" i="1"/>
  <c r="I154" i="1"/>
  <c r="L154" i="1"/>
  <c r="H154" i="1"/>
  <c r="I234" i="1"/>
  <c r="H234" i="1"/>
  <c r="L234" i="1"/>
  <c r="M298" i="1"/>
  <c r="H298" i="1"/>
  <c r="I298" i="1"/>
  <c r="L298" i="1"/>
  <c r="J362" i="1"/>
  <c r="I362" i="1"/>
  <c r="L362" i="1"/>
  <c r="H362" i="1"/>
  <c r="H394" i="1"/>
  <c r="I394" i="1"/>
  <c r="L394" i="1"/>
  <c r="I410" i="1"/>
  <c r="H410" i="1"/>
  <c r="L410" i="1"/>
  <c r="H426" i="1"/>
  <c r="I426" i="1"/>
  <c r="L426" i="1"/>
  <c r="H442" i="1"/>
  <c r="L442" i="1"/>
  <c r="I442" i="1"/>
  <c r="I458" i="1"/>
  <c r="L458" i="1"/>
  <c r="H458" i="1"/>
  <c r="K474" i="1"/>
  <c r="I474" i="1"/>
  <c r="H474" i="1"/>
  <c r="L474" i="1"/>
  <c r="I490" i="1"/>
  <c r="H490" i="1"/>
  <c r="L490" i="1"/>
  <c r="I506" i="1"/>
  <c r="H506" i="1"/>
  <c r="L506" i="1"/>
  <c r="I538" i="1"/>
  <c r="H538" i="1"/>
  <c r="L538" i="1"/>
  <c r="H554" i="1"/>
  <c r="L554" i="1"/>
  <c r="I554" i="1"/>
  <c r="H570" i="1"/>
  <c r="L570" i="1"/>
  <c r="I570" i="1"/>
  <c r="I586" i="1"/>
  <c r="L586" i="1"/>
  <c r="H586" i="1"/>
  <c r="I602" i="1"/>
  <c r="L602" i="1"/>
  <c r="H602" i="1"/>
  <c r="I618" i="1"/>
  <c r="L618" i="1"/>
  <c r="H618" i="1"/>
  <c r="I634" i="1"/>
  <c r="L634" i="1"/>
  <c r="H634" i="1"/>
  <c r="I650" i="1"/>
  <c r="L650" i="1"/>
  <c r="H650" i="1"/>
  <c r="I666" i="1"/>
  <c r="H666" i="1"/>
  <c r="L666" i="1"/>
  <c r="L682" i="1"/>
  <c r="I682" i="1"/>
  <c r="H682" i="1"/>
  <c r="H698" i="1"/>
  <c r="I698" i="1"/>
  <c r="L698" i="1"/>
  <c r="I714" i="1"/>
  <c r="H714" i="1"/>
  <c r="L714" i="1"/>
  <c r="H730" i="1"/>
  <c r="I730" i="1"/>
  <c r="L730" i="1"/>
  <c r="I746" i="1"/>
  <c r="L746" i="1"/>
  <c r="H746" i="1"/>
  <c r="I762" i="1"/>
  <c r="H762" i="1"/>
  <c r="L762" i="1"/>
  <c r="I778" i="1"/>
  <c r="H778" i="1"/>
  <c r="L778" i="1"/>
  <c r="I794" i="1"/>
  <c r="L794" i="1"/>
  <c r="H794" i="1"/>
  <c r="M810" i="1"/>
  <c r="I810" i="1"/>
  <c r="H810" i="1"/>
  <c r="L810" i="1"/>
  <c r="L826" i="1"/>
  <c r="I826" i="1"/>
  <c r="H826" i="1"/>
  <c r="I842" i="1"/>
  <c r="L842" i="1"/>
  <c r="H842" i="1"/>
  <c r="H858" i="1"/>
  <c r="L858" i="1"/>
  <c r="I858" i="1"/>
  <c r="J874" i="1"/>
  <c r="I874" i="1"/>
  <c r="H874" i="1"/>
  <c r="L874" i="1"/>
  <c r="I890" i="1"/>
  <c r="H890" i="1"/>
  <c r="L890" i="1"/>
  <c r="L906" i="1"/>
  <c r="I906" i="1"/>
  <c r="H906" i="1"/>
  <c r="I922" i="1"/>
  <c r="H922" i="1"/>
  <c r="L922" i="1"/>
  <c r="H938" i="1"/>
  <c r="I938" i="1"/>
  <c r="L938" i="1"/>
  <c r="H95" i="1"/>
  <c r="L95" i="1"/>
  <c r="I95" i="1"/>
  <c r="M287" i="1"/>
  <c r="I287" i="1"/>
  <c r="L287" i="1"/>
  <c r="H287" i="1"/>
  <c r="I463" i="1"/>
  <c r="H463" i="1"/>
  <c r="L463" i="1"/>
  <c r="I655" i="1"/>
  <c r="L655" i="1"/>
  <c r="H655" i="1"/>
  <c r="M911" i="1"/>
  <c r="L911" i="1"/>
  <c r="H911" i="1"/>
  <c r="I911" i="1"/>
  <c r="L64" i="1"/>
  <c r="I64" i="1"/>
  <c r="H64" i="1"/>
  <c r="M208" i="1"/>
  <c r="H208" i="1"/>
  <c r="L208" i="1"/>
  <c r="I208" i="1"/>
  <c r="I368" i="1"/>
  <c r="L368" i="1"/>
  <c r="H368" i="1"/>
  <c r="H528" i="1"/>
  <c r="I528" i="1"/>
  <c r="L528" i="1"/>
  <c r="I672" i="1"/>
  <c r="H672" i="1"/>
  <c r="L672" i="1"/>
  <c r="J912" i="1"/>
  <c r="I912" i="1"/>
  <c r="H912" i="1"/>
  <c r="L912" i="1"/>
  <c r="I129" i="1"/>
  <c r="L129" i="1"/>
  <c r="H129" i="1"/>
  <c r="L337" i="1"/>
  <c r="H337" i="1"/>
  <c r="I337" i="1"/>
  <c r="L481" i="1"/>
  <c r="H481" i="1"/>
  <c r="I481" i="1"/>
  <c r="M657" i="1"/>
  <c r="H657" i="1"/>
  <c r="I657" i="1"/>
  <c r="L657" i="1"/>
  <c r="H913" i="1"/>
  <c r="I913" i="1"/>
  <c r="L913" i="1"/>
  <c r="L50" i="1"/>
  <c r="H50" i="1"/>
  <c r="I50" i="1"/>
  <c r="H178" i="1"/>
  <c r="L178" i="1"/>
  <c r="I178" i="1"/>
  <c r="M338" i="1"/>
  <c r="H338" i="1"/>
  <c r="L338" i="1"/>
  <c r="I338" i="1"/>
  <c r="M498" i="1"/>
  <c r="H498" i="1"/>
  <c r="L498" i="1"/>
  <c r="I498" i="1"/>
  <c r="K658" i="1"/>
  <c r="H658" i="1"/>
  <c r="L658" i="1"/>
  <c r="I658" i="1"/>
  <c r="M67" i="1"/>
  <c r="I67" i="1"/>
  <c r="H67" i="1"/>
  <c r="L67" i="1"/>
  <c r="I179" i="1"/>
  <c r="H179" i="1"/>
  <c r="L179" i="1"/>
  <c r="I243" i="1"/>
  <c r="H243" i="1"/>
  <c r="L243" i="1"/>
  <c r="I275" i="1"/>
  <c r="L275" i="1"/>
  <c r="H275" i="1"/>
  <c r="I52" i="1"/>
  <c r="L52" i="1"/>
  <c r="H52" i="1"/>
  <c r="K212" i="1"/>
  <c r="I212" i="1"/>
  <c r="L212" i="1"/>
  <c r="H212" i="1"/>
  <c r="L117" i="1"/>
  <c r="H117" i="1"/>
  <c r="I117" i="1"/>
  <c r="L309" i="1"/>
  <c r="H309" i="1"/>
  <c r="I309" i="1"/>
  <c r="H86" i="1"/>
  <c r="L86" i="1"/>
  <c r="I86" i="1"/>
  <c r="L182" i="1"/>
  <c r="I182" i="1"/>
  <c r="H182" i="1"/>
  <c r="M278" i="1"/>
  <c r="H278" i="1"/>
  <c r="L278" i="1"/>
  <c r="I278" i="1"/>
  <c r="M374" i="1"/>
  <c r="H374" i="1"/>
  <c r="L374" i="1"/>
  <c r="I374" i="1"/>
  <c r="L502" i="1"/>
  <c r="H502" i="1"/>
  <c r="I502" i="1"/>
  <c r="H55" i="1"/>
  <c r="L55" i="1"/>
  <c r="I55" i="1"/>
  <c r="L151" i="1"/>
  <c r="H151" i="1"/>
  <c r="I151" i="1"/>
  <c r="L279" i="1"/>
  <c r="H279" i="1"/>
  <c r="I279" i="1"/>
  <c r="I42" i="1"/>
  <c r="H42" i="1"/>
  <c r="L42" i="1"/>
  <c r="I90" i="1"/>
  <c r="H90" i="1"/>
  <c r="L90" i="1"/>
  <c r="I122" i="1"/>
  <c r="H122" i="1"/>
  <c r="L122" i="1"/>
  <c r="H170" i="1"/>
  <c r="L170" i="1"/>
  <c r="I170" i="1"/>
  <c r="M218" i="1"/>
  <c r="I218" i="1"/>
  <c r="L218" i="1"/>
  <c r="H218" i="1"/>
  <c r="I250" i="1"/>
  <c r="H250" i="1"/>
  <c r="L250" i="1"/>
  <c r="I266" i="1"/>
  <c r="H266" i="1"/>
  <c r="L266" i="1"/>
  <c r="J282" i="1"/>
  <c r="I282" i="1"/>
  <c r="L282" i="1"/>
  <c r="H282" i="1"/>
  <c r="I314" i="1"/>
  <c r="H314" i="1"/>
  <c r="L314" i="1"/>
  <c r="I378" i="1"/>
  <c r="L378" i="1"/>
  <c r="H378" i="1"/>
  <c r="I522" i="1"/>
  <c r="H522" i="1"/>
  <c r="L522" i="1"/>
  <c r="J14" i="1"/>
  <c r="H14" i="1"/>
  <c r="L14" i="1"/>
  <c r="I14" i="1"/>
  <c r="L27" i="1"/>
  <c r="H27" i="1"/>
  <c r="I27" i="1"/>
  <c r="H43" i="1"/>
  <c r="L43" i="1"/>
  <c r="I43" i="1"/>
  <c r="L59" i="1"/>
  <c r="H59" i="1"/>
  <c r="I59" i="1"/>
  <c r="L75" i="1"/>
  <c r="H75" i="1"/>
  <c r="I75" i="1"/>
  <c r="J91" i="1"/>
  <c r="I91" i="1"/>
  <c r="H91" i="1"/>
  <c r="L91" i="1"/>
  <c r="J107" i="1"/>
  <c r="L107" i="1"/>
  <c r="H107" i="1"/>
  <c r="I107" i="1"/>
  <c r="M123" i="1"/>
  <c r="H123" i="1"/>
  <c r="L123" i="1"/>
  <c r="I123" i="1"/>
  <c r="L139" i="1"/>
  <c r="H139" i="1"/>
  <c r="I139" i="1"/>
  <c r="K155" i="1"/>
  <c r="L155" i="1"/>
  <c r="H155" i="1"/>
  <c r="I155" i="1"/>
  <c r="H171" i="1"/>
  <c r="L171" i="1"/>
  <c r="I171" i="1"/>
  <c r="H187" i="1"/>
  <c r="L187" i="1"/>
  <c r="I187" i="1"/>
  <c r="L203" i="1"/>
  <c r="H203" i="1"/>
  <c r="I203" i="1"/>
  <c r="H219" i="1"/>
  <c r="L219" i="1"/>
  <c r="I219" i="1"/>
  <c r="H235" i="1"/>
  <c r="L235" i="1"/>
  <c r="I235" i="1"/>
  <c r="H251" i="1"/>
  <c r="L251" i="1"/>
  <c r="I251" i="1"/>
  <c r="L267" i="1"/>
  <c r="I267" i="1"/>
  <c r="H267" i="1"/>
  <c r="L283" i="1"/>
  <c r="H283" i="1"/>
  <c r="I283" i="1"/>
  <c r="M299" i="1"/>
  <c r="L299" i="1"/>
  <c r="H299" i="1"/>
  <c r="I299" i="1"/>
  <c r="L315" i="1"/>
  <c r="H315" i="1"/>
  <c r="I315" i="1"/>
  <c r="K331" i="1"/>
  <c r="L331" i="1"/>
  <c r="H331" i="1"/>
  <c r="I331" i="1"/>
  <c r="H347" i="1"/>
  <c r="I347" i="1"/>
  <c r="L347" i="1"/>
  <c r="M363" i="1"/>
  <c r="L363" i="1"/>
  <c r="H363" i="1"/>
  <c r="I363" i="1"/>
  <c r="L379" i="1"/>
  <c r="H379" i="1"/>
  <c r="I379" i="1"/>
  <c r="L395" i="1"/>
  <c r="H395" i="1"/>
  <c r="I395" i="1"/>
  <c r="L411" i="1"/>
  <c r="H411" i="1"/>
  <c r="I411" i="1"/>
  <c r="M427" i="1"/>
  <c r="L427" i="1"/>
  <c r="H427" i="1"/>
  <c r="I427" i="1"/>
  <c r="L443" i="1"/>
  <c r="H443" i="1"/>
  <c r="I443" i="1"/>
  <c r="K459" i="1"/>
  <c r="L459" i="1"/>
  <c r="H459" i="1"/>
  <c r="I459" i="1"/>
  <c r="I475" i="1"/>
  <c r="L475" i="1"/>
  <c r="H475" i="1"/>
  <c r="H491" i="1"/>
  <c r="I491" i="1"/>
  <c r="L491" i="1"/>
  <c r="L507" i="1"/>
  <c r="I507" i="1"/>
  <c r="H507" i="1"/>
  <c r="I523" i="1"/>
  <c r="L523" i="1"/>
  <c r="H523" i="1"/>
  <c r="I539" i="1"/>
  <c r="L539" i="1"/>
  <c r="H539" i="1"/>
  <c r="I555" i="1"/>
  <c r="L555" i="1"/>
  <c r="H555" i="1"/>
  <c r="L571" i="1"/>
  <c r="I571" i="1"/>
  <c r="H571" i="1"/>
  <c r="I587" i="1"/>
  <c r="L587" i="1"/>
  <c r="H587" i="1"/>
  <c r="H603" i="1"/>
  <c r="L603" i="1"/>
  <c r="I603" i="1"/>
  <c r="I619" i="1"/>
  <c r="L619" i="1"/>
  <c r="H619" i="1"/>
  <c r="I635" i="1"/>
  <c r="H635" i="1"/>
  <c r="L635" i="1"/>
  <c r="I651" i="1"/>
  <c r="L651" i="1"/>
  <c r="H651" i="1"/>
  <c r="L667" i="1"/>
  <c r="H667" i="1"/>
  <c r="I667" i="1"/>
  <c r="L683" i="1"/>
  <c r="H683" i="1"/>
  <c r="I683" i="1"/>
  <c r="K699" i="1"/>
  <c r="I699" i="1"/>
  <c r="L699" i="1"/>
  <c r="H699" i="1"/>
  <c r="L715" i="1"/>
  <c r="I715" i="1"/>
  <c r="H715" i="1"/>
  <c r="H731" i="1"/>
  <c r="I731" i="1"/>
  <c r="L731" i="1"/>
  <c r="L747" i="1"/>
  <c r="I747" i="1"/>
  <c r="H747" i="1"/>
  <c r="I763" i="1"/>
  <c r="L763" i="1"/>
  <c r="H763" i="1"/>
  <c r="I779" i="1"/>
  <c r="L779" i="1"/>
  <c r="H779" i="1"/>
  <c r="I795" i="1"/>
  <c r="H795" i="1"/>
  <c r="L795" i="1"/>
  <c r="I811" i="1"/>
  <c r="L811" i="1"/>
  <c r="H811" i="1"/>
  <c r="I827" i="1"/>
  <c r="L827" i="1"/>
  <c r="H827" i="1"/>
  <c r="I843" i="1"/>
  <c r="L843" i="1"/>
  <c r="H843" i="1"/>
  <c r="J859" i="1"/>
  <c r="L859" i="1"/>
  <c r="H859" i="1"/>
  <c r="I859" i="1"/>
  <c r="L875" i="1"/>
  <c r="H875" i="1"/>
  <c r="I875" i="1"/>
  <c r="K891" i="1"/>
  <c r="H891" i="1"/>
  <c r="L891" i="1"/>
  <c r="I891" i="1"/>
  <c r="L907" i="1"/>
  <c r="H907" i="1"/>
  <c r="I907" i="1"/>
  <c r="M923" i="1"/>
  <c r="L923" i="1"/>
  <c r="H923" i="1"/>
  <c r="I923" i="1"/>
  <c r="L939" i="1"/>
  <c r="I939" i="1"/>
  <c r="H939" i="1"/>
  <c r="M159" i="1"/>
  <c r="L159" i="1"/>
  <c r="H159" i="1"/>
  <c r="I159" i="1"/>
  <c r="L319" i="1"/>
  <c r="H319" i="1"/>
  <c r="I319" i="1"/>
  <c r="M447" i="1"/>
  <c r="I447" i="1"/>
  <c r="L447" i="1"/>
  <c r="H447" i="1"/>
  <c r="I591" i="1"/>
  <c r="H591" i="1"/>
  <c r="L591" i="1"/>
  <c r="I735" i="1"/>
  <c r="L735" i="1"/>
  <c r="H735" i="1"/>
  <c r="I879" i="1"/>
  <c r="L879" i="1"/>
  <c r="H879" i="1"/>
  <c r="J32" i="1"/>
  <c r="I32" i="1"/>
  <c r="H32" i="1"/>
  <c r="L32" i="1"/>
  <c r="H192" i="1"/>
  <c r="L192" i="1"/>
  <c r="I192" i="1"/>
  <c r="I336" i="1"/>
  <c r="L336" i="1"/>
  <c r="H336" i="1"/>
  <c r="I480" i="1"/>
  <c r="L480" i="1"/>
  <c r="H480" i="1"/>
  <c r="H624" i="1"/>
  <c r="I624" i="1"/>
  <c r="L624" i="1"/>
  <c r="M768" i="1"/>
  <c r="I768" i="1"/>
  <c r="L768" i="1"/>
  <c r="H768" i="1"/>
  <c r="L880" i="1"/>
  <c r="H880" i="1"/>
  <c r="I880" i="1"/>
  <c r="K49" i="1"/>
  <c r="L49" i="1"/>
  <c r="H49" i="1"/>
  <c r="I49" i="1"/>
  <c r="M225" i="1"/>
  <c r="H225" i="1"/>
  <c r="L225" i="1"/>
  <c r="I225" i="1"/>
  <c r="I417" i="1"/>
  <c r="H417" i="1"/>
  <c r="L417" i="1"/>
  <c r="H625" i="1"/>
  <c r="L625" i="1"/>
  <c r="I625" i="1"/>
  <c r="K114" i="1"/>
  <c r="H114" i="1"/>
  <c r="L114" i="1"/>
  <c r="I114" i="1"/>
  <c r="H258" i="1"/>
  <c r="L258" i="1"/>
  <c r="I258" i="1"/>
  <c r="H370" i="1"/>
  <c r="L370" i="1"/>
  <c r="I370" i="1"/>
  <c r="L482" i="1"/>
  <c r="H482" i="1"/>
  <c r="I482" i="1"/>
  <c r="L594" i="1"/>
  <c r="H594" i="1"/>
  <c r="I594" i="1"/>
  <c r="K722" i="1"/>
  <c r="L722" i="1"/>
  <c r="H722" i="1"/>
  <c r="I722" i="1"/>
  <c r="L882" i="1"/>
  <c r="H882" i="1"/>
  <c r="I882" i="1"/>
  <c r="K51" i="1"/>
  <c r="L51" i="1"/>
  <c r="I51" i="1"/>
  <c r="H51" i="1"/>
  <c r="J211" i="1"/>
  <c r="I211" i="1"/>
  <c r="L211" i="1"/>
  <c r="H211" i="1"/>
  <c r="H323" i="1"/>
  <c r="I323" i="1"/>
  <c r="L323" i="1"/>
  <c r="K116" i="1"/>
  <c r="I116" i="1"/>
  <c r="H116" i="1"/>
  <c r="L116" i="1"/>
  <c r="J228" i="1"/>
  <c r="I228" i="1"/>
  <c r="L228" i="1"/>
  <c r="H228" i="1"/>
  <c r="L85" i="1"/>
  <c r="H85" i="1"/>
  <c r="I85" i="1"/>
  <c r="L181" i="1"/>
  <c r="H181" i="1"/>
  <c r="I181" i="1"/>
  <c r="J261" i="1"/>
  <c r="L261" i="1"/>
  <c r="H261" i="1"/>
  <c r="I261" i="1"/>
  <c r="H38" i="1"/>
  <c r="L38" i="1"/>
  <c r="I38" i="1"/>
  <c r="K118" i="1"/>
  <c r="H118" i="1"/>
  <c r="L118" i="1"/>
  <c r="I118" i="1"/>
  <c r="H230" i="1"/>
  <c r="L230" i="1"/>
  <c r="I230" i="1"/>
  <c r="H294" i="1"/>
  <c r="L294" i="1"/>
  <c r="I294" i="1"/>
  <c r="L326" i="1"/>
  <c r="I326" i="1"/>
  <c r="H326" i="1"/>
  <c r="M406" i="1"/>
  <c r="H406" i="1"/>
  <c r="L406" i="1"/>
  <c r="I406" i="1"/>
  <c r="L470" i="1"/>
  <c r="H470" i="1"/>
  <c r="I470" i="1"/>
  <c r="K10" i="1"/>
  <c r="I10" i="1"/>
  <c r="L10" i="1"/>
  <c r="H10" i="1"/>
  <c r="H119" i="1"/>
  <c r="L119" i="1"/>
  <c r="I119" i="1"/>
  <c r="I215" i="1"/>
  <c r="L215" i="1"/>
  <c r="H215" i="1"/>
  <c r="J327" i="1"/>
  <c r="H327" i="1"/>
  <c r="L327" i="1"/>
  <c r="I327" i="1"/>
  <c r="J58" i="1"/>
  <c r="I58" i="1"/>
  <c r="H58" i="1"/>
  <c r="L58" i="1"/>
  <c r="I106" i="1"/>
  <c r="H106" i="1"/>
  <c r="L106" i="1"/>
  <c r="K186" i="1"/>
  <c r="H186" i="1"/>
  <c r="L186" i="1"/>
  <c r="I186" i="1"/>
  <c r="J346" i="1"/>
  <c r="I346" i="1"/>
  <c r="H346" i="1"/>
  <c r="L346" i="1"/>
  <c r="K15" i="1"/>
  <c r="H15" i="1"/>
  <c r="L15" i="1"/>
  <c r="I15" i="1"/>
  <c r="L28" i="1"/>
  <c r="H28" i="1"/>
  <c r="I28" i="1"/>
  <c r="K44" i="1"/>
  <c r="I44" i="1"/>
  <c r="L44" i="1"/>
  <c r="H44" i="1"/>
  <c r="L60" i="1"/>
  <c r="H60" i="1"/>
  <c r="I60" i="1"/>
  <c r="J76" i="1"/>
  <c r="L76" i="1"/>
  <c r="H76" i="1"/>
  <c r="I76" i="1"/>
  <c r="M92" i="1"/>
  <c r="L92" i="1"/>
  <c r="H92" i="1"/>
  <c r="I92" i="1"/>
  <c r="H108" i="1"/>
  <c r="L108" i="1"/>
  <c r="I108" i="1"/>
  <c r="L124" i="1"/>
  <c r="H124" i="1"/>
  <c r="I124" i="1"/>
  <c r="H140" i="1"/>
  <c r="I140" i="1"/>
  <c r="L140" i="1"/>
  <c r="H156" i="1"/>
  <c r="L156" i="1"/>
  <c r="I156" i="1"/>
  <c r="J172" i="1"/>
  <c r="H172" i="1"/>
  <c r="L172" i="1"/>
  <c r="I172" i="1"/>
  <c r="J188" i="1"/>
  <c r="L188" i="1"/>
  <c r="H188" i="1"/>
  <c r="I188" i="1"/>
  <c r="J204" i="1"/>
  <c r="L204" i="1"/>
  <c r="H204" i="1"/>
  <c r="I204" i="1"/>
  <c r="L220" i="1"/>
  <c r="H220" i="1"/>
  <c r="I220" i="1"/>
  <c r="L236" i="1"/>
  <c r="H236" i="1"/>
  <c r="I236" i="1"/>
  <c r="L252" i="1"/>
  <c r="H252" i="1"/>
  <c r="I252" i="1"/>
  <c r="L268" i="1"/>
  <c r="H268" i="1"/>
  <c r="I268" i="1"/>
  <c r="H284" i="1"/>
  <c r="L284" i="1"/>
  <c r="I284" i="1"/>
  <c r="L300" i="1"/>
  <c r="H300" i="1"/>
  <c r="I300" i="1"/>
  <c r="L316" i="1"/>
  <c r="H316" i="1"/>
  <c r="I316" i="1"/>
  <c r="K332" i="1"/>
  <c r="H332" i="1"/>
  <c r="L332" i="1"/>
  <c r="I332" i="1"/>
  <c r="I348" i="1"/>
  <c r="L348" i="1"/>
  <c r="H348" i="1"/>
  <c r="K364" i="1"/>
  <c r="L364" i="1"/>
  <c r="H364" i="1"/>
  <c r="I364" i="1"/>
  <c r="J380" i="1"/>
  <c r="H380" i="1"/>
  <c r="L380" i="1"/>
  <c r="I380" i="1"/>
  <c r="I396" i="1"/>
  <c r="L396" i="1"/>
  <c r="H396" i="1"/>
  <c r="I412" i="1"/>
  <c r="L412" i="1"/>
  <c r="H412" i="1"/>
  <c r="L428" i="1"/>
  <c r="H428" i="1"/>
  <c r="I428" i="1"/>
  <c r="L444" i="1"/>
  <c r="H444" i="1"/>
  <c r="I444" i="1"/>
  <c r="I460" i="1"/>
  <c r="H460" i="1"/>
  <c r="L460" i="1"/>
  <c r="M476" i="1"/>
  <c r="H476" i="1"/>
  <c r="I476" i="1"/>
  <c r="L476" i="1"/>
  <c r="I492" i="1"/>
  <c r="L492" i="1"/>
  <c r="H492" i="1"/>
  <c r="L508" i="1"/>
  <c r="H508" i="1"/>
  <c r="I508" i="1"/>
  <c r="L524" i="1"/>
  <c r="H524" i="1"/>
  <c r="I524" i="1"/>
  <c r="J540" i="1"/>
  <c r="L540" i="1"/>
  <c r="H540" i="1"/>
  <c r="I540" i="1"/>
  <c r="L556" i="1"/>
  <c r="H556" i="1"/>
  <c r="I556" i="1"/>
  <c r="J572" i="1"/>
  <c r="L572" i="1"/>
  <c r="H572" i="1"/>
  <c r="I572" i="1"/>
  <c r="L588" i="1"/>
  <c r="H588" i="1"/>
  <c r="I588" i="1"/>
  <c r="M604" i="1"/>
  <c r="L604" i="1"/>
  <c r="H604" i="1"/>
  <c r="I604" i="1"/>
  <c r="L620" i="1"/>
  <c r="H620" i="1"/>
  <c r="I620" i="1"/>
  <c r="L636" i="1"/>
  <c r="H636" i="1"/>
  <c r="I636" i="1"/>
  <c r="H652" i="1"/>
  <c r="L652" i="1"/>
  <c r="I652" i="1"/>
  <c r="L668" i="1"/>
  <c r="H668" i="1"/>
  <c r="I668" i="1"/>
  <c r="L684" i="1"/>
  <c r="H684" i="1"/>
  <c r="I684" i="1"/>
  <c r="I700" i="1"/>
  <c r="H700" i="1"/>
  <c r="L700" i="1"/>
  <c r="M716" i="1"/>
  <c r="H716" i="1"/>
  <c r="I716" i="1"/>
  <c r="L716" i="1"/>
  <c r="I732" i="1"/>
  <c r="L732" i="1"/>
  <c r="H732" i="1"/>
  <c r="H748" i="1"/>
  <c r="I748" i="1"/>
  <c r="L748" i="1"/>
  <c r="K764" i="1"/>
  <c r="L764" i="1"/>
  <c r="H764" i="1"/>
  <c r="I764" i="1"/>
  <c r="M780" i="1"/>
  <c r="H780" i="1"/>
  <c r="L780" i="1"/>
  <c r="I780" i="1"/>
  <c r="L796" i="1"/>
  <c r="H796" i="1"/>
  <c r="I796" i="1"/>
  <c r="K812" i="1"/>
  <c r="L812" i="1"/>
  <c r="H812" i="1"/>
  <c r="I812" i="1"/>
  <c r="M828" i="1"/>
  <c r="H828" i="1"/>
  <c r="L828" i="1"/>
  <c r="I828" i="1"/>
  <c r="L844" i="1"/>
  <c r="H844" i="1"/>
  <c r="I844" i="1"/>
  <c r="L860" i="1"/>
  <c r="H860" i="1"/>
  <c r="I860" i="1"/>
  <c r="L876" i="1"/>
  <c r="H876" i="1"/>
  <c r="I876" i="1"/>
  <c r="L892" i="1"/>
  <c r="H892" i="1"/>
  <c r="I892" i="1"/>
  <c r="K908" i="1"/>
  <c r="I908" i="1"/>
  <c r="L908" i="1"/>
  <c r="H908" i="1"/>
  <c r="L924" i="1"/>
  <c r="H924" i="1"/>
  <c r="I924" i="1"/>
  <c r="K940" i="1"/>
  <c r="L940" i="1"/>
  <c r="H940" i="1"/>
  <c r="I940" i="1"/>
  <c r="K47" i="1"/>
  <c r="H47" i="1"/>
  <c r="L47" i="1"/>
  <c r="I47" i="1"/>
  <c r="I207" i="1"/>
  <c r="H207" i="1"/>
  <c r="L207" i="1"/>
  <c r="I351" i="1"/>
  <c r="L351" i="1"/>
  <c r="H351" i="1"/>
  <c r="K431" i="1"/>
  <c r="I431" i="1"/>
  <c r="L431" i="1"/>
  <c r="H431" i="1"/>
  <c r="L575" i="1"/>
  <c r="H575" i="1"/>
  <c r="I575" i="1"/>
  <c r="H623" i="1"/>
  <c r="I623" i="1"/>
  <c r="L623" i="1"/>
  <c r="J751" i="1"/>
  <c r="I751" i="1"/>
  <c r="L751" i="1"/>
  <c r="H751" i="1"/>
  <c r="I863" i="1"/>
  <c r="L863" i="1"/>
  <c r="H863" i="1"/>
  <c r="L96" i="1"/>
  <c r="I96" i="1"/>
  <c r="H96" i="1"/>
  <c r="L240" i="1"/>
  <c r="H240" i="1"/>
  <c r="I240" i="1"/>
  <c r="M416" i="1"/>
  <c r="I416" i="1"/>
  <c r="H416" i="1"/>
  <c r="L416" i="1"/>
  <c r="I560" i="1"/>
  <c r="L560" i="1"/>
  <c r="H560" i="1"/>
  <c r="I720" i="1"/>
  <c r="L720" i="1"/>
  <c r="H720" i="1"/>
  <c r="H33" i="1"/>
  <c r="L33" i="1"/>
  <c r="I33" i="1"/>
  <c r="L161" i="1"/>
  <c r="H161" i="1"/>
  <c r="I161" i="1"/>
  <c r="L289" i="1"/>
  <c r="H289" i="1"/>
  <c r="I289" i="1"/>
  <c r="M385" i="1"/>
  <c r="H385" i="1"/>
  <c r="L385" i="1"/>
  <c r="I385" i="1"/>
  <c r="H497" i="1"/>
  <c r="L497" i="1"/>
  <c r="I497" i="1"/>
  <c r="M609" i="1"/>
  <c r="H609" i="1"/>
  <c r="L609" i="1"/>
  <c r="I609" i="1"/>
  <c r="M721" i="1"/>
  <c r="H721" i="1"/>
  <c r="I721" i="1"/>
  <c r="L721" i="1"/>
  <c r="H881" i="1"/>
  <c r="I881" i="1"/>
  <c r="L881" i="1"/>
  <c r="L146" i="1"/>
  <c r="H146" i="1"/>
  <c r="I146" i="1"/>
  <c r="H306" i="1"/>
  <c r="L306" i="1"/>
  <c r="I306" i="1"/>
  <c r="H434" i="1"/>
  <c r="L434" i="1"/>
  <c r="I434" i="1"/>
  <c r="J578" i="1"/>
  <c r="H578" i="1"/>
  <c r="L578" i="1"/>
  <c r="I578" i="1"/>
  <c r="K674" i="1"/>
  <c r="L674" i="1"/>
  <c r="H674" i="1"/>
  <c r="I674" i="1"/>
  <c r="L754" i="1"/>
  <c r="H754" i="1"/>
  <c r="I754" i="1"/>
  <c r="H786" i="1"/>
  <c r="L786" i="1"/>
  <c r="I786" i="1"/>
  <c r="H850" i="1"/>
  <c r="L850" i="1"/>
  <c r="I850" i="1"/>
  <c r="I195" i="1"/>
  <c r="H195" i="1"/>
  <c r="L195" i="1"/>
  <c r="I355" i="1"/>
  <c r="H355" i="1"/>
  <c r="L355" i="1"/>
  <c r="K180" i="1"/>
  <c r="L180" i="1"/>
  <c r="H180" i="1"/>
  <c r="I180" i="1"/>
  <c r="L8" i="1"/>
  <c r="H8" i="1"/>
  <c r="I8" i="1"/>
  <c r="L101" i="1"/>
  <c r="H101" i="1"/>
  <c r="I101" i="1"/>
  <c r="J229" i="1"/>
  <c r="L229" i="1"/>
  <c r="H229" i="1"/>
  <c r="I229" i="1"/>
  <c r="H102" i="1"/>
  <c r="L102" i="1"/>
  <c r="I102" i="1"/>
  <c r="J390" i="1"/>
  <c r="H390" i="1"/>
  <c r="L390" i="1"/>
  <c r="I390" i="1"/>
  <c r="H135" i="1"/>
  <c r="L135" i="1"/>
  <c r="I135" i="1"/>
  <c r="H295" i="1"/>
  <c r="L295" i="1"/>
  <c r="I295" i="1"/>
  <c r="H13" i="1"/>
  <c r="L13" i="1"/>
  <c r="I13" i="1"/>
  <c r="K74" i="1"/>
  <c r="I74" i="1"/>
  <c r="L74" i="1"/>
  <c r="H74" i="1"/>
  <c r="I138" i="1"/>
  <c r="H138" i="1"/>
  <c r="L138" i="1"/>
  <c r="I202" i="1"/>
  <c r="H202" i="1"/>
  <c r="L202" i="1"/>
  <c r="I330" i="1"/>
  <c r="H330" i="1"/>
  <c r="L330" i="1"/>
  <c r="J16" i="1"/>
  <c r="H16" i="1"/>
  <c r="I16" i="1"/>
  <c r="L16" i="1"/>
  <c r="H29" i="1"/>
  <c r="L29" i="1"/>
  <c r="I29" i="1"/>
  <c r="L45" i="1"/>
  <c r="H45" i="1"/>
  <c r="I45" i="1"/>
  <c r="M61" i="1"/>
  <c r="L61" i="1"/>
  <c r="H61" i="1"/>
  <c r="I61" i="1"/>
  <c r="L77" i="1"/>
  <c r="H77" i="1"/>
  <c r="I77" i="1"/>
  <c r="L93" i="1"/>
  <c r="H93" i="1"/>
  <c r="I93" i="1"/>
  <c r="H109" i="1"/>
  <c r="L109" i="1"/>
  <c r="I109" i="1"/>
  <c r="L125" i="1"/>
  <c r="H125" i="1"/>
  <c r="I125" i="1"/>
  <c r="L141" i="1"/>
  <c r="H141" i="1"/>
  <c r="I141" i="1"/>
  <c r="L157" i="1"/>
  <c r="H157" i="1"/>
  <c r="I157" i="1"/>
  <c r="L173" i="1"/>
  <c r="H173" i="1"/>
  <c r="I173" i="1"/>
  <c r="L189" i="1"/>
  <c r="H189" i="1"/>
  <c r="I189" i="1"/>
  <c r="M205" i="1"/>
  <c r="L205" i="1"/>
  <c r="H205" i="1"/>
  <c r="I205" i="1"/>
  <c r="H221" i="1"/>
  <c r="L221" i="1"/>
  <c r="I221" i="1"/>
  <c r="K237" i="1"/>
  <c r="H237" i="1"/>
  <c r="I237" i="1"/>
  <c r="L237" i="1"/>
  <c r="I253" i="1"/>
  <c r="L253" i="1"/>
  <c r="H253" i="1"/>
  <c r="K269" i="1"/>
  <c r="L269" i="1"/>
  <c r="H269" i="1"/>
  <c r="I269" i="1"/>
  <c r="M285" i="1"/>
  <c r="L285" i="1"/>
  <c r="H285" i="1"/>
  <c r="I285" i="1"/>
  <c r="L301" i="1"/>
  <c r="H301" i="1"/>
  <c r="I301" i="1"/>
  <c r="L317" i="1"/>
  <c r="H317" i="1"/>
  <c r="I317" i="1"/>
  <c r="M333" i="1"/>
  <c r="L333" i="1"/>
  <c r="H333" i="1"/>
  <c r="I333" i="1"/>
  <c r="H349" i="1"/>
  <c r="L349" i="1"/>
  <c r="I349" i="1"/>
  <c r="I365" i="1"/>
  <c r="L365" i="1"/>
  <c r="H365" i="1"/>
  <c r="I381" i="1"/>
  <c r="L381" i="1"/>
  <c r="H381" i="1"/>
  <c r="L397" i="1"/>
  <c r="H397" i="1"/>
  <c r="I397" i="1"/>
  <c r="L413" i="1"/>
  <c r="H413" i="1"/>
  <c r="I413" i="1"/>
  <c r="M429" i="1"/>
  <c r="L429" i="1"/>
  <c r="H429" i="1"/>
  <c r="I429" i="1"/>
  <c r="L445" i="1"/>
  <c r="H445" i="1"/>
  <c r="I445" i="1"/>
  <c r="L461" i="1"/>
  <c r="H461" i="1"/>
  <c r="I461" i="1"/>
  <c r="H477" i="1"/>
  <c r="L477" i="1"/>
  <c r="I477" i="1"/>
  <c r="K493" i="1"/>
  <c r="L493" i="1"/>
  <c r="H493" i="1"/>
  <c r="I493" i="1"/>
  <c r="L509" i="1"/>
  <c r="H509" i="1"/>
  <c r="I509" i="1"/>
  <c r="L525" i="1"/>
  <c r="H525" i="1"/>
  <c r="I525" i="1"/>
  <c r="L541" i="1"/>
  <c r="H541" i="1"/>
  <c r="I541" i="1"/>
  <c r="L557" i="1"/>
  <c r="H557" i="1"/>
  <c r="I557" i="1"/>
  <c r="L573" i="1"/>
  <c r="H573" i="1"/>
  <c r="I573" i="1"/>
  <c r="L589" i="1"/>
  <c r="H589" i="1"/>
  <c r="I589" i="1"/>
  <c r="H605" i="1"/>
  <c r="I605" i="1"/>
  <c r="L605" i="1"/>
  <c r="I621" i="1"/>
  <c r="L621" i="1"/>
  <c r="H621" i="1"/>
  <c r="I637" i="1"/>
  <c r="L637" i="1"/>
  <c r="H637" i="1"/>
  <c r="L653" i="1"/>
  <c r="H653" i="1"/>
  <c r="I653" i="1"/>
  <c r="K669" i="1"/>
  <c r="L669" i="1"/>
  <c r="H669" i="1"/>
  <c r="I669" i="1"/>
  <c r="L685" i="1"/>
  <c r="H685" i="1"/>
  <c r="I685" i="1"/>
  <c r="L701" i="1"/>
  <c r="H701" i="1"/>
  <c r="I701" i="1"/>
  <c r="L717" i="1"/>
  <c r="H717" i="1"/>
  <c r="I717" i="1"/>
  <c r="H733" i="1"/>
  <c r="L733" i="1"/>
  <c r="I733" i="1"/>
  <c r="H749" i="1"/>
  <c r="L749" i="1"/>
  <c r="I749" i="1"/>
  <c r="M765" i="1"/>
  <c r="L765" i="1"/>
  <c r="H765" i="1"/>
  <c r="I765" i="1"/>
  <c r="L781" i="1"/>
  <c r="H781" i="1"/>
  <c r="I781" i="1"/>
  <c r="K797" i="1"/>
  <c r="L797" i="1"/>
  <c r="H797" i="1"/>
  <c r="I797" i="1"/>
  <c r="L813" i="1"/>
  <c r="H813" i="1"/>
  <c r="I813" i="1"/>
  <c r="L829" i="1"/>
  <c r="H829" i="1"/>
  <c r="I829" i="1"/>
  <c r="L845" i="1"/>
  <c r="H845" i="1"/>
  <c r="I845" i="1"/>
  <c r="L861" i="1"/>
  <c r="H861" i="1"/>
  <c r="I861" i="1"/>
  <c r="L877" i="1"/>
  <c r="H877" i="1"/>
  <c r="I877" i="1"/>
  <c r="L893" i="1"/>
  <c r="H893" i="1"/>
  <c r="I893" i="1"/>
  <c r="L909" i="1"/>
  <c r="H909" i="1"/>
  <c r="I909" i="1"/>
  <c r="L925" i="1"/>
  <c r="H925" i="1"/>
  <c r="I925" i="1"/>
  <c r="L941" i="1"/>
  <c r="H941" i="1"/>
  <c r="I941" i="1"/>
  <c r="J191" i="1"/>
  <c r="J833" i="1"/>
  <c r="M945" i="1"/>
  <c r="J85" i="1"/>
  <c r="M879" i="1"/>
  <c r="J892" i="1"/>
  <c r="M889" i="1"/>
  <c r="K803" i="1"/>
  <c r="M700" i="1"/>
  <c r="M881" i="1"/>
  <c r="K911" i="1"/>
  <c r="M247" i="1"/>
  <c r="M383" i="1"/>
  <c r="J492" i="1"/>
  <c r="K539" i="1"/>
  <c r="K748" i="1"/>
  <c r="K873" i="1"/>
  <c r="J910" i="1"/>
  <c r="K945" i="1"/>
  <c r="J708" i="1"/>
  <c r="M649" i="1"/>
  <c r="K852" i="1"/>
  <c r="J889" i="1"/>
  <c r="K224" i="1"/>
  <c r="J637" i="1"/>
  <c r="J284" i="1"/>
  <c r="J927" i="1"/>
  <c r="M927" i="1"/>
  <c r="M759" i="1"/>
  <c r="M845" i="1"/>
  <c r="M551" i="1"/>
  <c r="K111" i="1"/>
  <c r="J162" i="1"/>
  <c r="J231" i="1"/>
  <c r="M369" i="1"/>
  <c r="J436" i="1"/>
  <c r="M773" i="1"/>
  <c r="J139" i="1"/>
  <c r="M74" i="1"/>
  <c r="M166" i="1"/>
  <c r="K386" i="1"/>
  <c r="M513" i="1"/>
  <c r="K667" i="1"/>
  <c r="J743" i="1"/>
  <c r="J877" i="1"/>
  <c r="K894" i="1"/>
  <c r="M925" i="1"/>
  <c r="M130" i="1"/>
  <c r="M386" i="1"/>
  <c r="J428" i="1"/>
  <c r="M667" i="1"/>
  <c r="J693" i="1"/>
  <c r="K877" i="1"/>
  <c r="K778" i="1"/>
  <c r="M857" i="1"/>
  <c r="J157" i="1"/>
  <c r="K600" i="1"/>
  <c r="M693" i="1"/>
  <c r="J849" i="1"/>
  <c r="M702" i="1"/>
  <c r="J48" i="1"/>
  <c r="J277" i="1"/>
  <c r="M157" i="1"/>
  <c r="M352" i="1"/>
  <c r="K388" i="1"/>
  <c r="M461" i="1"/>
  <c r="M803" i="1"/>
  <c r="M827" i="1"/>
  <c r="K897" i="1"/>
  <c r="M907" i="1"/>
  <c r="J940" i="1"/>
  <c r="K8" i="1"/>
  <c r="M695" i="1"/>
  <c r="M757" i="1"/>
  <c r="M791" i="1"/>
  <c r="K130" i="1"/>
  <c r="M412" i="1"/>
  <c r="M764" i="1"/>
  <c r="M8" i="1"/>
  <c r="M379" i="1"/>
  <c r="M478" i="1"/>
  <c r="J548" i="1"/>
  <c r="J646" i="1"/>
  <c r="J722" i="1"/>
  <c r="J861" i="1"/>
  <c r="K881" i="1"/>
  <c r="J269" i="1"/>
  <c r="M748" i="1"/>
  <c r="J781" i="1"/>
  <c r="K833" i="1"/>
  <c r="J604" i="1"/>
  <c r="K781" i="1"/>
  <c r="M269" i="1"/>
  <c r="K663" i="1"/>
  <c r="J943" i="1"/>
  <c r="J56" i="1"/>
  <c r="M15" i="1"/>
  <c r="M32" i="1"/>
  <c r="J111" i="1"/>
  <c r="J130" i="1"/>
  <c r="J190" i="1"/>
  <c r="K214" i="1"/>
  <c r="J247" i="1"/>
  <c r="M309" i="1"/>
  <c r="K346" i="1"/>
  <c r="K379" i="1"/>
  <c r="M441" i="1"/>
  <c r="K467" i="1"/>
  <c r="M488" i="1"/>
  <c r="M496" i="1"/>
  <c r="M638" i="1"/>
  <c r="J667" i="1"/>
  <c r="K680" i="1"/>
  <c r="J687" i="1"/>
  <c r="J737" i="1"/>
  <c r="K789" i="1"/>
  <c r="J803" i="1"/>
  <c r="K827" i="1"/>
  <c r="K845" i="1"/>
  <c r="K870" i="1"/>
  <c r="K907" i="1"/>
  <c r="M913" i="1"/>
  <c r="M919" i="1"/>
  <c r="K937" i="1"/>
  <c r="M24" i="1"/>
  <c r="K121" i="1"/>
  <c r="M214" i="1"/>
  <c r="K264" i="1"/>
  <c r="J422" i="1"/>
  <c r="J600" i="1"/>
  <c r="K621" i="1"/>
  <c r="M680" i="1"/>
  <c r="M737" i="1"/>
  <c r="J778" i="1"/>
  <c r="M789" i="1"/>
  <c r="K814" i="1"/>
  <c r="K835" i="1"/>
  <c r="J864" i="1"/>
  <c r="K933" i="1"/>
  <c r="M937" i="1"/>
  <c r="J34" i="1"/>
  <c r="J104" i="1"/>
  <c r="J185" i="1"/>
  <c r="K191" i="1"/>
  <c r="M232" i="1"/>
  <c r="J242" i="1"/>
  <c r="J248" i="1"/>
  <c r="M264" i="1"/>
  <c r="J294" i="1"/>
  <c r="K310" i="1"/>
  <c r="K363" i="1"/>
  <c r="K429" i="1"/>
  <c r="M463" i="1"/>
  <c r="J476" i="1"/>
  <c r="J498" i="1"/>
  <c r="K548" i="1"/>
  <c r="K553" i="1"/>
  <c r="M592" i="1"/>
  <c r="M621" i="1"/>
  <c r="J697" i="1"/>
  <c r="K784" i="1"/>
  <c r="K883" i="1"/>
  <c r="K889" i="1"/>
  <c r="J915" i="1"/>
  <c r="J920" i="1"/>
  <c r="K34" i="1"/>
  <c r="M48" i="1"/>
  <c r="K104" i="1"/>
  <c r="J168" i="1"/>
  <c r="K242" i="1"/>
  <c r="K248" i="1"/>
  <c r="M321" i="1"/>
  <c r="J372" i="1"/>
  <c r="K476" i="1"/>
  <c r="K498" i="1"/>
  <c r="J508" i="1"/>
  <c r="J526" i="1"/>
  <c r="J585" i="1"/>
  <c r="J631" i="1"/>
  <c r="J744" i="1"/>
  <c r="M778" i="1"/>
  <c r="J810" i="1"/>
  <c r="J823" i="1"/>
  <c r="K829" i="1"/>
  <c r="M877" i="1"/>
  <c r="K915" i="1"/>
  <c r="K920" i="1"/>
  <c r="M121" i="1"/>
  <c r="J44" i="1"/>
  <c r="J89" i="1"/>
  <c r="J95" i="1"/>
  <c r="J114" i="1"/>
  <c r="M131" i="1"/>
  <c r="K168" i="1"/>
  <c r="M185" i="1"/>
  <c r="M191" i="1"/>
  <c r="K256" i="1"/>
  <c r="J278" i="1"/>
  <c r="K372" i="1"/>
  <c r="M380" i="1"/>
  <c r="M399" i="1"/>
  <c r="J414" i="1"/>
  <c r="K508" i="1"/>
  <c r="K526" i="1"/>
  <c r="M535" i="1"/>
  <c r="M553" i="1"/>
  <c r="K585" i="1"/>
  <c r="J601" i="1"/>
  <c r="J665" i="1"/>
  <c r="J669" i="1"/>
  <c r="M697" i="1"/>
  <c r="M723" i="1"/>
  <c r="J757" i="1"/>
  <c r="J799" i="1"/>
  <c r="K810" i="1"/>
  <c r="K823" i="1"/>
  <c r="M883" i="1"/>
  <c r="J895" i="1"/>
  <c r="M915" i="1"/>
  <c r="K58" i="1"/>
  <c r="K89" i="1"/>
  <c r="M95" i="1"/>
  <c r="M104" i="1"/>
  <c r="J142" i="1"/>
  <c r="M168" i="1"/>
  <c r="J226" i="1"/>
  <c r="J304" i="1"/>
  <c r="J358" i="1"/>
  <c r="K406" i="1"/>
  <c r="J424" i="1"/>
  <c r="J446" i="1"/>
  <c r="J562" i="1"/>
  <c r="K601" i="1"/>
  <c r="J616" i="1"/>
  <c r="M631" i="1"/>
  <c r="K665" i="1"/>
  <c r="K708" i="1"/>
  <c r="J739" i="1"/>
  <c r="K785" i="1"/>
  <c r="K799" i="1"/>
  <c r="M805" i="1"/>
  <c r="K855" i="1"/>
  <c r="J873" i="1"/>
  <c r="K895" i="1"/>
  <c r="K927" i="1"/>
  <c r="J934" i="1"/>
  <c r="M12" i="1"/>
  <c r="M20" i="1"/>
  <c r="M44" i="1"/>
  <c r="J273" i="1"/>
  <c r="J286" i="1"/>
  <c r="K351" i="1"/>
  <c r="K358" i="1"/>
  <c r="J430" i="1"/>
  <c r="J486" i="1"/>
  <c r="M508" i="1"/>
  <c r="M526" i="1"/>
  <c r="K562" i="1"/>
  <c r="K616" i="1"/>
  <c r="M669" i="1"/>
  <c r="J676" i="1"/>
  <c r="K684" i="1"/>
  <c r="J745" i="1"/>
  <c r="M823" i="1"/>
  <c r="K639" i="1"/>
  <c r="M177" i="1"/>
  <c r="K286" i="1"/>
  <c r="J332" i="1"/>
  <c r="J400" i="1"/>
  <c r="K425" i="1"/>
  <c r="M446" i="1"/>
  <c r="K486" i="1"/>
  <c r="K549" i="1"/>
  <c r="M594" i="1"/>
  <c r="M601" i="1"/>
  <c r="J609" i="1"/>
  <c r="K648" i="1"/>
  <c r="J658" i="1"/>
  <c r="M665" i="1"/>
  <c r="J734" i="1"/>
  <c r="M785" i="1"/>
  <c r="M799" i="1"/>
  <c r="K819" i="1"/>
  <c r="K849" i="1"/>
  <c r="K861" i="1"/>
  <c r="J883" i="1"/>
  <c r="M273" i="1"/>
  <c r="M286" i="1"/>
  <c r="M324" i="1"/>
  <c r="M425" i="1"/>
  <c r="M458" i="1"/>
  <c r="J466" i="1"/>
  <c r="M486" i="1"/>
  <c r="M500" i="1"/>
  <c r="J536" i="1"/>
  <c r="M616" i="1"/>
  <c r="J625" i="1"/>
  <c r="M684" i="1"/>
  <c r="K734" i="1"/>
  <c r="M740" i="1"/>
  <c r="M751" i="1"/>
  <c r="J765" i="1"/>
  <c r="J774" i="1"/>
  <c r="J793" i="1"/>
  <c r="M873" i="1"/>
  <c r="J885" i="1"/>
  <c r="M891" i="1"/>
  <c r="K923" i="1"/>
  <c r="J935" i="1"/>
  <c r="J90" i="1"/>
  <c r="M116" i="1"/>
  <c r="J170" i="1"/>
  <c r="K205" i="1"/>
  <c r="K314" i="1"/>
  <c r="K367" i="1"/>
  <c r="J432" i="1"/>
  <c r="K466" i="1"/>
  <c r="K536" i="1"/>
  <c r="M549" i="1"/>
  <c r="K557" i="1"/>
  <c r="K587" i="1"/>
  <c r="J806" i="1"/>
  <c r="M819" i="1"/>
  <c r="M825" i="1"/>
  <c r="M849" i="1"/>
  <c r="M861" i="1"/>
  <c r="K885" i="1"/>
  <c r="K929" i="1"/>
  <c r="M935" i="1"/>
  <c r="J942" i="1"/>
  <c r="K90" i="1"/>
  <c r="M237" i="1"/>
  <c r="M252" i="1"/>
  <c r="K426" i="1"/>
  <c r="K487" i="1"/>
  <c r="K529" i="1"/>
  <c r="M536" i="1"/>
  <c r="M563" i="1"/>
  <c r="K643" i="1"/>
  <c r="J666" i="1"/>
  <c r="K672" i="1"/>
  <c r="K710" i="1"/>
  <c r="M734" i="1"/>
  <c r="J741" i="1"/>
  <c r="K752" i="1"/>
  <c r="J758" i="1"/>
  <c r="M801" i="1"/>
  <c r="K806" i="1"/>
  <c r="K813" i="1"/>
  <c r="J881" i="1"/>
  <c r="M885" i="1"/>
  <c r="K918" i="1"/>
  <c r="J46" i="1"/>
  <c r="K53" i="1"/>
  <c r="K145" i="1"/>
  <c r="J308" i="1"/>
  <c r="K360" i="1"/>
  <c r="M432" i="1"/>
  <c r="M466" i="1"/>
  <c r="J474" i="1"/>
  <c r="M545" i="1"/>
  <c r="M557" i="1"/>
  <c r="J603" i="1"/>
  <c r="J626" i="1"/>
  <c r="K660" i="1"/>
  <c r="K666" i="1"/>
  <c r="M746" i="1"/>
  <c r="K864" i="1"/>
  <c r="J15" i="1"/>
  <c r="K32" i="1"/>
  <c r="M53" i="1"/>
  <c r="K63" i="1"/>
  <c r="J74" i="1"/>
  <c r="M90" i="1"/>
  <c r="M401" i="1"/>
  <c r="K441" i="1"/>
  <c r="J488" i="1"/>
  <c r="J496" i="1"/>
  <c r="K603" i="1"/>
  <c r="K626" i="1"/>
  <c r="M643" i="1"/>
  <c r="M666" i="1"/>
  <c r="M672" i="1"/>
  <c r="M710" i="1"/>
  <c r="M752" i="1"/>
  <c r="M813" i="1"/>
  <c r="J820" i="1"/>
  <c r="J857" i="1"/>
  <c r="M46" i="1"/>
  <c r="J166" i="1"/>
  <c r="K461" i="1"/>
  <c r="M474" i="1"/>
  <c r="K496" i="1"/>
  <c r="K551" i="1"/>
  <c r="M660" i="1"/>
  <c r="J680" i="1"/>
  <c r="M727" i="1"/>
  <c r="M767" i="1"/>
  <c r="M795" i="1"/>
  <c r="K820" i="1"/>
  <c r="J827" i="1"/>
  <c r="M833" i="1"/>
  <c r="J845" i="1"/>
  <c r="K857" i="1"/>
  <c r="K863" i="1"/>
  <c r="J870" i="1"/>
  <c r="J876" i="1"/>
  <c r="J907" i="1"/>
  <c r="J937" i="1"/>
  <c r="K4" i="1"/>
  <c r="M4" i="1"/>
  <c r="J59" i="1"/>
  <c r="K240" i="1"/>
  <c r="J240" i="1"/>
  <c r="M682" i="1"/>
  <c r="K682" i="1"/>
  <c r="J682" i="1"/>
  <c r="M296" i="1"/>
  <c r="K296" i="1"/>
  <c r="M240" i="1"/>
  <c r="J296" i="1"/>
  <c r="K559" i="1"/>
  <c r="M559" i="1"/>
  <c r="J276" i="1"/>
  <c r="K267" i="1"/>
  <c r="M267" i="1"/>
  <c r="M129" i="1"/>
  <c r="K826" i="1"/>
  <c r="K129" i="1"/>
  <c r="K134" i="1"/>
  <c r="M134" i="1"/>
  <c r="J134" i="1"/>
  <c r="M187" i="1"/>
  <c r="J192" i="1"/>
  <c r="J267" i="1"/>
  <c r="K13" i="1"/>
  <c r="M13" i="1"/>
  <c r="J13" i="1"/>
  <c r="J289" i="1"/>
  <c r="K96" i="1"/>
  <c r="J96" i="1"/>
  <c r="K152" i="1"/>
  <c r="M152" i="1"/>
  <c r="J152" i="1"/>
  <c r="M210" i="1"/>
  <c r="M305" i="1"/>
  <c r="M117" i="1"/>
  <c r="J117" i="1"/>
  <c r="K117" i="1"/>
  <c r="M253" i="1"/>
  <c r="J253" i="1"/>
  <c r="M921" i="1"/>
  <c r="K921" i="1"/>
  <c r="J921" i="1"/>
  <c r="K555" i="1"/>
  <c r="M555" i="1"/>
  <c r="K614" i="1"/>
  <c r="M614" i="1"/>
  <c r="J614" i="1"/>
  <c r="M431" i="1"/>
  <c r="M512" i="1"/>
  <c r="K512" i="1"/>
  <c r="M102" i="1"/>
  <c r="K102" i="1"/>
  <c r="J102" i="1"/>
  <c r="J512" i="1"/>
  <c r="M258" i="1"/>
  <c r="K258" i="1"/>
  <c r="J258" i="1"/>
  <c r="M377" i="1"/>
  <c r="K377" i="1"/>
  <c r="J80" i="1"/>
  <c r="M80" i="1"/>
  <c r="K80" i="1"/>
  <c r="K271" i="1"/>
  <c r="M271" i="1"/>
  <c r="J271" i="1"/>
  <c r="J343" i="1"/>
  <c r="J454" i="1"/>
  <c r="M454" i="1"/>
  <c r="J917" i="1"/>
  <c r="M917" i="1"/>
  <c r="J392" i="1"/>
  <c r="M479" i="1"/>
  <c r="K875" i="1"/>
  <c r="M875" i="1"/>
  <c r="J875" i="1"/>
  <c r="K470" i="1"/>
  <c r="M470" i="1"/>
  <c r="J470" i="1"/>
  <c r="M161" i="1"/>
  <c r="K161" i="1"/>
  <c r="J203" i="1"/>
  <c r="M800" i="1"/>
  <c r="K800" i="1"/>
  <c r="M436" i="1"/>
  <c r="M459" i="1"/>
  <c r="M533" i="1"/>
  <c r="K533" i="1"/>
  <c r="J69" i="1"/>
  <c r="J18" i="1"/>
  <c r="K18" i="1"/>
  <c r="M18" i="1"/>
  <c r="M40" i="1"/>
  <c r="J40" i="1"/>
  <c r="K40" i="1"/>
  <c r="K230" i="1"/>
  <c r="M230" i="1"/>
  <c r="J230" i="1"/>
  <c r="M263" i="1"/>
  <c r="K411" i="1"/>
  <c r="M411" i="1"/>
  <c r="J442" i="1"/>
  <c r="M442" i="1"/>
  <c r="K442" i="1"/>
  <c r="K578" i="1"/>
  <c r="M578" i="1"/>
  <c r="K106" i="1"/>
  <c r="M106" i="1"/>
  <c r="M175" i="1"/>
  <c r="K175" i="1"/>
  <c r="K245" i="1"/>
  <c r="J245" i="1"/>
  <c r="M245" i="1"/>
  <c r="M249" i="1"/>
  <c r="J249" i="1"/>
  <c r="K315" i="1"/>
  <c r="J315" i="1"/>
  <c r="M315" i="1"/>
  <c r="M347" i="1"/>
  <c r="K347" i="1"/>
  <c r="K694" i="1"/>
  <c r="J694" i="1"/>
  <c r="K280" i="1"/>
  <c r="K301" i="1"/>
  <c r="M301" i="1"/>
  <c r="J301" i="1"/>
  <c r="M688" i="1"/>
  <c r="J6" i="1"/>
  <c r="M36" i="1"/>
  <c r="K6" i="1"/>
  <c r="M11" i="1"/>
  <c r="J66" i="1"/>
  <c r="M70" i="1"/>
  <c r="M88" i="1"/>
  <c r="M75" i="1"/>
  <c r="J29" i="1"/>
  <c r="K33" i="1"/>
  <c r="J12" i="1"/>
  <c r="M39" i="1"/>
  <c r="M51" i="1"/>
  <c r="J57" i="1"/>
  <c r="M68" i="1"/>
  <c r="J68" i="1"/>
  <c r="K12" i="1"/>
  <c r="J20" i="1"/>
  <c r="M29" i="1"/>
  <c r="M33" i="1"/>
  <c r="J39" i="1"/>
  <c r="J77" i="1"/>
  <c r="K127" i="1"/>
  <c r="J150" i="1"/>
  <c r="J180" i="1"/>
  <c r="M207" i="1"/>
  <c r="K213" i="1"/>
  <c r="K216" i="1"/>
  <c r="J232" i="1"/>
  <c r="J239" i="1"/>
  <c r="K244" i="1"/>
  <c r="M244" i="1"/>
  <c r="M304" i="1"/>
  <c r="M331" i="1"/>
  <c r="K421" i="1"/>
  <c r="M421" i="1"/>
  <c r="K503" i="1"/>
  <c r="K570" i="1"/>
  <c r="M570" i="1"/>
  <c r="M588" i="1"/>
  <c r="K736" i="1"/>
  <c r="M736" i="1"/>
  <c r="J736" i="1"/>
  <c r="M906" i="1"/>
  <c r="J906" i="1"/>
  <c r="K906" i="1"/>
  <c r="J4" i="1"/>
  <c r="J63" i="1"/>
  <c r="M77" i="1"/>
  <c r="M144" i="1"/>
  <c r="M173" i="1"/>
  <c r="M198" i="1"/>
  <c r="J198" i="1"/>
  <c r="J224" i="1"/>
  <c r="M224" i="1"/>
  <c r="J252" i="1"/>
  <c r="M266" i="1"/>
  <c r="M332" i="1"/>
  <c r="J338" i="1"/>
  <c r="J352" i="1"/>
  <c r="J464" i="1"/>
  <c r="M464" i="1"/>
  <c r="J544" i="1"/>
  <c r="K563" i="1"/>
  <c r="J570" i="1"/>
  <c r="M624" i="1"/>
  <c r="J644" i="1"/>
  <c r="M644" i="1"/>
  <c r="M659" i="1"/>
  <c r="K659" i="1"/>
  <c r="J659" i="1"/>
  <c r="J27" i="1"/>
  <c r="M49" i="1"/>
  <c r="M65" i="1"/>
  <c r="M199" i="1"/>
  <c r="M234" i="1"/>
  <c r="K234" i="1"/>
  <c r="K291" i="1"/>
  <c r="M405" i="1"/>
  <c r="K405" i="1"/>
  <c r="K428" i="1"/>
  <c r="M540" i="1"/>
  <c r="K550" i="1"/>
  <c r="M550" i="1"/>
  <c r="M565" i="1"/>
  <c r="K565" i="1"/>
  <c r="J597" i="1"/>
  <c r="M597" i="1"/>
  <c r="K597" i="1"/>
  <c r="M633" i="1"/>
  <c r="M815" i="1"/>
  <c r="K815" i="1"/>
  <c r="J815" i="1"/>
  <c r="M842" i="1"/>
  <c r="K842" i="1"/>
  <c r="M821" i="1"/>
  <c r="K821" i="1"/>
  <c r="J821" i="1"/>
  <c r="M113" i="1"/>
  <c r="M378" i="1"/>
  <c r="J378" i="1"/>
  <c r="M528" i="1"/>
  <c r="K528" i="1"/>
  <c r="J528" i="1"/>
  <c r="M566" i="1"/>
  <c r="K566" i="1"/>
  <c r="J566" i="1"/>
  <c r="K811" i="1"/>
  <c r="M811" i="1"/>
  <c r="K816" i="1"/>
  <c r="J816" i="1"/>
  <c r="J843" i="1"/>
  <c r="M843" i="1"/>
  <c r="K843" i="1"/>
  <c r="K901" i="1"/>
  <c r="J901" i="1"/>
  <c r="M901" i="1"/>
  <c r="K22" i="1"/>
  <c r="K27" i="1"/>
  <c r="J49" i="1"/>
  <c r="K56" i="1"/>
  <c r="K60" i="1"/>
  <c r="M60" i="1"/>
  <c r="K113" i="1"/>
  <c r="K199" i="1"/>
  <c r="M212" i="1"/>
  <c r="J212" i="1"/>
  <c r="M242" i="1"/>
  <c r="M291" i="1"/>
  <c r="J311" i="1"/>
  <c r="J324" i="1"/>
  <c r="K359" i="1"/>
  <c r="J394" i="1"/>
  <c r="J482" i="1"/>
  <c r="K482" i="1"/>
  <c r="K567" i="1"/>
  <c r="K634" i="1"/>
  <c r="J678" i="1"/>
  <c r="M678" i="1"/>
  <c r="M753" i="1"/>
  <c r="M797" i="1"/>
  <c r="M817" i="1"/>
  <c r="K817" i="1"/>
  <c r="J817" i="1"/>
  <c r="K61" i="1"/>
  <c r="K70" i="1"/>
  <c r="J75" i="1"/>
  <c r="J98" i="1"/>
  <c r="K98" i="1"/>
  <c r="J103" i="1"/>
  <c r="M118" i="1"/>
  <c r="J141" i="1"/>
  <c r="J158" i="1"/>
  <c r="M221" i="1"/>
  <c r="M307" i="1"/>
  <c r="J340" i="1"/>
  <c r="J344" i="1"/>
  <c r="M355" i="1"/>
  <c r="M359" i="1"/>
  <c r="J366" i="1"/>
  <c r="K378" i="1"/>
  <c r="K394" i="1"/>
  <c r="M448" i="1"/>
  <c r="J456" i="1"/>
  <c r="M634" i="1"/>
  <c r="J811" i="1"/>
  <c r="K909" i="1"/>
  <c r="M909" i="1"/>
  <c r="J909" i="1"/>
  <c r="M27" i="1"/>
  <c r="J41" i="1"/>
  <c r="M41" i="1"/>
  <c r="K75" i="1"/>
  <c r="K103" i="1"/>
  <c r="K126" i="1"/>
  <c r="K158" i="1"/>
  <c r="M215" i="1"/>
  <c r="J215" i="1"/>
  <c r="J221" i="1"/>
  <c r="J255" i="1"/>
  <c r="M282" i="1"/>
  <c r="K340" i="1"/>
  <c r="K344" i="1"/>
  <c r="K355" i="1"/>
  <c r="M360" i="1"/>
  <c r="J360" i="1"/>
  <c r="M394" i="1"/>
  <c r="K419" i="1"/>
  <c r="K424" i="1"/>
  <c r="M428" i="1"/>
  <c r="M443" i="1"/>
  <c r="K540" i="1"/>
  <c r="M580" i="1"/>
  <c r="K610" i="1"/>
  <c r="J610" i="1"/>
  <c r="K615" i="1"/>
  <c r="K657" i="1"/>
  <c r="J657" i="1"/>
  <c r="K721" i="1"/>
  <c r="J721" i="1"/>
  <c r="M766" i="1"/>
  <c r="K766" i="1"/>
  <c r="J797" i="1"/>
  <c r="K882" i="1"/>
  <c r="J882" i="1"/>
  <c r="K167" i="1"/>
  <c r="J61" i="1"/>
  <c r="M158" i="1"/>
  <c r="K250" i="1"/>
  <c r="K260" i="1"/>
  <c r="K287" i="1"/>
  <c r="J287" i="1"/>
  <c r="K302" i="1"/>
  <c r="K319" i="1"/>
  <c r="M319" i="1"/>
  <c r="J336" i="1"/>
  <c r="M366" i="1"/>
  <c r="K389" i="1"/>
  <c r="M444" i="1"/>
  <c r="J444" i="1"/>
  <c r="K456" i="1"/>
  <c r="K483" i="1"/>
  <c r="M483" i="1"/>
  <c r="M515" i="1"/>
  <c r="M523" i="1"/>
  <c r="K523" i="1"/>
  <c r="M586" i="1"/>
  <c r="J636" i="1"/>
  <c r="M636" i="1"/>
  <c r="K636" i="1"/>
  <c r="K664" i="1"/>
  <c r="J664" i="1"/>
  <c r="M664" i="1"/>
  <c r="K108" i="1"/>
  <c r="K41" i="1"/>
  <c r="M98" i="1"/>
  <c r="M108" i="1"/>
  <c r="K149" i="1"/>
  <c r="J159" i="1"/>
  <c r="M201" i="1"/>
  <c r="J201" i="1"/>
  <c r="M250" i="1"/>
  <c r="J283" i="1"/>
  <c r="M314" i="1"/>
  <c r="J319" i="1"/>
  <c r="K336" i="1"/>
  <c r="M389" i="1"/>
  <c r="K407" i="1"/>
  <c r="M419" i="1"/>
  <c r="K444" i="1"/>
  <c r="M456" i="1"/>
  <c r="J462" i="1"/>
  <c r="K473" i="1"/>
  <c r="M484" i="1"/>
  <c r="J484" i="1"/>
  <c r="J516" i="1"/>
  <c r="K524" i="1"/>
  <c r="J593" i="1"/>
  <c r="K593" i="1"/>
  <c r="J750" i="1"/>
  <c r="M750" i="1"/>
  <c r="K750" i="1"/>
  <c r="J33" i="1"/>
  <c r="M137" i="1"/>
  <c r="K150" i="1"/>
  <c r="K159" i="1"/>
  <c r="J173" i="1"/>
  <c r="M180" i="1"/>
  <c r="J186" i="1"/>
  <c r="M186" i="1"/>
  <c r="K196" i="1"/>
  <c r="K239" i="1"/>
  <c r="M239" i="1"/>
  <c r="M243" i="1"/>
  <c r="M260" i="1"/>
  <c r="K294" i="1"/>
  <c r="M294" i="1"/>
  <c r="K327" i="1"/>
  <c r="M327" i="1"/>
  <c r="J331" i="1"/>
  <c r="J374" i="1"/>
  <c r="J386" i="1"/>
  <c r="M397" i="1"/>
  <c r="J420" i="1"/>
  <c r="K420" i="1"/>
  <c r="M525" i="1"/>
  <c r="J558" i="1"/>
  <c r="M714" i="1"/>
  <c r="J116" i="1"/>
  <c r="J127" i="1"/>
  <c r="K173" i="1"/>
  <c r="M196" i="1"/>
  <c r="K201" i="1"/>
  <c r="J207" i="1"/>
  <c r="M274" i="1"/>
  <c r="K274" i="1"/>
  <c r="K278" i="1"/>
  <c r="M303" i="1"/>
  <c r="J314" i="1"/>
  <c r="M336" i="1"/>
  <c r="J341" i="1"/>
  <c r="K374" i="1"/>
  <c r="K380" i="1"/>
  <c r="K397" i="1"/>
  <c r="K414" i="1"/>
  <c r="M451" i="1"/>
  <c r="K451" i="1"/>
  <c r="J468" i="1"/>
  <c r="M468" i="1"/>
  <c r="K484" i="1"/>
  <c r="M516" i="1"/>
  <c r="M530" i="1"/>
  <c r="K558" i="1"/>
  <c r="K576" i="1"/>
  <c r="M576" i="1"/>
  <c r="J576" i="1"/>
  <c r="K604" i="1"/>
  <c r="M730" i="1"/>
  <c r="K730" i="1"/>
  <c r="K561" i="1"/>
  <c r="K629" i="1"/>
  <c r="M629" i="1"/>
  <c r="J629" i="1"/>
  <c r="J641" i="1"/>
  <c r="M808" i="1"/>
  <c r="J808" i="1"/>
  <c r="K808" i="1"/>
  <c r="J850" i="1"/>
  <c r="M605" i="1"/>
  <c r="M612" i="1"/>
  <c r="K612" i="1"/>
  <c r="J612" i="1"/>
  <c r="K668" i="1"/>
  <c r="K706" i="1"/>
  <c r="J706" i="1"/>
  <c r="K711" i="1"/>
  <c r="J711" i="1"/>
  <c r="M771" i="1"/>
  <c r="J771" i="1"/>
  <c r="M787" i="1"/>
  <c r="K787" i="1"/>
  <c r="J787" i="1"/>
  <c r="M837" i="1"/>
  <c r="K837" i="1"/>
  <c r="J837" i="1"/>
  <c r="M851" i="1"/>
  <c r="K851" i="1"/>
  <c r="J851" i="1"/>
  <c r="K867" i="1"/>
  <c r="J867" i="1"/>
  <c r="M867" i="1"/>
  <c r="K82" i="1"/>
  <c r="K162" i="1"/>
  <c r="K299" i="1"/>
  <c r="K404" i="1"/>
  <c r="M404" i="1"/>
  <c r="J404" i="1"/>
  <c r="J538" i="1"/>
  <c r="K538" i="1"/>
  <c r="M538" i="1"/>
  <c r="K605" i="1"/>
  <c r="J642" i="1"/>
  <c r="K653" i="1"/>
  <c r="M668" i="1"/>
  <c r="K685" i="1"/>
  <c r="M685" i="1"/>
  <c r="J685" i="1"/>
  <c r="M706" i="1"/>
  <c r="K783" i="1"/>
  <c r="M783" i="1"/>
  <c r="J783" i="1"/>
  <c r="M831" i="1"/>
  <c r="K831" i="1"/>
  <c r="J831" i="1"/>
  <c r="K499" i="1"/>
  <c r="M518" i="1"/>
  <c r="K581" i="1"/>
  <c r="M653" i="1"/>
  <c r="K738" i="1"/>
  <c r="M738" i="1"/>
  <c r="J832" i="1"/>
  <c r="M139" i="1"/>
  <c r="J145" i="1"/>
  <c r="M162" i="1"/>
  <c r="K226" i="1"/>
  <c r="J299" i="1"/>
  <c r="K329" i="1"/>
  <c r="J329" i="1"/>
  <c r="K400" i="1"/>
  <c r="J412" i="1"/>
  <c r="M426" i="1"/>
  <c r="M489" i="1"/>
  <c r="J518" i="1"/>
  <c r="J581" i="1"/>
  <c r="M587" i="1"/>
  <c r="M617" i="1"/>
  <c r="K625" i="1"/>
  <c r="M637" i="1"/>
  <c r="M642" i="1"/>
  <c r="K887" i="1"/>
  <c r="M887" i="1"/>
  <c r="J887" i="1"/>
  <c r="K839" i="1"/>
  <c r="J839" i="1"/>
  <c r="M862" i="1"/>
  <c r="K862" i="1"/>
  <c r="M786" i="1"/>
  <c r="M807" i="1"/>
  <c r="K807" i="1"/>
  <c r="J807" i="1"/>
  <c r="M839" i="1"/>
  <c r="J847" i="1"/>
  <c r="M847" i="1"/>
  <c r="K847" i="1"/>
  <c r="K853" i="1"/>
  <c r="M853" i="1"/>
  <c r="J893" i="1"/>
  <c r="M893" i="1"/>
  <c r="K893" i="1"/>
  <c r="J681" i="1"/>
  <c r="K786" i="1"/>
  <c r="M841" i="1"/>
  <c r="K841" i="1"/>
  <c r="J841" i="1"/>
  <c r="J264" i="1"/>
  <c r="M310" i="1"/>
  <c r="J325" i="1"/>
  <c r="K416" i="1"/>
  <c r="M493" i="1"/>
  <c r="J520" i="1"/>
  <c r="J575" i="1"/>
  <c r="M602" i="1"/>
  <c r="M658" i="1"/>
  <c r="J809" i="1"/>
  <c r="M809" i="1"/>
  <c r="K809" i="1"/>
  <c r="J855" i="1"/>
  <c r="M884" i="1"/>
  <c r="K884" i="1"/>
  <c r="J674" i="1"/>
  <c r="M674" i="1"/>
  <c r="K725" i="1"/>
  <c r="M725" i="1"/>
  <c r="J923" i="1"/>
  <c r="J829" i="1"/>
  <c r="J840" i="1"/>
  <c r="M852" i="1"/>
  <c r="J852" i="1"/>
  <c r="J871" i="1"/>
  <c r="M871" i="1"/>
  <c r="K905" i="1"/>
  <c r="J905" i="1"/>
  <c r="M829" i="1"/>
  <c r="J899" i="1"/>
  <c r="M899" i="1"/>
  <c r="K899" i="1"/>
  <c r="M905" i="1"/>
  <c r="J911" i="1"/>
  <c r="M931" i="1"/>
  <c r="K931" i="1"/>
  <c r="M941" i="1"/>
  <c r="K941" i="1"/>
  <c r="J941" i="1"/>
  <c r="M793" i="1"/>
  <c r="K859" i="1"/>
  <c r="M859" i="1"/>
  <c r="J931" i="1"/>
  <c r="J709" i="1"/>
  <c r="K712" i="1"/>
  <c r="J856" i="1"/>
  <c r="K865" i="1"/>
  <c r="K869" i="1"/>
  <c r="K903" i="1"/>
  <c r="M603" i="1"/>
  <c r="M699" i="1"/>
  <c r="J755" i="1"/>
  <c r="K758" i="1"/>
  <c r="J772" i="1"/>
  <c r="J791" i="1"/>
  <c r="J801" i="1"/>
  <c r="J825" i="1"/>
  <c r="J838" i="1"/>
  <c r="K856" i="1"/>
  <c r="J879" i="1"/>
  <c r="J695" i="1"/>
  <c r="M712" i="1"/>
  <c r="J764" i="1"/>
  <c r="J767" i="1"/>
  <c r="K772" i="1"/>
  <c r="M781" i="1"/>
  <c r="K791" i="1"/>
  <c r="J795" i="1"/>
  <c r="K801" i="1"/>
  <c r="J805" i="1"/>
  <c r="K825" i="1"/>
  <c r="J828" i="1"/>
  <c r="K838" i="1"/>
  <c r="M865" i="1"/>
  <c r="M869" i="1"/>
  <c r="K879" i="1"/>
  <c r="J891" i="1"/>
  <c r="M903" i="1"/>
  <c r="J913" i="1"/>
  <c r="J916" i="1"/>
  <c r="J919" i="1"/>
  <c r="J925" i="1"/>
  <c r="K935" i="1"/>
  <c r="K631" i="1"/>
  <c r="K700" i="1"/>
  <c r="J710" i="1"/>
  <c r="J723" i="1"/>
  <c r="J748" i="1"/>
  <c r="J785" i="1"/>
  <c r="K795" i="1"/>
  <c r="K805" i="1"/>
  <c r="J813" i="1"/>
  <c r="J819" i="1"/>
  <c r="K828" i="1"/>
  <c r="J835" i="1"/>
  <c r="J863" i="1"/>
  <c r="J897" i="1"/>
  <c r="K913" i="1"/>
  <c r="K916" i="1"/>
  <c r="K919" i="1"/>
  <c r="K925" i="1"/>
  <c r="J929" i="1"/>
  <c r="J933" i="1"/>
  <c r="J939" i="1"/>
  <c r="J945" i="1"/>
  <c r="K939" i="1"/>
  <c r="M835" i="1"/>
  <c r="M863" i="1"/>
  <c r="M929" i="1"/>
  <c r="M933" i="1"/>
  <c r="M939" i="1"/>
  <c r="K942" i="1"/>
  <c r="J946" i="1"/>
  <c r="K934" i="1"/>
  <c r="K943" i="1"/>
  <c r="J865" i="1"/>
  <c r="J869" i="1"/>
  <c r="J903" i="1"/>
  <c r="M943" i="1"/>
  <c r="K21" i="1"/>
  <c r="J21" i="1"/>
  <c r="M21" i="1"/>
  <c r="K59" i="1"/>
  <c r="M59" i="1"/>
  <c r="K84" i="1"/>
  <c r="J84" i="1"/>
  <c r="M84" i="1"/>
  <c r="K91" i="1"/>
  <c r="M91" i="1"/>
  <c r="M96" i="1"/>
  <c r="K100" i="1"/>
  <c r="J100" i="1"/>
  <c r="M100" i="1"/>
  <c r="M107" i="1"/>
  <c r="K107" i="1"/>
  <c r="J153" i="1"/>
  <c r="M153" i="1"/>
  <c r="M170" i="1"/>
  <c r="K170" i="1"/>
  <c r="K203" i="1"/>
  <c r="M203" i="1"/>
  <c r="M222" i="1"/>
  <c r="K222" i="1"/>
  <c r="J250" i="1"/>
  <c r="K277" i="1"/>
  <c r="M277" i="1"/>
  <c r="J537" i="1"/>
  <c r="M537" i="1"/>
  <c r="K537" i="1"/>
  <c r="M14" i="1"/>
  <c r="K14" i="1"/>
  <c r="K76" i="1"/>
  <c r="M76" i="1"/>
  <c r="M101" i="1"/>
  <c r="K101" i="1"/>
  <c r="J122" i="1"/>
  <c r="K122" i="1"/>
  <c r="M122" i="1"/>
  <c r="M160" i="1"/>
  <c r="M181" i="1"/>
  <c r="J181" i="1"/>
  <c r="M189" i="1"/>
  <c r="J189" i="1"/>
  <c r="M197" i="1"/>
  <c r="J200" i="1"/>
  <c r="K217" i="1"/>
  <c r="J217" i="1"/>
  <c r="M217" i="1"/>
  <c r="M254" i="1"/>
  <c r="J254" i="1"/>
  <c r="K254" i="1"/>
  <c r="K281" i="1"/>
  <c r="M281" i="1"/>
  <c r="J281" i="1"/>
  <c r="K337" i="1"/>
  <c r="J337" i="1"/>
  <c r="M337" i="1"/>
  <c r="M356" i="1"/>
  <c r="K356" i="1"/>
  <c r="J356" i="1"/>
  <c r="M364" i="1"/>
  <c r="J364" i="1"/>
  <c r="M546" i="1"/>
  <c r="J546" i="1"/>
  <c r="K546" i="1"/>
  <c r="K715" i="1"/>
  <c r="M715" i="1"/>
  <c r="J715" i="1"/>
  <c r="K749" i="1"/>
  <c r="M749" i="1"/>
  <c r="J749" i="1"/>
  <c r="K151" i="1"/>
  <c r="M151" i="1"/>
  <c r="J151" i="1"/>
  <c r="K23" i="1"/>
  <c r="M23" i="1"/>
  <c r="J37" i="1"/>
  <c r="K83" i="1"/>
  <c r="M83" i="1"/>
  <c r="K110" i="1"/>
  <c r="M110" i="1"/>
  <c r="J110" i="1"/>
  <c r="M125" i="1"/>
  <c r="K125" i="1"/>
  <c r="J184" i="1"/>
  <c r="M184" i="1"/>
  <c r="K202" i="1"/>
  <c r="J202" i="1"/>
  <c r="K235" i="1"/>
  <c r="M235" i="1"/>
  <c r="J235" i="1"/>
  <c r="J342" i="1"/>
  <c r="J345" i="1"/>
  <c r="M345" i="1"/>
  <c r="K345" i="1"/>
  <c r="M504" i="1"/>
  <c r="K504" i="1"/>
  <c r="J504" i="1"/>
  <c r="K79" i="1"/>
  <c r="J79" i="1"/>
  <c r="M79" i="1"/>
  <c r="M114" i="1"/>
  <c r="J125" i="1"/>
  <c r="K184" i="1"/>
  <c r="J491" i="1"/>
  <c r="M491" i="1"/>
  <c r="K491" i="1"/>
  <c r="J178" i="1"/>
  <c r="M211" i="1"/>
  <c r="K211" i="1"/>
  <c r="K225" i="1"/>
  <c r="J225" i="1"/>
  <c r="K257" i="1"/>
  <c r="M257" i="1"/>
  <c r="J257" i="1"/>
  <c r="K701" i="1"/>
  <c r="J701" i="1"/>
  <c r="M788" i="1"/>
  <c r="K788" i="1"/>
  <c r="J788" i="1"/>
  <c r="J115" i="1"/>
  <c r="M115" i="1"/>
  <c r="K115" i="1"/>
  <c r="J163" i="1"/>
  <c r="K163" i="1"/>
  <c r="K313" i="1"/>
  <c r="M313" i="1"/>
  <c r="J381" i="1"/>
  <c r="M381" i="1"/>
  <c r="J413" i="1"/>
  <c r="M413" i="1"/>
  <c r="K413" i="1"/>
  <c r="J417" i="1"/>
  <c r="M417" i="1"/>
  <c r="K417" i="1"/>
  <c r="J437" i="1"/>
  <c r="K437" i="1"/>
  <c r="M437" i="1"/>
  <c r="K574" i="1"/>
  <c r="M574" i="1"/>
  <c r="J574" i="1"/>
  <c r="K623" i="1"/>
  <c r="J623" i="1"/>
  <c r="M623" i="1"/>
  <c r="K703" i="1"/>
  <c r="J703" i="1"/>
  <c r="M703" i="1"/>
  <c r="J28" i="1"/>
  <c r="M28" i="1"/>
  <c r="K28" i="1"/>
  <c r="M45" i="1"/>
  <c r="K45" i="1"/>
  <c r="J52" i="1"/>
  <c r="M52" i="1"/>
  <c r="K52" i="1"/>
  <c r="J101" i="1"/>
  <c r="M112" i="1"/>
  <c r="K112" i="1"/>
  <c r="J160" i="1"/>
  <c r="K174" i="1"/>
  <c r="J174" i="1"/>
  <c r="M174" i="1"/>
  <c r="K181" i="1"/>
  <c r="K189" i="1"/>
  <c r="J197" i="1"/>
  <c r="M200" i="1"/>
  <c r="K238" i="1"/>
  <c r="M238" i="1"/>
  <c r="J238" i="1"/>
  <c r="K370" i="1"/>
  <c r="J370" i="1"/>
  <c r="K381" i="1"/>
  <c r="K408" i="1"/>
  <c r="J408" i="1"/>
  <c r="M408" i="1"/>
  <c r="J475" i="1"/>
  <c r="M475" i="1"/>
  <c r="K475" i="1"/>
  <c r="M591" i="1"/>
  <c r="K591" i="1"/>
  <c r="J591" i="1"/>
  <c r="J45" i="1"/>
  <c r="M64" i="1"/>
  <c r="K64" i="1"/>
  <c r="M81" i="1"/>
  <c r="J81" i="1"/>
  <c r="J93" i="1"/>
  <c r="K146" i="1"/>
  <c r="J146" i="1"/>
  <c r="M146" i="1"/>
  <c r="M155" i="1"/>
  <c r="K160" i="1"/>
  <c r="M163" i="1"/>
  <c r="M171" i="1"/>
  <c r="J171" i="1"/>
  <c r="K194" i="1"/>
  <c r="M194" i="1"/>
  <c r="K197" i="1"/>
  <c r="M306" i="1"/>
  <c r="J306" i="1"/>
  <c r="J313" i="1"/>
  <c r="M370" i="1"/>
  <c r="K382" i="1"/>
  <c r="M382" i="1"/>
  <c r="M902" i="1"/>
  <c r="K902" i="1"/>
  <c r="J902" i="1"/>
  <c r="K9" i="1"/>
  <c r="M9" i="1"/>
  <c r="J9" i="1"/>
  <c r="J35" i="1"/>
  <c r="K35" i="1"/>
  <c r="M35" i="1"/>
  <c r="M71" i="1"/>
  <c r="K71" i="1"/>
  <c r="K81" i="1"/>
  <c r="M86" i="1"/>
  <c r="J86" i="1"/>
  <c r="M97" i="1"/>
  <c r="K97" i="1"/>
  <c r="J97" i="1"/>
  <c r="M109" i="1"/>
  <c r="J112" i="1"/>
  <c r="J124" i="1"/>
  <c r="J147" i="1"/>
  <c r="M183" i="1"/>
  <c r="J208" i="1"/>
  <c r="K219" i="1"/>
  <c r="M219" i="1"/>
  <c r="M300" i="1"/>
  <c r="M326" i="1"/>
  <c r="J326" i="1"/>
  <c r="K326" i="1"/>
  <c r="J371" i="1"/>
  <c r="M371" i="1"/>
  <c r="K371" i="1"/>
  <c r="J375" i="1"/>
  <c r="M375" i="1"/>
  <c r="J382" i="1"/>
  <c r="J387" i="1"/>
  <c r="M387" i="1"/>
  <c r="K387" i="1"/>
  <c r="J409" i="1"/>
  <c r="K409" i="1"/>
  <c r="J471" i="1"/>
  <c r="M471" i="1"/>
  <c r="K471" i="1"/>
  <c r="K582" i="1"/>
  <c r="J582" i="1"/>
  <c r="M582" i="1"/>
  <c r="J606" i="1"/>
  <c r="K606" i="1"/>
  <c r="J64" i="1"/>
  <c r="K93" i="1"/>
  <c r="M119" i="1"/>
  <c r="M135" i="1"/>
  <c r="J135" i="1"/>
  <c r="K147" i="1"/>
  <c r="J155" i="1"/>
  <c r="K171" i="1"/>
  <c r="K178" i="1"/>
  <c r="K208" i="1"/>
  <c r="J297" i="1"/>
  <c r="K318" i="1"/>
  <c r="K322" i="1"/>
  <c r="J322" i="1"/>
  <c r="M322" i="1"/>
  <c r="M330" i="1"/>
  <c r="J330" i="1"/>
  <c r="K330" i="1"/>
  <c r="M409" i="1"/>
  <c r="J509" i="1"/>
  <c r="M509" i="1"/>
  <c r="K556" i="1"/>
  <c r="M556" i="1"/>
  <c r="J556" i="1"/>
  <c r="M606" i="1"/>
  <c r="J25" i="1"/>
  <c r="J42" i="1"/>
  <c r="J71" i="1"/>
  <c r="M78" i="1"/>
  <c r="J109" i="1"/>
  <c r="J119" i="1"/>
  <c r="K128" i="1"/>
  <c r="J128" i="1"/>
  <c r="M128" i="1"/>
  <c r="J143" i="1"/>
  <c r="M147" i="1"/>
  <c r="M178" i="1"/>
  <c r="J183" i="1"/>
  <c r="J194" i="1"/>
  <c r="J219" i="1"/>
  <c r="J300" i="1"/>
  <c r="K306" i="1"/>
  <c r="M339" i="1"/>
  <c r="K348" i="1"/>
  <c r="M348" i="1"/>
  <c r="K375" i="1"/>
  <c r="M398" i="1"/>
  <c r="K398" i="1"/>
  <c r="M410" i="1"/>
  <c r="K410" i="1"/>
  <c r="J410" i="1"/>
  <c r="M452" i="1"/>
  <c r="K452" i="1"/>
  <c r="K650" i="1"/>
  <c r="J650" i="1"/>
  <c r="M650" i="1"/>
  <c r="K25" i="1"/>
  <c r="K42" i="1"/>
  <c r="K86" i="1"/>
  <c r="M93" i="1"/>
  <c r="K109" i="1"/>
  <c r="K119" i="1"/>
  <c r="K124" i="1"/>
  <c r="K135" i="1"/>
  <c r="K143" i="1"/>
  <c r="M148" i="1"/>
  <c r="J148" i="1"/>
  <c r="J165" i="1"/>
  <c r="K183" i="1"/>
  <c r="K209" i="1"/>
  <c r="J209" i="1"/>
  <c r="M209" i="1"/>
  <c r="K290" i="1"/>
  <c r="J290" i="1"/>
  <c r="M297" i="1"/>
  <c r="K300" i="1"/>
  <c r="J318" i="1"/>
  <c r="K509" i="1"/>
  <c r="M932" i="1"/>
  <c r="J932" i="1"/>
  <c r="K16" i="1"/>
  <c r="M16" i="1"/>
  <c r="M25" i="1"/>
  <c r="M30" i="1"/>
  <c r="K30" i="1"/>
  <c r="M42" i="1"/>
  <c r="K54" i="1"/>
  <c r="J78" i="1"/>
  <c r="M94" i="1"/>
  <c r="K94" i="1"/>
  <c r="J94" i="1"/>
  <c r="K120" i="1"/>
  <c r="J120" i="1"/>
  <c r="M120" i="1"/>
  <c r="M124" i="1"/>
  <c r="M140" i="1"/>
  <c r="J140" i="1"/>
  <c r="M143" i="1"/>
  <c r="M156" i="1"/>
  <c r="K156" i="1"/>
  <c r="J156" i="1"/>
  <c r="K165" i="1"/>
  <c r="M176" i="1"/>
  <c r="K176" i="1"/>
  <c r="M195" i="1"/>
  <c r="K195" i="1"/>
  <c r="J195" i="1"/>
  <c r="M206" i="1"/>
  <c r="K206" i="1"/>
  <c r="K220" i="1"/>
  <c r="M220" i="1"/>
  <c r="J220" i="1"/>
  <c r="M228" i="1"/>
  <c r="K228" i="1"/>
  <c r="J339" i="1"/>
  <c r="J348" i="1"/>
  <c r="M384" i="1"/>
  <c r="K384" i="1"/>
  <c r="J384" i="1"/>
  <c r="J452" i="1"/>
  <c r="K932" i="1"/>
  <c r="J23" i="1"/>
  <c r="J30" i="1"/>
  <c r="K37" i="1"/>
  <c r="M47" i="1"/>
  <c r="J47" i="1"/>
  <c r="J51" i="1"/>
  <c r="J54" i="1"/>
  <c r="K62" i="1"/>
  <c r="J62" i="1"/>
  <c r="M62" i="1"/>
  <c r="K66" i="1"/>
  <c r="M66" i="1"/>
  <c r="J73" i="1"/>
  <c r="J83" i="1"/>
  <c r="J88" i="1"/>
  <c r="M99" i="1"/>
  <c r="K99" i="1"/>
  <c r="K132" i="1"/>
  <c r="J137" i="1"/>
  <c r="K140" i="1"/>
  <c r="M188" i="1"/>
  <c r="K188" i="1"/>
  <c r="K229" i="1"/>
  <c r="M229" i="1"/>
  <c r="K261" i="1"/>
  <c r="M261" i="1"/>
  <c r="M342" i="1"/>
  <c r="J11" i="1"/>
  <c r="K31" i="1"/>
  <c r="J31" i="1"/>
  <c r="M31" i="1"/>
  <c r="M37" i="1"/>
  <c r="M54" i="1"/>
  <c r="K73" i="1"/>
  <c r="K88" i="1"/>
  <c r="J99" i="1"/>
  <c r="M132" i="1"/>
  <c r="K137" i="1"/>
  <c r="M202" i="1"/>
  <c r="K247" i="1"/>
  <c r="K265" i="1"/>
  <c r="M265" i="1"/>
  <c r="J265" i="1"/>
  <c r="M284" i="1"/>
  <c r="K284" i="1"/>
  <c r="K368" i="1"/>
  <c r="M368" i="1"/>
  <c r="J368" i="1"/>
  <c r="M506" i="1"/>
  <c r="K506" i="1"/>
  <c r="J506" i="1"/>
  <c r="M701" i="1"/>
  <c r="K5" i="1"/>
  <c r="J5" i="1"/>
  <c r="K26" i="1"/>
  <c r="M43" i="1"/>
  <c r="M133" i="1"/>
  <c r="K133" i="1"/>
  <c r="K179" i="1"/>
  <c r="M179" i="1"/>
  <c r="J179" i="1"/>
  <c r="K223" i="1"/>
  <c r="J223" i="1"/>
  <c r="M223" i="1"/>
  <c r="J236" i="1"/>
  <c r="K236" i="1"/>
  <c r="M236" i="1"/>
  <c r="K295" i="1"/>
  <c r="M295" i="1"/>
  <c r="J295" i="1"/>
  <c r="M334" i="1"/>
  <c r="K334" i="1"/>
  <c r="M350" i="1"/>
  <c r="J350" i="1"/>
  <c r="J361" i="1"/>
  <c r="M361" i="1"/>
  <c r="J391" i="1"/>
  <c r="K391" i="1"/>
  <c r="M402" i="1"/>
  <c r="J402" i="1"/>
  <c r="J423" i="1"/>
  <c r="M423" i="1"/>
  <c r="K423" i="1"/>
  <c r="J445" i="1"/>
  <c r="M445" i="1"/>
  <c r="K445" i="1"/>
  <c r="J481" i="1"/>
  <c r="K481" i="1"/>
  <c r="J497" i="1"/>
  <c r="M497" i="1"/>
  <c r="K497" i="1"/>
  <c r="J541" i="1"/>
  <c r="K541" i="1"/>
  <c r="K651" i="1"/>
  <c r="M651" i="1"/>
  <c r="J651" i="1"/>
  <c r="M670" i="1"/>
  <c r="K670" i="1"/>
  <c r="K735" i="1"/>
  <c r="M735" i="1"/>
  <c r="J735" i="1"/>
  <c r="K769" i="1"/>
  <c r="M769" i="1"/>
  <c r="M5" i="1"/>
  <c r="M26" i="1"/>
  <c r="J36" i="1"/>
  <c r="M38" i="1"/>
  <c r="M58" i="1"/>
  <c r="K87" i="1"/>
  <c r="M142" i="1"/>
  <c r="K144" i="1"/>
  <c r="K187" i="1"/>
  <c r="K193" i="1"/>
  <c r="J193" i="1"/>
  <c r="J210" i="1"/>
  <c r="M213" i="1"/>
  <c r="K227" i="1"/>
  <c r="M227" i="1"/>
  <c r="J227" i="1"/>
  <c r="J237" i="1"/>
  <c r="K253" i="1"/>
  <c r="K283" i="1"/>
  <c r="M283" i="1"/>
  <c r="M288" i="1"/>
  <c r="M302" i="1"/>
  <c r="J302" i="1"/>
  <c r="J8" i="1"/>
  <c r="M10" i="1"/>
  <c r="J22" i="1"/>
  <c r="K24" i="1"/>
  <c r="K29" i="1"/>
  <c r="K36" i="1"/>
  <c r="K39" i="1"/>
  <c r="K48" i="1"/>
  <c r="M50" i="1"/>
  <c r="M55" i="1"/>
  <c r="J70" i="1"/>
  <c r="M72" i="1"/>
  <c r="K77" i="1"/>
  <c r="J82" i="1"/>
  <c r="M85" i="1"/>
  <c r="K85" i="1"/>
  <c r="M105" i="1"/>
  <c r="J118" i="1"/>
  <c r="J121" i="1"/>
  <c r="J126" i="1"/>
  <c r="K139" i="1"/>
  <c r="K157" i="1"/>
  <c r="M164" i="1"/>
  <c r="J167" i="1"/>
  <c r="M169" i="1"/>
  <c r="M182" i="1"/>
  <c r="K185" i="1"/>
  <c r="J196" i="1"/>
  <c r="J205" i="1"/>
  <c r="K210" i="1"/>
  <c r="K215" i="1"/>
  <c r="K218" i="1"/>
  <c r="J218" i="1"/>
  <c r="J234" i="1"/>
  <c r="J280" i="1"/>
  <c r="K289" i="1"/>
  <c r="M289" i="1"/>
  <c r="K305" i="1"/>
  <c r="J305" i="1"/>
  <c r="K308" i="1"/>
  <c r="M628" i="1"/>
  <c r="K628" i="1"/>
  <c r="J628" i="1"/>
  <c r="K510" i="1"/>
  <c r="J510" i="1"/>
  <c r="M510" i="1"/>
  <c r="M534" i="1"/>
  <c r="J534" i="1"/>
  <c r="K552" i="1"/>
  <c r="J552" i="1"/>
  <c r="K635" i="1"/>
  <c r="J635" i="1"/>
  <c r="M635" i="1"/>
  <c r="K7" i="1"/>
  <c r="K19" i="1"/>
  <c r="M69" i="1"/>
  <c r="K138" i="1"/>
  <c r="J138" i="1"/>
  <c r="K251" i="1"/>
  <c r="J251" i="1"/>
  <c r="M251" i="1"/>
  <c r="M262" i="1"/>
  <c r="K262" i="1"/>
  <c r="K285" i="1"/>
  <c r="J285" i="1"/>
  <c r="K323" i="1"/>
  <c r="M323" i="1"/>
  <c r="J323" i="1"/>
  <c r="K333" i="1"/>
  <c r="J333" i="1"/>
  <c r="J349" i="1"/>
  <c r="K349" i="1"/>
  <c r="M349" i="1"/>
  <c r="K376" i="1"/>
  <c r="J376" i="1"/>
  <c r="M376" i="1"/>
  <c r="J449" i="1"/>
  <c r="M552" i="1"/>
  <c r="K560" i="1"/>
  <c r="J560" i="1"/>
  <c r="M560" i="1"/>
  <c r="M630" i="1"/>
  <c r="K630" i="1"/>
  <c r="J630" i="1"/>
  <c r="K645" i="1"/>
  <c r="J645" i="1"/>
  <c r="M938" i="1"/>
  <c r="K938" i="1"/>
  <c r="J938" i="1"/>
  <c r="J7" i="1"/>
  <c r="K17" i="1"/>
  <c r="J19" i="1"/>
  <c r="J38" i="1"/>
  <c r="K57" i="1"/>
  <c r="K67" i="1"/>
  <c r="J67" i="1"/>
  <c r="K69" i="1"/>
  <c r="M87" i="1"/>
  <c r="K92" i="1"/>
  <c r="K123" i="1"/>
  <c r="J136" i="1"/>
  <c r="M138" i="1"/>
  <c r="K141" i="1"/>
  <c r="K154" i="1"/>
  <c r="K192" i="1"/>
  <c r="M204" i="1"/>
  <c r="K204" i="1"/>
  <c r="K259" i="1"/>
  <c r="J259" i="1"/>
  <c r="J272" i="1"/>
  <c r="K275" i="1"/>
  <c r="J275" i="1"/>
  <c r="J292" i="1"/>
  <c r="M292" i="1"/>
  <c r="K292" i="1"/>
  <c r="M316" i="1"/>
  <c r="M328" i="1"/>
  <c r="K350" i="1"/>
  <c r="J354" i="1"/>
  <c r="K354" i="1"/>
  <c r="J365" i="1"/>
  <c r="M365" i="1"/>
  <c r="M391" i="1"/>
  <c r="J395" i="1"/>
  <c r="M395" i="1"/>
  <c r="K402" i="1"/>
  <c r="J415" i="1"/>
  <c r="M415" i="1"/>
  <c r="K415" i="1"/>
  <c r="J427" i="1"/>
  <c r="M434" i="1"/>
  <c r="J434" i="1"/>
  <c r="J438" i="1"/>
  <c r="K438" i="1"/>
  <c r="M481" i="1"/>
  <c r="J519" i="1"/>
  <c r="J527" i="1"/>
  <c r="M527" i="1"/>
  <c r="K527" i="1"/>
  <c r="J531" i="1"/>
  <c r="M531" i="1"/>
  <c r="K761" i="1"/>
  <c r="J761" i="1"/>
  <c r="M761" i="1"/>
  <c r="M7" i="1"/>
  <c r="M19" i="1"/>
  <c r="J26" i="1"/>
  <c r="K38" i="1"/>
  <c r="J43" i="1"/>
  <c r="J50" i="1"/>
  <c r="J55" i="1"/>
  <c r="J72" i="1"/>
  <c r="K95" i="1"/>
  <c r="J105" i="1"/>
  <c r="J133" i="1"/>
  <c r="J149" i="1"/>
  <c r="J169" i="1"/>
  <c r="M172" i="1"/>
  <c r="K172" i="1"/>
  <c r="J182" i="1"/>
  <c r="M190" i="1"/>
  <c r="M256" i="1"/>
  <c r="M270" i="1"/>
  <c r="J270" i="1"/>
  <c r="K272" i="1"/>
  <c r="J288" i="1"/>
  <c r="J316" i="1"/>
  <c r="J320" i="1"/>
  <c r="M320" i="1"/>
  <c r="K320" i="1"/>
  <c r="K361" i="1"/>
  <c r="K365" i="1"/>
  <c r="J373" i="1"/>
  <c r="K373" i="1"/>
  <c r="M373" i="1"/>
  <c r="M392" i="1"/>
  <c r="K392" i="1"/>
  <c r="K395" i="1"/>
  <c r="M420" i="1"/>
  <c r="M449" i="1"/>
  <c r="J465" i="1"/>
  <c r="M465" i="1"/>
  <c r="K465" i="1"/>
  <c r="M482" i="1"/>
  <c r="J489" i="1"/>
  <c r="M494" i="1"/>
  <c r="J494" i="1"/>
  <c r="K494" i="1"/>
  <c r="J501" i="1"/>
  <c r="K501" i="1"/>
  <c r="M501" i="1"/>
  <c r="K531" i="1"/>
  <c r="M541" i="1"/>
  <c r="J569" i="1"/>
  <c r="K569" i="1"/>
  <c r="J670" i="1"/>
  <c r="K719" i="1"/>
  <c r="J719" i="1"/>
  <c r="K731" i="1"/>
  <c r="J731" i="1"/>
  <c r="M731" i="1"/>
  <c r="K762" i="1"/>
  <c r="J762" i="1"/>
  <c r="M762" i="1"/>
  <c r="J769" i="1"/>
  <c r="M914" i="1"/>
  <c r="K914" i="1"/>
  <c r="J914" i="1"/>
  <c r="J10" i="1"/>
  <c r="J17" i="1"/>
  <c r="K43" i="1"/>
  <c r="K50" i="1"/>
  <c r="K55" i="1"/>
  <c r="M57" i="1"/>
  <c r="K72" i="1"/>
  <c r="J87" i="1"/>
  <c r="J92" i="1"/>
  <c r="K105" i="1"/>
  <c r="J108" i="1"/>
  <c r="J123" i="1"/>
  <c r="K136" i="1"/>
  <c r="M141" i="1"/>
  <c r="J154" i="1"/>
  <c r="K164" i="1"/>
  <c r="K169" i="1"/>
  <c r="K182" i="1"/>
  <c r="J187" i="1"/>
  <c r="M192" i="1"/>
  <c r="K233" i="1"/>
  <c r="M233" i="1"/>
  <c r="J233" i="1"/>
  <c r="K243" i="1"/>
  <c r="J243" i="1"/>
  <c r="K246" i="1"/>
  <c r="J246" i="1"/>
  <c r="M259" i="1"/>
  <c r="M272" i="1"/>
  <c r="M275" i="1"/>
  <c r="K279" i="1"/>
  <c r="J279" i="1"/>
  <c r="M279" i="1"/>
  <c r="K288" i="1"/>
  <c r="K311" i="1"/>
  <c r="M311" i="1"/>
  <c r="K316" i="1"/>
  <c r="J328" i="1"/>
  <c r="J334" i="1"/>
  <c r="M354" i="1"/>
  <c r="K362" i="1"/>
  <c r="M362" i="1"/>
  <c r="J385" i="1"/>
  <c r="K385" i="1"/>
  <c r="K427" i="1"/>
  <c r="K434" i="1"/>
  <c r="M438" i="1"/>
  <c r="J477" i="1"/>
  <c r="M477" i="1"/>
  <c r="K477" i="1"/>
  <c r="K516" i="1"/>
  <c r="K519" i="1"/>
  <c r="M524" i="1"/>
  <c r="J524" i="1"/>
  <c r="K542" i="1"/>
  <c r="J542" i="1"/>
  <c r="M542" i="1"/>
  <c r="K573" i="1"/>
  <c r="J573" i="1"/>
  <c r="M573" i="1"/>
  <c r="M836" i="1"/>
  <c r="K836" i="1"/>
  <c r="J836" i="1"/>
  <c r="M930" i="1"/>
  <c r="K930" i="1"/>
  <c r="J930" i="1"/>
  <c r="M944" i="1"/>
  <c r="K944" i="1"/>
  <c r="J944" i="1"/>
  <c r="J60" i="1"/>
  <c r="K131" i="1"/>
  <c r="M276" i="1"/>
  <c r="K276" i="1"/>
  <c r="K317" i="1"/>
  <c r="M317" i="1"/>
  <c r="J317" i="1"/>
  <c r="K321" i="1"/>
  <c r="J321" i="1"/>
  <c r="K325" i="1"/>
  <c r="M325" i="1"/>
  <c r="J355" i="1"/>
  <c r="J396" i="1"/>
  <c r="K396" i="1"/>
  <c r="M396" i="1"/>
  <c r="K502" i="1"/>
  <c r="M502" i="1"/>
  <c r="J502" i="1"/>
  <c r="M577" i="1"/>
  <c r="K577" i="1"/>
  <c r="J577" i="1"/>
  <c r="K622" i="1"/>
  <c r="J622" i="1"/>
  <c r="M622" i="1"/>
  <c r="K627" i="1"/>
  <c r="J627" i="1"/>
  <c r="M627" i="1"/>
  <c r="M632" i="1"/>
  <c r="J632" i="1"/>
  <c r="K632" i="1"/>
  <c r="K726" i="1"/>
  <c r="J726" i="1"/>
  <c r="M726" i="1"/>
  <c r="M732" i="1"/>
  <c r="K732" i="1"/>
  <c r="J732" i="1"/>
  <c r="K241" i="1"/>
  <c r="K268" i="1"/>
  <c r="M268" i="1"/>
  <c r="K309" i="1"/>
  <c r="J312" i="1"/>
  <c r="J435" i="1"/>
  <c r="M435" i="1"/>
  <c r="J439" i="1"/>
  <c r="J457" i="1"/>
  <c r="M457" i="1"/>
  <c r="K457" i="1"/>
  <c r="J469" i="1"/>
  <c r="J479" i="1"/>
  <c r="M490" i="1"/>
  <c r="K490" i="1"/>
  <c r="J490" i="1"/>
  <c r="J543" i="1"/>
  <c r="K691" i="1"/>
  <c r="J691" i="1"/>
  <c r="M698" i="1"/>
  <c r="M858" i="1"/>
  <c r="K858" i="1"/>
  <c r="J858" i="1"/>
  <c r="J177" i="1"/>
  <c r="K231" i="1"/>
  <c r="M231" i="1"/>
  <c r="J268" i="1"/>
  <c r="J309" i="1"/>
  <c r="K312" i="1"/>
  <c r="J393" i="1"/>
  <c r="M393" i="1"/>
  <c r="J403" i="1"/>
  <c r="M403" i="1"/>
  <c r="K418" i="1"/>
  <c r="J418" i="1"/>
  <c r="M418" i="1"/>
  <c r="K435" i="1"/>
  <c r="K439" i="1"/>
  <c r="K469" i="1"/>
  <c r="K543" i="1"/>
  <c r="K607" i="1"/>
  <c r="J607" i="1"/>
  <c r="M607" i="1"/>
  <c r="M615" i="1"/>
  <c r="K618" i="1"/>
  <c r="J618" i="1"/>
  <c r="M618" i="1"/>
  <c r="M691" i="1"/>
  <c r="M794" i="1"/>
  <c r="K794" i="1"/>
  <c r="J794" i="1"/>
  <c r="M798" i="1"/>
  <c r="M804" i="1"/>
  <c r="K804" i="1"/>
  <c r="J804" i="1"/>
  <c r="J521" i="1"/>
  <c r="M521" i="1"/>
  <c r="J547" i="1"/>
  <c r="M547" i="1"/>
  <c r="K547" i="1"/>
  <c r="M554" i="1"/>
  <c r="K554" i="1"/>
  <c r="M619" i="1"/>
  <c r="K619" i="1"/>
  <c r="J619" i="1"/>
  <c r="M654" i="1"/>
  <c r="J654" i="1"/>
  <c r="M692" i="1"/>
  <c r="K692" i="1"/>
  <c r="J692" i="1"/>
  <c r="J698" i="1"/>
  <c r="M704" i="1"/>
  <c r="K704" i="1"/>
  <c r="J704" i="1"/>
  <c r="K207" i="1"/>
  <c r="K221" i="1"/>
  <c r="M241" i="1"/>
  <c r="J244" i="1"/>
  <c r="K249" i="1"/>
  <c r="K263" i="1"/>
  <c r="J263" i="1"/>
  <c r="K293" i="1"/>
  <c r="M293" i="1"/>
  <c r="K335" i="1"/>
  <c r="J335" i="1"/>
  <c r="J353" i="1"/>
  <c r="M353" i="1"/>
  <c r="J357" i="1"/>
  <c r="K357" i="1"/>
  <c r="J383" i="1"/>
  <c r="J407" i="1"/>
  <c r="M462" i="1"/>
  <c r="M472" i="1"/>
  <c r="J511" i="1"/>
  <c r="K511" i="1"/>
  <c r="W13" i="2"/>
  <c r="X13" i="2" s="1"/>
  <c r="D22" i="2" s="1"/>
  <c r="D27" i="2" s="1"/>
  <c r="T13" i="2"/>
  <c r="J65" i="1"/>
  <c r="J106" i="1"/>
  <c r="J113" i="1"/>
  <c r="M127" i="1"/>
  <c r="J129" i="1"/>
  <c r="J161" i="1"/>
  <c r="K177" i="1"/>
  <c r="J216" i="1"/>
  <c r="K252" i="1"/>
  <c r="J260" i="1"/>
  <c r="K266" i="1"/>
  <c r="J266" i="1"/>
  <c r="M312" i="1"/>
  <c r="J347" i="1"/>
  <c r="K353" i="1"/>
  <c r="J367" i="1"/>
  <c r="K403" i="1"/>
  <c r="K422" i="1"/>
  <c r="M440" i="1"/>
  <c r="K440" i="1"/>
  <c r="J447" i="1"/>
  <c r="K447" i="1"/>
  <c r="M469" i="1"/>
  <c r="K521" i="1"/>
  <c r="J529" i="1"/>
  <c r="M529" i="1"/>
  <c r="M543" i="1"/>
  <c r="J564" i="1"/>
  <c r="K564" i="1"/>
  <c r="M564" i="1"/>
  <c r="J615" i="1"/>
  <c r="K661" i="1"/>
  <c r="J661" i="1"/>
  <c r="M661" i="1"/>
  <c r="K698" i="1"/>
  <c r="K741" i="1"/>
  <c r="M741" i="1"/>
  <c r="J798" i="1"/>
  <c r="M896" i="1"/>
  <c r="K896" i="1"/>
  <c r="J896" i="1"/>
  <c r="K390" i="1"/>
  <c r="M390" i="1"/>
  <c r="J429" i="1"/>
  <c r="J455" i="1"/>
  <c r="M455" i="1"/>
  <c r="K455" i="1"/>
  <c r="J459" i="1"/>
  <c r="J472" i="1"/>
  <c r="J499" i="1"/>
  <c r="J507" i="1"/>
  <c r="M507" i="1"/>
  <c r="K507" i="1"/>
  <c r="M514" i="1"/>
  <c r="J514" i="1"/>
  <c r="K514" i="1"/>
  <c r="M522" i="1"/>
  <c r="K522" i="1"/>
  <c r="J522" i="1"/>
  <c r="K544" i="1"/>
  <c r="M544" i="1"/>
  <c r="J554" i="1"/>
  <c r="M598" i="1"/>
  <c r="K598" i="1"/>
  <c r="J598" i="1"/>
  <c r="J638" i="1"/>
  <c r="K638" i="1"/>
  <c r="K255" i="1"/>
  <c r="M255" i="1"/>
  <c r="K282" i="1"/>
  <c r="K298" i="1"/>
  <c r="K303" i="1"/>
  <c r="K324" i="1"/>
  <c r="K338" i="1"/>
  <c r="M341" i="1"/>
  <c r="M346" i="1"/>
  <c r="J363" i="1"/>
  <c r="K366" i="1"/>
  <c r="M388" i="1"/>
  <c r="K412" i="1"/>
  <c r="K454" i="1"/>
  <c r="K464" i="1"/>
  <c r="M492" i="1"/>
  <c r="K492" i="1"/>
  <c r="M532" i="1"/>
  <c r="K532" i="1"/>
  <c r="J532" i="1"/>
  <c r="J539" i="1"/>
  <c r="M539" i="1"/>
  <c r="K568" i="1"/>
  <c r="J568" i="1"/>
  <c r="M568" i="1"/>
  <c r="K652" i="1"/>
  <c r="M652" i="1"/>
  <c r="J652" i="1"/>
  <c r="K689" i="1"/>
  <c r="M689" i="1"/>
  <c r="J689" i="1"/>
  <c r="K307" i="1"/>
  <c r="J307" i="1"/>
  <c r="J351" i="1"/>
  <c r="M351" i="1"/>
  <c r="J405" i="1"/>
  <c r="M430" i="1"/>
  <c r="J433" i="1"/>
  <c r="K433" i="1"/>
  <c r="M433" i="1"/>
  <c r="M450" i="1"/>
  <c r="K450" i="1"/>
  <c r="J450" i="1"/>
  <c r="K460" i="1"/>
  <c r="M460" i="1"/>
  <c r="J460" i="1"/>
  <c r="J467" i="1"/>
  <c r="K480" i="1"/>
  <c r="J480" i="1"/>
  <c r="M480" i="1"/>
  <c r="J487" i="1"/>
  <c r="M487" i="1"/>
  <c r="J517" i="1"/>
  <c r="M517" i="1"/>
  <c r="K517" i="1"/>
  <c r="M579" i="1"/>
  <c r="K579" i="1"/>
  <c r="K583" i="1"/>
  <c r="J583" i="1"/>
  <c r="M583" i="1"/>
  <c r="M595" i="1"/>
  <c r="M613" i="1"/>
  <c r="K613" i="1"/>
  <c r="M647" i="1"/>
  <c r="K655" i="1"/>
  <c r="J655" i="1"/>
  <c r="M655" i="1"/>
  <c r="K677" i="1"/>
  <c r="M677" i="1"/>
  <c r="J677" i="1"/>
  <c r="M720" i="1"/>
  <c r="K720" i="1"/>
  <c r="J720" i="1"/>
  <c r="M774" i="1"/>
  <c r="M844" i="1"/>
  <c r="K844" i="1"/>
  <c r="J844" i="1"/>
  <c r="M848" i="1"/>
  <c r="J848" i="1"/>
  <c r="K848" i="1"/>
  <c r="K747" i="1"/>
  <c r="J747" i="1"/>
  <c r="M747" i="1"/>
  <c r="M826" i="1"/>
  <c r="M860" i="1"/>
  <c r="K860" i="1"/>
  <c r="J860" i="1"/>
  <c r="K584" i="1"/>
  <c r="J584" i="1"/>
  <c r="M584" i="1"/>
  <c r="M656" i="1"/>
  <c r="K656" i="1"/>
  <c r="J656" i="1"/>
  <c r="K709" i="1"/>
  <c r="M709" i="1"/>
  <c r="J291" i="1"/>
  <c r="J298" i="1"/>
  <c r="K343" i="1"/>
  <c r="J377" i="1"/>
  <c r="J397" i="1"/>
  <c r="J419" i="1"/>
  <c r="J425" i="1"/>
  <c r="K430" i="1"/>
  <c r="M467" i="1"/>
  <c r="J579" i="1"/>
  <c r="K588" i="1"/>
  <c r="J588" i="1"/>
  <c r="K595" i="1"/>
  <c r="J605" i="1"/>
  <c r="M610" i="1"/>
  <c r="M625" i="1"/>
  <c r="K647" i="1"/>
  <c r="K737" i="1"/>
  <c r="K740" i="1"/>
  <c r="J740" i="1"/>
  <c r="M744" i="1"/>
  <c r="K744" i="1"/>
  <c r="J826" i="1"/>
  <c r="J359" i="1"/>
  <c r="J369" i="1"/>
  <c r="J389" i="1"/>
  <c r="J399" i="1"/>
  <c r="J406" i="1"/>
  <c r="J416" i="1"/>
  <c r="J426" i="1"/>
  <c r="K448" i="1"/>
  <c r="J451" i="1"/>
  <c r="K458" i="1"/>
  <c r="J461" i="1"/>
  <c r="K468" i="1"/>
  <c r="J478" i="1"/>
  <c r="J513" i="1"/>
  <c r="K520" i="1"/>
  <c r="J523" i="1"/>
  <c r="J530" i="1"/>
  <c r="J533" i="1"/>
  <c r="K602" i="1"/>
  <c r="J617" i="1"/>
  <c r="J634" i="1"/>
  <c r="J672" i="1"/>
  <c r="M676" i="1"/>
  <c r="K676" i="1"/>
  <c r="J686" i="1"/>
  <c r="K686" i="1"/>
  <c r="M686" i="1"/>
  <c r="J700" i="1"/>
  <c r="M784" i="1"/>
  <c r="M838" i="1"/>
  <c r="M880" i="1"/>
  <c r="K880" i="1"/>
  <c r="M888" i="1"/>
  <c r="J888" i="1"/>
  <c r="K888" i="1"/>
  <c r="J485" i="1"/>
  <c r="J495" i="1"/>
  <c r="J505" i="1"/>
  <c r="K571" i="1"/>
  <c r="J571" i="1"/>
  <c r="K586" i="1"/>
  <c r="J586" i="1"/>
  <c r="K589" i="1"/>
  <c r="J589" i="1"/>
  <c r="J620" i="1"/>
  <c r="M620" i="1"/>
  <c r="K624" i="1"/>
  <c r="M640" i="1"/>
  <c r="K640" i="1"/>
  <c r="K707" i="1"/>
  <c r="M707" i="1"/>
  <c r="M728" i="1"/>
  <c r="J728" i="1"/>
  <c r="M796" i="1"/>
  <c r="J796" i="1"/>
  <c r="J443" i="1"/>
  <c r="J453" i="1"/>
  <c r="J463" i="1"/>
  <c r="J515" i="1"/>
  <c r="J525" i="1"/>
  <c r="M608" i="1"/>
  <c r="K608" i="1"/>
  <c r="M662" i="1"/>
  <c r="K662" i="1"/>
  <c r="K717" i="1"/>
  <c r="J717" i="1"/>
  <c r="M779" i="1"/>
  <c r="K779" i="1"/>
  <c r="J779" i="1"/>
  <c r="M868" i="1"/>
  <c r="J401" i="1"/>
  <c r="J411" i="1"/>
  <c r="J421" i="1"/>
  <c r="J473" i="1"/>
  <c r="J483" i="1"/>
  <c r="K485" i="1"/>
  <c r="K495" i="1"/>
  <c r="J500" i="1"/>
  <c r="K505" i="1"/>
  <c r="J535" i="1"/>
  <c r="J545" i="1"/>
  <c r="M571" i="1"/>
  <c r="M589" i="1"/>
  <c r="M593" i="1"/>
  <c r="K596" i="1"/>
  <c r="M596" i="1"/>
  <c r="J596" i="1"/>
  <c r="K620" i="1"/>
  <c r="K646" i="1"/>
  <c r="J649" i="1"/>
  <c r="K675" i="1"/>
  <c r="J675" i="1"/>
  <c r="M675" i="1"/>
  <c r="M717" i="1"/>
  <c r="J746" i="1"/>
  <c r="J760" i="1"/>
  <c r="K760" i="1"/>
  <c r="M772" i="1"/>
  <c r="K775" i="1"/>
  <c r="J775" i="1"/>
  <c r="M775" i="1"/>
  <c r="J880" i="1"/>
  <c r="J379" i="1"/>
  <c r="J431" i="1"/>
  <c r="J441" i="1"/>
  <c r="K443" i="1"/>
  <c r="J448" i="1"/>
  <c r="K453" i="1"/>
  <c r="J458" i="1"/>
  <c r="K463" i="1"/>
  <c r="J493" i="1"/>
  <c r="M495" i="1"/>
  <c r="K500" i="1"/>
  <c r="J503" i="1"/>
  <c r="K515" i="1"/>
  <c r="K525" i="1"/>
  <c r="K535" i="1"/>
  <c r="K572" i="1"/>
  <c r="M572" i="1"/>
  <c r="M575" i="1"/>
  <c r="K575" i="1"/>
  <c r="K590" i="1"/>
  <c r="J590" i="1"/>
  <c r="J602" i="1"/>
  <c r="J624" i="1"/>
  <c r="K637" i="1"/>
  <c r="J640" i="1"/>
  <c r="K649" i="1"/>
  <c r="K679" i="1"/>
  <c r="M679" i="1"/>
  <c r="J679" i="1"/>
  <c r="J707" i="1"/>
  <c r="K713" i="1"/>
  <c r="M713" i="1"/>
  <c r="J713" i="1"/>
  <c r="K728" i="1"/>
  <c r="K746" i="1"/>
  <c r="K753" i="1"/>
  <c r="J753" i="1"/>
  <c r="K776" i="1"/>
  <c r="J776" i="1"/>
  <c r="M776" i="1"/>
  <c r="K796" i="1"/>
  <c r="J868" i="1"/>
  <c r="M639" i="1"/>
  <c r="K673" i="1"/>
  <c r="J673" i="1"/>
  <c r="K683" i="1"/>
  <c r="J683" i="1"/>
  <c r="M683" i="1"/>
  <c r="K718" i="1"/>
  <c r="J718" i="1"/>
  <c r="M718" i="1"/>
  <c r="M782" i="1"/>
  <c r="K782" i="1"/>
  <c r="J782" i="1"/>
  <c r="M850" i="1"/>
  <c r="K850" i="1"/>
  <c r="M882" i="1"/>
  <c r="M928" i="1"/>
  <c r="K928" i="1"/>
  <c r="J928" i="1"/>
  <c r="M818" i="1"/>
  <c r="K818" i="1"/>
  <c r="J818" i="1"/>
  <c r="M824" i="1"/>
  <c r="K824" i="1"/>
  <c r="J824" i="1"/>
  <c r="M878" i="1"/>
  <c r="J878" i="1"/>
  <c r="K878" i="1"/>
  <c r="M904" i="1"/>
  <c r="K904" i="1"/>
  <c r="M846" i="1"/>
  <c r="K846" i="1"/>
  <c r="J846" i="1"/>
  <c r="M756" i="1"/>
  <c r="K756" i="1"/>
  <c r="J756" i="1"/>
  <c r="K763" i="1"/>
  <c r="M763" i="1"/>
  <c r="J763" i="1"/>
  <c r="M802" i="1"/>
  <c r="K802" i="1"/>
  <c r="J802" i="1"/>
  <c r="M830" i="1"/>
  <c r="K830" i="1"/>
  <c r="J830" i="1"/>
  <c r="M840" i="1"/>
  <c r="K840" i="1"/>
  <c r="M890" i="1"/>
  <c r="K890" i="1"/>
  <c r="J890" i="1"/>
  <c r="J904" i="1"/>
  <c r="J549" i="1"/>
  <c r="J551" i="1"/>
  <c r="J553" i="1"/>
  <c r="J555" i="1"/>
  <c r="J557" i="1"/>
  <c r="J559" i="1"/>
  <c r="J561" i="1"/>
  <c r="J563" i="1"/>
  <c r="J565" i="1"/>
  <c r="J567" i="1"/>
  <c r="J587" i="1"/>
  <c r="K592" i="1"/>
  <c r="J592" i="1"/>
  <c r="K599" i="1"/>
  <c r="K609" i="1"/>
  <c r="J621" i="1"/>
  <c r="M641" i="1"/>
  <c r="J643" i="1"/>
  <c r="J653" i="1"/>
  <c r="J660" i="1"/>
  <c r="M663" i="1"/>
  <c r="M724" i="1"/>
  <c r="K724" i="1"/>
  <c r="J730" i="1"/>
  <c r="K755" i="1"/>
  <c r="M822" i="1"/>
  <c r="J822" i="1"/>
  <c r="K822" i="1"/>
  <c r="M834" i="1"/>
  <c r="K834" i="1"/>
  <c r="J834" i="1"/>
  <c r="M876" i="1"/>
  <c r="K876" i="1"/>
  <c r="M898" i="1"/>
  <c r="K898" i="1"/>
  <c r="J898" i="1"/>
  <c r="M900" i="1"/>
  <c r="K900" i="1"/>
  <c r="M611" i="1"/>
  <c r="J702" i="1"/>
  <c r="K754" i="1"/>
  <c r="J754" i="1"/>
  <c r="M770" i="1"/>
  <c r="K770" i="1"/>
  <c r="M866" i="1"/>
  <c r="K866" i="1"/>
  <c r="J866" i="1"/>
  <c r="M922" i="1"/>
  <c r="J922" i="1"/>
  <c r="K580" i="1"/>
  <c r="J580" i="1"/>
  <c r="K594" i="1"/>
  <c r="J594" i="1"/>
  <c r="M626" i="1"/>
  <c r="J633" i="1"/>
  <c r="J668" i="1"/>
  <c r="K671" i="1"/>
  <c r="J671" i="1"/>
  <c r="M696" i="1"/>
  <c r="K696" i="1"/>
  <c r="J696" i="1"/>
  <c r="K729" i="1"/>
  <c r="J729" i="1"/>
  <c r="M912" i="1"/>
  <c r="K912" i="1"/>
  <c r="K922" i="1"/>
  <c r="J599" i="1"/>
  <c r="J611" i="1"/>
  <c r="K633" i="1"/>
  <c r="J648" i="1"/>
  <c r="K681" i="1"/>
  <c r="M681" i="1"/>
  <c r="K687" i="1"/>
  <c r="M687" i="1"/>
  <c r="K690" i="1"/>
  <c r="J690" i="1"/>
  <c r="M690" i="1"/>
  <c r="K702" i="1"/>
  <c r="J714" i="1"/>
  <c r="K714" i="1"/>
  <c r="M729" i="1"/>
  <c r="K751" i="1"/>
  <c r="M754" i="1"/>
  <c r="K767" i="1"/>
  <c r="M872" i="1"/>
  <c r="J872" i="1"/>
  <c r="K872" i="1"/>
  <c r="J900" i="1"/>
  <c r="K705" i="1"/>
  <c r="M705" i="1"/>
  <c r="J705" i="1"/>
  <c r="K716" i="1"/>
  <c r="J716" i="1"/>
  <c r="M722" i="1"/>
  <c r="K733" i="1"/>
  <c r="M733" i="1"/>
  <c r="J733" i="1"/>
  <c r="M742" i="1"/>
  <c r="K742" i="1"/>
  <c r="K765" i="1"/>
  <c r="K768" i="1"/>
  <c r="J768" i="1"/>
  <c r="K777" i="1"/>
  <c r="M777" i="1"/>
  <c r="J780" i="1"/>
  <c r="K780" i="1"/>
  <c r="M792" i="1"/>
  <c r="K792" i="1"/>
  <c r="J792" i="1"/>
  <c r="M910" i="1"/>
  <c r="K910" i="1"/>
  <c r="M926" i="1"/>
  <c r="K926" i="1"/>
  <c r="J926" i="1"/>
  <c r="K688" i="1"/>
  <c r="J688" i="1"/>
  <c r="M694" i="1"/>
  <c r="K739" i="1"/>
  <c r="M816" i="1"/>
  <c r="M946" i="1"/>
  <c r="J684" i="1"/>
  <c r="J699" i="1"/>
  <c r="J712" i="1"/>
  <c r="J727" i="1"/>
  <c r="J738" i="1"/>
  <c r="K743" i="1"/>
  <c r="J752" i="1"/>
  <c r="K757" i="1"/>
  <c r="J766" i="1"/>
  <c r="K771" i="1"/>
  <c r="M892" i="1"/>
  <c r="K892" i="1"/>
  <c r="M924" i="1"/>
  <c r="K924" i="1"/>
  <c r="J924" i="1"/>
  <c r="M940" i="1"/>
  <c r="M790" i="1"/>
  <c r="K790" i="1"/>
  <c r="M812" i="1"/>
  <c r="M832" i="1"/>
  <c r="K832" i="1"/>
  <c r="M854" i="1"/>
  <c r="M874" i="1"/>
  <c r="K874" i="1"/>
  <c r="M886" i="1"/>
  <c r="K886" i="1"/>
  <c r="M894" i="1"/>
  <c r="M918" i="1"/>
  <c r="M936" i="1"/>
  <c r="J936" i="1"/>
  <c r="K745" i="1"/>
  <c r="K759" i="1"/>
  <c r="K773" i="1"/>
  <c r="J886" i="1"/>
  <c r="M908" i="1"/>
  <c r="J908" i="1"/>
  <c r="K936" i="1"/>
  <c r="J812" i="1"/>
  <c r="J854" i="1"/>
  <c r="J918" i="1"/>
  <c r="J786" i="1"/>
  <c r="J800" i="1"/>
  <c r="J814" i="1"/>
  <c r="J842" i="1"/>
  <c r="Q62" i="1" l="1"/>
  <c r="Q55" i="1"/>
  <c r="Q95" i="1"/>
  <c r="Q88" i="1"/>
  <c r="Q102" i="1"/>
  <c r="Q109" i="1"/>
  <c r="Q33" i="1"/>
  <c r="Q40" i="1"/>
  <c r="Q47" i="1"/>
  <c r="Q54" i="1"/>
  <c r="AB13" i="2"/>
  <c r="H3" i="2" l="1"/>
  <c r="L11" i="3"/>
  <c r="L16" i="3" s="1"/>
  <c r="I3" i="4"/>
  <c r="AC13" i="2"/>
  <c r="I6" i="4" l="1"/>
  <c r="I18" i="4" s="1"/>
  <c r="I20" i="4" l="1"/>
  <c r="I21" i="4" s="1"/>
  <c r="I24" i="4" l="1"/>
  <c r="I25" i="4" s="1"/>
  <c r="I27" i="4" s="1"/>
  <c r="I30" i="4" s="1"/>
  <c r="I33" i="4" l="1"/>
  <c r="I35" i="4" s="1"/>
  <c r="I36" i="4" s="1"/>
  <c r="I38" i="4" s="1"/>
  <c r="I39" i="4" s="1"/>
  <c r="I44" i="4" l="1"/>
  <c r="I2" i="3" l="1"/>
  <c r="Q11" i="3" l="1"/>
  <c r="Q10" i="3" s="1"/>
  <c r="I11" i="3"/>
  <c r="I15" i="3"/>
  <c r="I5" i="3" s="1"/>
  <c r="I13" i="3"/>
  <c r="I12" i="3"/>
  <c r="I1" i="3" s="1"/>
  <c r="I10" i="3"/>
  <c r="I3" i="3" s="1"/>
  <c r="I9" i="3"/>
  <c r="I4" i="3" s="1"/>
  <c r="I14" i="3"/>
  <c r="Q9" i="3" l="1"/>
  <c r="Q12" i="3"/>
  <c r="Q13" i="3"/>
  <c r="N14" i="3"/>
  <c r="R14" i="3"/>
  <c r="S14" i="3" s="1"/>
  <c r="C25" i="2"/>
  <c r="N9" i="3"/>
  <c r="C20" i="2"/>
  <c r="R9" i="3"/>
  <c r="I16" i="3"/>
  <c r="K17" i="3" s="1"/>
  <c r="R12" i="3"/>
  <c r="S12" i="3" s="1"/>
  <c r="C23" i="2"/>
  <c r="N12" i="3"/>
  <c r="N10" i="3"/>
  <c r="R10" i="3"/>
  <c r="S10" i="3" s="1"/>
  <c r="C21" i="2"/>
  <c r="C24" i="2"/>
  <c r="R13" i="3"/>
  <c r="N13" i="3"/>
  <c r="C22" i="2"/>
  <c r="N11" i="3"/>
  <c r="R11" i="3"/>
  <c r="S11" i="3" s="1"/>
  <c r="N15" i="3"/>
  <c r="C26" i="2"/>
  <c r="R15" i="3"/>
  <c r="S15" i="3" s="1"/>
  <c r="S13" i="3" l="1"/>
  <c r="S9" i="3"/>
  <c r="O9" i="3"/>
  <c r="P9" i="3"/>
  <c r="O25" i="3"/>
  <c r="U9" i="3"/>
  <c r="N16" i="3"/>
  <c r="L25" i="3"/>
  <c r="O13" i="3"/>
  <c r="N29" i="3" s="1"/>
  <c r="P13" i="3"/>
  <c r="L29" i="3"/>
  <c r="L26" i="3"/>
  <c r="O10" i="3"/>
  <c r="N26" i="3" s="1"/>
  <c r="P10" i="3"/>
  <c r="P12" i="3"/>
  <c r="O12" i="3"/>
  <c r="N28" i="3" s="1"/>
  <c r="L28" i="3"/>
  <c r="C27" i="2"/>
  <c r="E3" i="2" s="1"/>
  <c r="L27" i="3"/>
  <c r="O11" i="3"/>
  <c r="N27" i="3" s="1"/>
  <c r="P11" i="3"/>
  <c r="O27" i="3"/>
  <c r="U11" i="3"/>
  <c r="O15" i="3"/>
  <c r="N31" i="3" s="1"/>
  <c r="P15" i="3"/>
  <c r="L31" i="3"/>
  <c r="P14" i="3"/>
  <c r="O14" i="3"/>
  <c r="N30" i="3" s="1"/>
  <c r="L30" i="3"/>
  <c r="O31" i="3" l="1"/>
  <c r="U10" i="3"/>
  <c r="U15" i="3"/>
  <c r="O26" i="3"/>
  <c r="O29" i="3"/>
  <c r="U14" i="3"/>
  <c r="U13" i="3"/>
  <c r="O30" i="3"/>
  <c r="T13" i="3"/>
  <c r="K29" i="3"/>
  <c r="T11" i="3"/>
  <c r="K27" i="3"/>
  <c r="K26" i="3"/>
  <c r="T10" i="3"/>
  <c r="T15" i="3"/>
  <c r="K31" i="3"/>
  <c r="U12" i="3"/>
  <c r="T9" i="3"/>
  <c r="K25" i="3"/>
  <c r="O28" i="3"/>
  <c r="T14" i="3"/>
  <c r="K30" i="3"/>
  <c r="T12" i="3"/>
  <c r="K28" i="3"/>
  <c r="N25" i="3"/>
  <c r="H29" i="3" s="1"/>
  <c r="O16" i="3"/>
  <c r="H30" i="3" l="1"/>
  <c r="H31" i="3"/>
  <c r="H28" i="3"/>
  <c r="H25" i="3"/>
  <c r="H26" i="3"/>
  <c r="H2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<sst xmlns="http://schemas.openxmlformats.org/spreadsheetml/2006/main" count="1843" uniqueCount="279">
  <si>
    <t xml:space="preserve">Name </t>
  </si>
  <si>
    <t>Present</t>
  </si>
  <si>
    <t>Today's Task</t>
  </si>
  <si>
    <t>Skills</t>
  </si>
  <si>
    <t xml:space="preserve">Classification </t>
  </si>
  <si>
    <t>Yes</t>
  </si>
  <si>
    <t>Day of the Week</t>
  </si>
  <si>
    <t>Friday</t>
  </si>
  <si>
    <t xml:space="preserve">Monday </t>
  </si>
  <si>
    <t>1st</t>
  </si>
  <si>
    <t xml:space="preserve">Picking </t>
  </si>
  <si>
    <t xml:space="preserve">Below Average </t>
  </si>
  <si>
    <t>No</t>
  </si>
  <si>
    <t>Shift</t>
  </si>
  <si>
    <t>Tuesday</t>
  </si>
  <si>
    <t>2nd</t>
  </si>
  <si>
    <t>Anthony L</t>
  </si>
  <si>
    <t>Full Pallet Puller</t>
  </si>
  <si>
    <t>Unloading</t>
  </si>
  <si>
    <t xml:space="preserve">Average </t>
  </si>
  <si>
    <t>Total Cases</t>
  </si>
  <si>
    <t>Wednesday</t>
  </si>
  <si>
    <t xml:space="preserve">Brett W. </t>
  </si>
  <si>
    <t>Receiving</t>
  </si>
  <si>
    <t xml:space="preserve">Above Average </t>
  </si>
  <si>
    <t>Cases to Pick</t>
  </si>
  <si>
    <t>Thursday</t>
  </si>
  <si>
    <t>Brian B.</t>
  </si>
  <si>
    <t>Loading</t>
  </si>
  <si>
    <t>Total Outbound Loads</t>
  </si>
  <si>
    <t>Saturday</t>
  </si>
  <si>
    <t>Sunday</t>
  </si>
  <si>
    <t>Replenishment</t>
  </si>
  <si>
    <t>Task</t>
  </si>
  <si>
    <t xml:space="preserve">Available Staff </t>
  </si>
  <si>
    <t>Column1</t>
  </si>
  <si>
    <t>Inbound/Outbound</t>
  </si>
  <si>
    <t xml:space="preserve">Needed </t>
  </si>
  <si>
    <t>Workers Gap</t>
  </si>
  <si>
    <t>Hours Gap</t>
  </si>
  <si>
    <t>Status</t>
  </si>
  <si>
    <t>Expected Volume</t>
  </si>
  <si>
    <t>Expected Completed Cases</t>
  </si>
  <si>
    <t xml:space="preserve">Completion % </t>
  </si>
  <si>
    <t>Priority</t>
  </si>
  <si>
    <t xml:space="preserve">Recommendation </t>
  </si>
  <si>
    <t>Dale Ferguson</t>
  </si>
  <si>
    <t>Unloaders</t>
  </si>
  <si>
    <t>Inbound</t>
  </si>
  <si>
    <t xml:space="preserve">Dale Hrenchir </t>
  </si>
  <si>
    <t>Receivers</t>
  </si>
  <si>
    <t>Daniel V.</t>
  </si>
  <si>
    <t>Putaway</t>
  </si>
  <si>
    <t>Daryl M</t>
  </si>
  <si>
    <t>Outbound</t>
  </si>
  <si>
    <t>Dashawn B.</t>
  </si>
  <si>
    <t>Dwayne A.</t>
  </si>
  <si>
    <t>Full Pallet Pullers</t>
  </si>
  <si>
    <t>Loaders</t>
  </si>
  <si>
    <t xml:space="preserve">Total </t>
  </si>
  <si>
    <t>Henry</t>
  </si>
  <si>
    <t>Isiah S.</t>
  </si>
  <si>
    <t>Staff Allocation Summary</t>
  </si>
  <si>
    <t xml:space="preserve">Priority </t>
  </si>
  <si>
    <t>Worker Gap</t>
  </si>
  <si>
    <t>Action</t>
  </si>
  <si>
    <t>Jeremiah A.</t>
  </si>
  <si>
    <t>Oscar A</t>
  </si>
  <si>
    <t>Picking</t>
  </si>
  <si>
    <t xml:space="preserve">Oscar B. </t>
  </si>
  <si>
    <t>Oscar Lopez</t>
  </si>
  <si>
    <t>Pablo H.</t>
  </si>
  <si>
    <t>Paul Jr</t>
  </si>
  <si>
    <t>Sajaveion W.</t>
  </si>
  <si>
    <t>Tyrell R.</t>
  </si>
  <si>
    <t>Day</t>
  </si>
  <si>
    <t>HOURS AVAILABLE</t>
  </si>
  <si>
    <t>HOURS NEEDED</t>
  </si>
  <si>
    <t>Total Cases to Pick</t>
  </si>
  <si>
    <t>Total Pallets to Pull</t>
  </si>
  <si>
    <t>Total Replenishments</t>
  </si>
  <si>
    <t>Total Outbounds</t>
  </si>
  <si>
    <t>Crossroads Running</t>
  </si>
  <si>
    <t>YES</t>
  </si>
  <si>
    <t xml:space="preserve">OUTBOUND STAFFING </t>
  </si>
  <si>
    <t>INBOUND STAFFING NEEDS</t>
  </si>
  <si>
    <t>Deer Creek Running</t>
  </si>
  <si>
    <t>MSB Running</t>
  </si>
  <si>
    <t># Drivers Needed</t>
  </si>
  <si>
    <t># Pickers Needed</t>
  </si>
  <si>
    <t>Pallets to Replenish</t>
  </si>
  <si>
    <t># Replen Needed</t>
  </si>
  <si>
    <t>Trailers to Load</t>
  </si>
  <si>
    <t># Loaders Needed</t>
  </si>
  <si>
    <t>Total Pallets to Unload</t>
  </si>
  <si>
    <t># Unloaders Needed</t>
  </si>
  <si>
    <t>Total Pallets to Putaway</t>
  </si>
  <si>
    <t># Putaways Needed</t>
  </si>
  <si>
    <t>Cases Picked Per Hr</t>
  </si>
  <si>
    <t>Pallets Pulled Per Hr</t>
  </si>
  <si>
    <t>Pallets Unloaded Per Hr</t>
  </si>
  <si>
    <t>Pallet Putaway Per Hr</t>
  </si>
  <si>
    <t>Loads Per Hour</t>
  </si>
  <si>
    <t>Positions</t>
  </si>
  <si>
    <t>Available</t>
  </si>
  <si>
    <t>Case Pickers</t>
  </si>
  <si>
    <t>TOTALS</t>
  </si>
  <si>
    <t xml:space="preserve">Skills </t>
  </si>
  <si>
    <t>Forklift Certified</t>
  </si>
  <si>
    <t>Best Fit</t>
  </si>
  <si>
    <t>Classification</t>
  </si>
  <si>
    <t>Individual Percentages</t>
  </si>
  <si>
    <t>Total Percentages</t>
  </si>
  <si>
    <t>Date</t>
  </si>
  <si>
    <t>1st Pallets</t>
  </si>
  <si>
    <t>1st Cases</t>
  </si>
  <si>
    <t>2nd Pallets</t>
  </si>
  <si>
    <t>2nd Cases</t>
  </si>
  <si>
    <t>Pallets 1st</t>
  </si>
  <si>
    <t>Pallets 2nd</t>
  </si>
  <si>
    <t>Cases 1st</t>
  </si>
  <si>
    <t>Cases 2nd</t>
  </si>
  <si>
    <t>Total Pallets</t>
  </si>
  <si>
    <t>Total Case Pick</t>
  </si>
  <si>
    <t>Row Labels</t>
  </si>
  <si>
    <t>Average of Pallets 1st</t>
  </si>
  <si>
    <t>Average of Cases 1st</t>
  </si>
  <si>
    <t>Average of Pallets 2nd</t>
  </si>
  <si>
    <t>Average of Cases 2nd</t>
  </si>
  <si>
    <t>Monday</t>
  </si>
  <si>
    <t>Grand Total</t>
  </si>
  <si>
    <t>MFG</t>
  </si>
  <si>
    <t>NO</t>
  </si>
  <si>
    <t>Trailers</t>
  </si>
  <si>
    <t>Pallets per Load</t>
  </si>
  <si>
    <t>Crossroads</t>
  </si>
  <si>
    <t>Deer Creek</t>
  </si>
  <si>
    <t>MSB</t>
  </si>
  <si>
    <t>New Full Pallets Demand</t>
  </si>
  <si>
    <t>Mon</t>
  </si>
  <si>
    <t>Tues</t>
  </si>
  <si>
    <t xml:space="preserve">1st Shift = 9.5h </t>
  </si>
  <si>
    <t xml:space="preserve">Robert R. </t>
  </si>
  <si>
    <t>Reggie</t>
  </si>
  <si>
    <t>Anthony T</t>
  </si>
  <si>
    <t>Michael O.</t>
  </si>
  <si>
    <t>James M.</t>
  </si>
  <si>
    <t>James U.</t>
  </si>
  <si>
    <t xml:space="preserve">Standard </t>
  </si>
  <si>
    <t xml:space="preserve">Pulls x hour </t>
  </si>
  <si>
    <t xml:space="preserve">Picks x hour </t>
  </si>
  <si>
    <t xml:space="preserve">Loads x hour </t>
  </si>
  <si>
    <t xml:space="preserve">Pallets Unloaded x hour </t>
  </si>
  <si>
    <t>Value</t>
  </si>
  <si>
    <t xml:space="preserve">Receiving </t>
  </si>
  <si>
    <t xml:space="preserve">Unloading </t>
  </si>
  <si>
    <t xml:space="preserve">Replenishments </t>
  </si>
  <si>
    <t>Pallet Pulls</t>
  </si>
  <si>
    <t xml:space="preserve">Shift </t>
  </si>
  <si>
    <t>Weekday/Weekend</t>
  </si>
  <si>
    <t xml:space="preserve">Weekday </t>
  </si>
  <si>
    <t xml:space="preserve">Weekend </t>
  </si>
  <si>
    <t xml:space="preserve">1st </t>
  </si>
  <si>
    <t>Nick R.</t>
  </si>
  <si>
    <t>P</t>
  </si>
  <si>
    <t>T</t>
  </si>
  <si>
    <t>Recommended Task</t>
  </si>
  <si>
    <t xml:space="preserve">Picking Score </t>
  </si>
  <si>
    <t xml:space="preserve">Tasker Score </t>
  </si>
  <si>
    <t xml:space="preserve">Loader Score </t>
  </si>
  <si>
    <t xml:space="preserve">2nd Shift = 11h </t>
  </si>
  <si>
    <t>Douglas W.</t>
  </si>
  <si>
    <t>Everardo G.</t>
  </si>
  <si>
    <t>Felipe P.</t>
  </si>
  <si>
    <t>Joe M.</t>
  </si>
  <si>
    <t xml:space="preserve">Jose R. </t>
  </si>
  <si>
    <t>Ruben A.</t>
  </si>
  <si>
    <t xml:space="preserve">Russell G. </t>
  </si>
  <si>
    <t>Shane N.</t>
  </si>
  <si>
    <t>Von N.</t>
  </si>
  <si>
    <t>Francisco N.</t>
  </si>
  <si>
    <t>Marcus J.</t>
  </si>
  <si>
    <t xml:space="preserve">P </t>
  </si>
  <si>
    <t>Jose G.</t>
  </si>
  <si>
    <t xml:space="preserve">Loading </t>
  </si>
  <si>
    <t>L</t>
  </si>
  <si>
    <t>R</t>
  </si>
  <si>
    <t>U</t>
  </si>
  <si>
    <t>Ariel</t>
  </si>
  <si>
    <t>P/T</t>
  </si>
  <si>
    <t>Antonio D.</t>
  </si>
  <si>
    <t>P/T/L</t>
  </si>
  <si>
    <t>T/R</t>
  </si>
  <si>
    <t>T/L</t>
  </si>
  <si>
    <t>P/T/R/L</t>
  </si>
  <si>
    <t>T/R/L</t>
  </si>
  <si>
    <t xml:space="preserve">James U. </t>
  </si>
  <si>
    <t xml:space="preserve">Tasking </t>
  </si>
  <si>
    <t xml:space="preserve">Shift Hours Remaining </t>
  </si>
  <si>
    <t xml:space="preserve">Present </t>
  </si>
  <si>
    <t>Unloading Score</t>
  </si>
  <si>
    <t xml:space="preserve">Reeceiving Score </t>
  </si>
  <si>
    <t>Jose R.</t>
  </si>
  <si>
    <t>Jay W. (Tony)</t>
  </si>
  <si>
    <t>Needed</t>
  </si>
  <si>
    <t>Will Perkins.</t>
  </si>
  <si>
    <t>Extra</t>
  </si>
  <si>
    <t>Putaways</t>
  </si>
  <si>
    <t>Full Pallets</t>
  </si>
  <si>
    <t xml:space="preserve">Hours Remaining </t>
  </si>
  <si>
    <t xml:space="preserve">Tuesday </t>
  </si>
  <si>
    <t>Attendance Sheet 1st Shift</t>
  </si>
  <si>
    <t>Info***</t>
  </si>
  <si>
    <t>Total Pickers:</t>
  </si>
  <si>
    <t>Total Taskers:</t>
  </si>
  <si>
    <t xml:space="preserve">Total Receivers: </t>
  </si>
  <si>
    <t xml:space="preserve">Total Unloaders: </t>
  </si>
  <si>
    <t>Total Loaders:</t>
  </si>
  <si>
    <t>Total Available</t>
  </si>
  <si>
    <t>Ray P.</t>
  </si>
  <si>
    <t>Walter W.</t>
  </si>
  <si>
    <t>Cristopher R.</t>
  </si>
  <si>
    <t>JeVeaghn P.</t>
  </si>
  <si>
    <t>Andrew Bartell</t>
  </si>
  <si>
    <t>Ashton Sudduth</t>
  </si>
  <si>
    <t>Billy Anderson</t>
  </si>
  <si>
    <t>Bressa Gonzaga</t>
  </si>
  <si>
    <t>Brian Manis</t>
  </si>
  <si>
    <t>Bryce Andrews</t>
  </si>
  <si>
    <t>Charles Myers</t>
  </si>
  <si>
    <t>Chaz Lacey</t>
  </si>
  <si>
    <t>Chris Dodds</t>
  </si>
  <si>
    <t>Danny Trotter</t>
  </si>
  <si>
    <t>David Norwood</t>
  </si>
  <si>
    <t>Diamond Williams</t>
  </si>
  <si>
    <t>Don Michael</t>
  </si>
  <si>
    <t>Earnest Carter</t>
  </si>
  <si>
    <t>Eugene Emery</t>
  </si>
  <si>
    <t>Gary Lake</t>
  </si>
  <si>
    <t>Goliath Haagan</t>
  </si>
  <si>
    <t>Isaiah Kilmete</t>
  </si>
  <si>
    <t>Jarrad Reid</t>
  </si>
  <si>
    <t>Jasiah Goar</t>
  </si>
  <si>
    <t>Javier Ceballos</t>
  </si>
  <si>
    <t>Javon Phillips</t>
  </si>
  <si>
    <t>Jaylin Garrett</t>
  </si>
  <si>
    <t>Jeffrey Lowe</t>
  </si>
  <si>
    <t>Jeffrey Stone</t>
  </si>
  <si>
    <t>Jim Herman</t>
  </si>
  <si>
    <t>Jimmy Stewart</t>
  </si>
  <si>
    <t>Jose Rangel-Cazares</t>
  </si>
  <si>
    <t>Justin Pucek</t>
  </si>
  <si>
    <t>Louis Heath</t>
  </si>
  <si>
    <t>Matthew Tennison</t>
  </si>
  <si>
    <t>Micahel Baum</t>
  </si>
  <si>
    <t>Mike Jenkins</t>
  </si>
  <si>
    <t>MJ Soliz</t>
  </si>
  <si>
    <t>Nelson Rivera</t>
  </si>
  <si>
    <t xml:space="preserve">Robert Dingle </t>
  </si>
  <si>
    <t>Robert Wilson</t>
  </si>
  <si>
    <t>Robert Worthington</t>
  </si>
  <si>
    <t>Saul Castorena</t>
  </si>
  <si>
    <t>Taurus Sherrer</t>
  </si>
  <si>
    <t>Taylor Belisle</t>
  </si>
  <si>
    <t>Terry Thomas</t>
  </si>
  <si>
    <t>Tim Skaggs</t>
  </si>
  <si>
    <t>Tony Zapata</t>
  </si>
  <si>
    <t>Tye Lewis</t>
  </si>
  <si>
    <t>Ulises Mendoza</t>
  </si>
  <si>
    <t>Vernon Plamer</t>
  </si>
  <si>
    <t>P/U</t>
  </si>
  <si>
    <t>P/T/R</t>
  </si>
  <si>
    <t>Olivia Jackson</t>
  </si>
  <si>
    <t>William Webber</t>
  </si>
  <si>
    <t>P/T/U</t>
  </si>
  <si>
    <t>Alex Hieronymus</t>
  </si>
  <si>
    <t>Alex G.</t>
  </si>
  <si>
    <t>Dylan</t>
  </si>
  <si>
    <t>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</si>
</sst>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color rgb="FFFFFF00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rgb="FFFF0000"/>
      <name val="Calibri"/>
      <family val="2"/>
    </font>
    <font>
      <sz val="12"/>
      <color theme="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4">
    <xf numFmtId="0" fontId="0" fillId="0" borderId="0"/>
    <xf numFmtId="9" fontId="6" fillId="0" borderId="0" applyFont="0" applyFill="0" applyBorder="0" applyAlignment="0" applyProtection="0"/>
    <xf numFmtId="0" fontId="7" fillId="0" borderId="0"/>
    <xf numFmtId="0" fontId="6" fillId="0" borderId="0"/>
  </cellStyleXfs>
  <cellXfs count="166">
    <xf numFmtId="0" fontId="0" fillId="0" borderId="0" xfId="0"/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/>
    <xf numFmtId="0" fontId="0" fillId="4" borderId="0" xfId="0" applyFill="1"/>
    <xf numFmtId="0" fontId="1" fillId="0" borderId="0" xfId="0" applyFont="1"/>
    <xf numFmtId="0" fontId="2" fillId="5" borderId="1" xfId="0" applyFont="1" applyFill="1" applyBorder="1" applyAlignment="1">
      <alignment horizontal="left"/>
    </xf>
    <xf numFmtId="0" fontId="0" fillId="4" borderId="0" xfId="0" applyFill="1" applyAlignment="1">
      <alignment horizontal="center"/>
    </xf>
    <xf numFmtId="0" fontId="2" fillId="5" borderId="1" xfId="0" applyFont="1" applyFill="1" applyBorder="1"/>
    <xf numFmtId="0" fontId="0" fillId="4" borderId="4" xfId="0" applyFill="1" applyBorder="1"/>
    <xf numFmtId="0" fontId="0" fillId="4" borderId="5" xfId="0" applyFill="1" applyBorder="1"/>
    <xf numFmtId="2" fontId="0" fillId="4" borderId="0" xfId="0" applyNumberFormat="1" applyFill="1" applyAlignment="1">
      <alignment horizontal="center"/>
    </xf>
    <xf numFmtId="0" fontId="0" fillId="4" borderId="10" xfId="0" applyFill="1" applyBorder="1"/>
    <xf numFmtId="0" fontId="0" fillId="4" borderId="11" xfId="0" applyFill="1" applyBorder="1"/>
    <xf numFmtId="0" fontId="2" fillId="4" borderId="0" xfId="0" applyFont="1" applyFill="1"/>
    <xf numFmtId="0" fontId="2" fillId="4" borderId="1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2" fontId="0" fillId="4" borderId="11" xfId="0" applyNumberFormat="1" applyFill="1" applyBorder="1" applyAlignment="1">
      <alignment horizontal="center" vertical="center"/>
    </xf>
    <xf numFmtId="0" fontId="0" fillId="0" borderId="7" xfId="0" applyBorder="1"/>
    <xf numFmtId="0" fontId="0" fillId="4" borderId="12" xfId="0" applyFill="1" applyBorder="1"/>
    <xf numFmtId="0" fontId="0" fillId="0" borderId="8" xfId="0" applyBorder="1"/>
    <xf numFmtId="2" fontId="0" fillId="4" borderId="0" xfId="0" applyNumberFormat="1" applyFill="1"/>
    <xf numFmtId="0" fontId="3" fillId="5" borderId="1" xfId="0" applyFont="1" applyFill="1" applyBorder="1"/>
    <xf numFmtId="1" fontId="0" fillId="4" borderId="0" xfId="0" applyNumberFormat="1" applyFill="1"/>
    <xf numFmtId="0" fontId="2" fillId="5" borderId="6" xfId="0" applyFont="1" applyFill="1" applyBorder="1"/>
    <xf numFmtId="2" fontId="2" fillId="4" borderId="0" xfId="0" applyNumberFormat="1" applyFont="1" applyFill="1" applyAlignment="1">
      <alignment horizontal="center"/>
    </xf>
    <xf numFmtId="0" fontId="1" fillId="4" borderId="0" xfId="0" applyFont="1" applyFill="1"/>
    <xf numFmtId="0" fontId="3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1" fontId="0" fillId="0" borderId="0" xfId="0" applyNumberFormat="1"/>
    <xf numFmtId="0" fontId="8" fillId="0" borderId="0" xfId="2" applyFont="1" applyAlignment="1">
      <alignment horizontal="center" vertical="center"/>
    </xf>
    <xf numFmtId="0" fontId="7" fillId="0" borderId="0" xfId="2"/>
    <xf numFmtId="0" fontId="8" fillId="0" borderId="0" xfId="2" applyFont="1" applyAlignment="1">
      <alignment horizontal="left" vertical="center"/>
    </xf>
    <xf numFmtId="0" fontId="2" fillId="5" borderId="1" xfId="3" applyFont="1" applyFill="1" applyBorder="1"/>
    <xf numFmtId="1" fontId="0" fillId="0" borderId="1" xfId="0" applyNumberFormat="1" applyBorder="1" applyAlignment="1">
      <alignment horizontal="center"/>
    </xf>
    <xf numFmtId="164" fontId="8" fillId="0" borderId="0" xfId="2" applyNumberFormat="1" applyFont="1" applyAlignment="1">
      <alignment horizontal="center" vertical="center"/>
    </xf>
    <xf numFmtId="1" fontId="8" fillId="0" borderId="0" xfId="2" applyNumberFormat="1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0" fillId="0" borderId="0" xfId="2" applyFont="1" applyAlignment="1">
      <alignment horizontal="left" vertical="center"/>
    </xf>
    <xf numFmtId="0" fontId="2" fillId="5" borderId="14" xfId="3" applyFont="1" applyFill="1" applyBorder="1"/>
    <xf numFmtId="0" fontId="9" fillId="11" borderId="13" xfId="2" applyFont="1" applyFill="1" applyBorder="1" applyAlignment="1">
      <alignment horizontal="center" vertical="center"/>
    </xf>
    <xf numFmtId="0" fontId="8" fillId="10" borderId="13" xfId="2" applyFont="1" applyFill="1" applyBorder="1" applyAlignment="1">
      <alignment horizontal="center" vertical="center"/>
    </xf>
    <xf numFmtId="0" fontId="8" fillId="0" borderId="13" xfId="2" applyFont="1" applyBorder="1" applyAlignment="1">
      <alignment horizontal="center" vertical="center"/>
    </xf>
    <xf numFmtId="9" fontId="8" fillId="0" borderId="0" xfId="1" applyFont="1" applyAlignment="1">
      <alignment horizontal="center" vertical="center"/>
    </xf>
    <xf numFmtId="1" fontId="11" fillId="0" borderId="0" xfId="0" applyNumberFormat="1" applyFont="1"/>
    <xf numFmtId="1" fontId="1" fillId="4" borderId="0" xfId="0" applyNumberFormat="1" applyFont="1" applyFill="1"/>
    <xf numFmtId="9" fontId="8" fillId="0" borderId="0" xfId="2" applyNumberFormat="1" applyFont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3" xfId="0" applyBorder="1"/>
    <xf numFmtId="2" fontId="0" fillId="2" borderId="2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0" borderId="0" xfId="0" pivotButton="1"/>
    <xf numFmtId="0" fontId="8" fillId="12" borderId="0" xfId="2" applyFont="1" applyFill="1" applyAlignment="1">
      <alignment horizontal="center" vertical="center"/>
    </xf>
    <xf numFmtId="0" fontId="7" fillId="12" borderId="0" xfId="2" applyFill="1"/>
    <xf numFmtId="0" fontId="7" fillId="13" borderId="0" xfId="2" applyFill="1"/>
    <xf numFmtId="0" fontId="7" fillId="14" borderId="0" xfId="2" applyFill="1"/>
    <xf numFmtId="0" fontId="12" fillId="0" borderId="0" xfId="2" applyFont="1"/>
    <xf numFmtId="0" fontId="8" fillId="0" borderId="0" xfId="2" applyFont="1" applyFill="1" applyAlignment="1">
      <alignment horizontal="left" vertical="center"/>
    </xf>
    <xf numFmtId="0" fontId="12" fillId="12" borderId="0" xfId="2" applyFont="1" applyFill="1"/>
    <xf numFmtId="0" fontId="12" fillId="13" borderId="0" xfId="2" applyFont="1" applyFill="1"/>
    <xf numFmtId="0" fontId="8" fillId="0" borderId="0" xfId="2" applyNumberFormat="1" applyFont="1" applyAlignment="1">
      <alignment horizontal="center" vertical="center"/>
    </xf>
    <xf numFmtId="0" fontId="7" fillId="15" borderId="0" xfId="2" applyFill="1"/>
    <xf numFmtId="0" fontId="7" fillId="16" borderId="0" xfId="2" applyFill="1"/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4" borderId="15" xfId="2" applyFont="1" applyFill="1" applyBorder="1" applyAlignment="1">
      <alignment horizontal="center" vertical="center"/>
    </xf>
    <xf numFmtId="1" fontId="8" fillId="4" borderId="15" xfId="2" applyNumberFormat="1" applyFont="1" applyFill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0" fillId="0" borderId="16" xfId="0" applyBorder="1"/>
    <xf numFmtId="0" fontId="0" fillId="4" borderId="1" xfId="0" applyFill="1" applyBorder="1"/>
    <xf numFmtId="0" fontId="8" fillId="17" borderId="1" xfId="2" applyNumberFormat="1" applyFont="1" applyFill="1" applyBorder="1" applyAlignment="1">
      <alignment horizontal="left" vertical="center"/>
    </xf>
    <xf numFmtId="0" fontId="0" fillId="0" borderId="17" xfId="0" applyBorder="1"/>
    <xf numFmtId="1" fontId="8" fillId="0" borderId="18" xfId="2" applyNumberFormat="1" applyFont="1" applyBorder="1" applyAlignment="1">
      <alignment horizontal="center" vertical="center"/>
    </xf>
    <xf numFmtId="0" fontId="1" fillId="4" borderId="15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5" fillId="0" borderId="0" xfId="0" applyFont="1"/>
    <xf numFmtId="1" fontId="3" fillId="4" borderId="1" xfId="0" applyNumberFormat="1" applyFont="1" applyFill="1" applyBorder="1" applyAlignment="1">
      <alignment horizontal="center"/>
    </xf>
    <xf numFmtId="0" fontId="0" fillId="18" borderId="0" xfId="0" applyFill="1"/>
    <xf numFmtId="0" fontId="14" fillId="4" borderId="19" xfId="0" applyFont="1" applyFill="1" applyBorder="1"/>
    <xf numFmtId="0" fontId="15" fillId="0" borderId="0" xfId="2" applyFont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9" fillId="0" borderId="18" xfId="2" applyFont="1" applyBorder="1" applyAlignment="1">
      <alignment horizontal="left" vertical="center"/>
    </xf>
    <xf numFmtId="0" fontId="2" fillId="4" borderId="1" xfId="0" applyFont="1" applyFill="1" applyBorder="1"/>
    <xf numFmtId="0" fontId="2" fillId="18" borderId="0" xfId="0" applyFont="1" applyFill="1"/>
    <xf numFmtId="0" fontId="0" fillId="0" borderId="1" xfId="0" applyBorder="1"/>
    <xf numFmtId="0" fontId="0" fillId="0" borderId="0" xfId="0" applyAlignment="1"/>
    <xf numFmtId="0" fontId="2" fillId="0" borderId="1" xfId="0" applyFont="1" applyBorder="1" applyAlignment="1"/>
    <xf numFmtId="9" fontId="6" fillId="0" borderId="1" xfId="1" applyFont="1" applyBorder="1"/>
    <xf numFmtId="9" fontId="13" fillId="0" borderId="1" xfId="1" applyFont="1" applyFill="1" applyBorder="1" applyAlignment="1">
      <alignment vertical="top"/>
    </xf>
    <xf numFmtId="9" fontId="13" fillId="0" borderId="1" xfId="1" applyFont="1" applyBorder="1" applyAlignment="1">
      <alignment vertical="top"/>
    </xf>
    <xf numFmtId="9" fontId="13" fillId="4" borderId="1" xfId="1" applyFont="1" applyFill="1" applyBorder="1" applyAlignment="1">
      <alignment vertical="top"/>
    </xf>
    <xf numFmtId="9" fontId="6" fillId="0" borderId="1" xfId="1" applyFont="1" applyFill="1" applyBorder="1"/>
    <xf numFmtId="0" fontId="8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horizontal="left" vertical="center"/>
    </xf>
    <xf numFmtId="0" fontId="8" fillId="0" borderId="1" xfId="2" applyFont="1" applyFill="1" applyBorder="1" applyAlignment="1">
      <alignment horizontal="left" vertical="center"/>
    </xf>
    <xf numFmtId="9" fontId="6" fillId="0" borderId="0" xfId="1" applyFont="1" applyFill="1" applyBorder="1"/>
    <xf numFmtId="0" fontId="8" fillId="0" borderId="1" xfId="2" applyFont="1" applyBorder="1" applyAlignment="1">
      <alignment horizontal="left" vertical="center"/>
    </xf>
    <xf numFmtId="9" fontId="6" fillId="4" borderId="0" xfId="1" applyFont="1" applyFill="1" applyBorder="1"/>
    <xf numFmtId="9" fontId="16" fillId="0" borderId="1" xfId="1" applyFont="1" applyBorder="1"/>
    <xf numFmtId="9" fontId="8" fillId="0" borderId="1" xfId="1" applyFont="1" applyFill="1" applyBorder="1" applyAlignment="1">
      <alignment vertical="top"/>
    </xf>
    <xf numFmtId="9" fontId="8" fillId="0" borderId="1" xfId="1" applyFont="1" applyBorder="1" applyAlignment="1">
      <alignment vertical="top"/>
    </xf>
    <xf numFmtId="9" fontId="16" fillId="0" borderId="1" xfId="1" applyFont="1" applyFill="1" applyBorder="1"/>
    <xf numFmtId="9" fontId="16" fillId="4" borderId="1" xfId="1" applyFont="1" applyFill="1" applyBorder="1"/>
    <xf numFmtId="0" fontId="6" fillId="0" borderId="1" xfId="1" applyNumberFormat="1" applyFont="1" applyBorder="1"/>
    <xf numFmtId="0" fontId="8" fillId="17" borderId="3" xfId="2" applyNumberFormat="1" applyFont="1" applyFill="1" applyBorder="1" applyAlignment="1">
      <alignment horizontal="left" vertical="center"/>
    </xf>
    <xf numFmtId="0" fontId="8" fillId="4" borderId="3" xfId="2" applyNumberFormat="1" applyFont="1" applyFill="1" applyBorder="1" applyAlignment="1">
      <alignment horizontal="left" vertical="center"/>
    </xf>
    <xf numFmtId="9" fontId="6" fillId="0" borderId="3" xfId="1" applyFont="1" applyBorder="1"/>
    <xf numFmtId="9" fontId="13" fillId="0" borderId="3" xfId="1" applyFont="1" applyFill="1" applyBorder="1" applyAlignment="1">
      <alignment vertical="top"/>
    </xf>
    <xf numFmtId="9" fontId="13" fillId="0" borderId="3" xfId="1" applyFont="1" applyBorder="1" applyAlignment="1">
      <alignment vertical="top"/>
    </xf>
    <xf numFmtId="9" fontId="13" fillId="4" borderId="3" xfId="1" applyFont="1" applyFill="1" applyBorder="1" applyAlignment="1">
      <alignment vertical="top"/>
    </xf>
    <xf numFmtId="9" fontId="6" fillId="0" borderId="3" xfId="1" applyFont="1" applyFill="1" applyBorder="1"/>
    <xf numFmtId="9" fontId="6" fillId="4" borderId="3" xfId="1" applyFont="1" applyFill="1" applyBorder="1"/>
    <xf numFmtId="0" fontId="10" fillId="17" borderId="2" xfId="2" applyNumberFormat="1" applyFont="1" applyFill="1" applyBorder="1" applyAlignment="1">
      <alignment horizontal="center" vertical="center"/>
    </xf>
    <xf numFmtId="0" fontId="10" fillId="4" borderId="2" xfId="2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0" fillId="0" borderId="2" xfId="0" applyBorder="1"/>
    <xf numFmtId="0" fontId="2" fillId="4" borderId="8" xfId="0" applyFont="1" applyFill="1" applyBorder="1"/>
    <xf numFmtId="0" fontId="2" fillId="4" borderId="6" xfId="0" applyFont="1" applyFill="1" applyBorder="1"/>
    <xf numFmtId="0" fontId="2" fillId="4" borderId="7" xfId="0" applyFont="1" applyFill="1" applyBorder="1"/>
    <xf numFmtId="0" fontId="2" fillId="0" borderId="3" xfId="0" applyFont="1" applyBorder="1" applyAlignment="1"/>
    <xf numFmtId="0" fontId="2" fillId="5" borderId="1" xfId="0" applyFont="1" applyFill="1" applyBorder="1" applyAlignment="1">
      <alignment horizontal="center"/>
    </xf>
    <xf numFmtId="2" fontId="4" fillId="0" borderId="4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5" xfId="0" applyBorder="1"/>
    <xf numFmtId="9" fontId="0" fillId="0" borderId="3" xfId="1" applyFont="1" applyFill="1" applyBorder="1" applyAlignment="1">
      <alignment horizontal="left" vertical="center"/>
    </xf>
    <xf numFmtId="0" fontId="0" fillId="17" borderId="1" xfId="1" applyNumberFormat="1" applyFont="1" applyFill="1" applyBorder="1" applyAlignment="1">
      <alignment horizontal="left" vertical="center"/>
    </xf>
    <xf numFmtId="0" fontId="10" fillId="0" borderId="0" xfId="2" applyNumberFormat="1" applyFont="1" applyAlignment="1">
      <alignment horizontal="left" vertical="center"/>
    </xf>
    <xf numFmtId="0" fontId="8" fillId="0" borderId="0" xfId="2" applyNumberFormat="1" applyFont="1" applyAlignment="1">
      <alignment horizontal="left" vertical="center"/>
    </xf>
    <xf numFmtId="9" fontId="0" fillId="0" borderId="3" xfId="1" applyFont="1" applyFill="1" applyBorder="1"/>
    <xf numFmtId="0" fontId="0" fillId="0" borderId="1" xfId="1" applyNumberFormat="1" applyFont="1" applyBorder="1" applyAlignment="1">
      <alignment horizontal="left"/>
    </xf>
    <xf numFmtId="9" fontId="16" fillId="0" borderId="0" xfId="1" applyFont="1" applyBorder="1"/>
    <xf numFmtId="9" fontId="8" fillId="0" borderId="0" xfId="1" applyFont="1" applyBorder="1" applyAlignment="1">
      <alignment vertical="top"/>
    </xf>
    <xf numFmtId="9" fontId="8" fillId="0" borderId="0" xfId="1" applyFont="1" applyFill="1" applyBorder="1" applyAlignment="1">
      <alignment vertical="top"/>
    </xf>
    <xf numFmtId="9" fontId="8" fillId="4" borderId="0" xfId="1" applyFont="1" applyFill="1" applyBorder="1" applyAlignment="1">
      <alignment vertical="top"/>
    </xf>
    <xf numFmtId="0" fontId="8" fillId="17" borderId="5" xfId="2" applyNumberFormat="1" applyFont="1" applyFill="1" applyBorder="1" applyAlignment="1">
      <alignment horizontal="left" vertical="center"/>
    </xf>
    <xf numFmtId="0" fontId="8" fillId="17" borderId="14" xfId="2" applyNumberFormat="1" applyFont="1" applyFill="1" applyBorder="1" applyAlignment="1">
      <alignment horizontal="left" vertical="center"/>
    </xf>
    <xf numFmtId="0" fontId="10" fillId="17" borderId="4" xfId="2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2" xr:uid="{14151571-25BE-40D3-A218-A66F9E5DDB33}"/>
    <cellStyle name="Normal 2 2" xfId="3" xr:uid="{E5948FB0-CACF-4DAB-899E-0F6A7B432FF3}"/>
    <cellStyle name="Percent" xfId="1" builtinId="5"/>
  </cellStyles>
  <dxfs count="8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</dxf>
    <dxf>
      <numFmt numFmtId="21" formatCode="d\-m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esCan\Downloads\Crew%20Sheet%20Update.xls" TargetMode="External"/><Relationship Id="rId1" Type="http://schemas.openxmlformats.org/officeDocument/2006/relationships/externalLinkPath" Target="https://resers-my.sharepoint.com/personal/andrescan_resers_com/Documents/Microsoft%20Teams%20Chat%20Files/Crew%20Sheet%20Upd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SHEET"/>
      <sheetName val="DISPATCH SHEET"/>
      <sheetName val="OPENDOCK"/>
      <sheetName val="CARRIERS"/>
      <sheetName val="MG REPORT"/>
      <sheetName val="ITEM MASTER"/>
      <sheetName val="INBOUND"/>
      <sheetName val="Crew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esers-my.sharepoint.com/Users/brianm/Desktop/Schedule%20Justification/Schedule%20Justification%20with%20Staffing%20Calculator%20New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 Maxwell" refreshedDate="45875.423132986114" createdVersion="8" refreshedVersion="8" minRefreshableVersion="3" recordCount="943" xr:uid="{B22B205E-741C-4467-8E86-C8C8EB2AFAB1}">
  <cacheSource type="worksheet">
    <worksheetSource ref="A3:M946" sheet="Percentage Data" r:id="rId2"/>
  </cacheSource>
  <cacheFields count="13">
    <cacheField name="Day" numFmtId="0">
      <sharedItems count="7">
        <s v="Sunday"/>
        <s v="Monday"/>
        <s v="Tuesday"/>
        <s v="Wednesday"/>
        <s v="Thursday"/>
        <s v="Friday"/>
        <s v="Saturday"/>
      </sharedItems>
    </cacheField>
    <cacheField name="Date" numFmtId="16">
      <sharedItems containsSemiMixedTypes="0" containsNonDate="0" containsDate="1" containsString="0" minDate="2023-01-01T00:00:00" maxDate="2025-08-01T00:00:00"/>
    </cacheField>
    <cacheField name="1st Pallets" numFmtId="0">
      <sharedItems containsSemiMixedTypes="0" containsString="0" containsNumber="1" containsInteger="1" minValue="0" maxValue="94560"/>
    </cacheField>
    <cacheField name="1st Cases" numFmtId="0">
      <sharedItems containsSemiMixedTypes="0" containsString="0" containsNumber="1" containsInteger="1" minValue="0" maxValue="36293"/>
    </cacheField>
    <cacheField name="2nd Pallets" numFmtId="0">
      <sharedItems containsSemiMixedTypes="0" containsString="0" containsNumber="1" containsInteger="1" minValue="0" maxValue="80364"/>
    </cacheField>
    <cacheField name="2nd Cases" numFmtId="0">
      <sharedItems containsSemiMixedTypes="0" containsString="0" containsNumber="1" containsInteger="1" minValue="0" maxValue="31508"/>
    </cacheField>
    <cacheField name="Total Cases" numFmtId="0">
      <sharedItems containsSemiMixedTypes="0" containsString="0" containsNumber="1" containsInteger="1" minValue="0" maxValue="192425"/>
    </cacheField>
    <cacheField name="Pallets 1st" numFmtId="2">
      <sharedItems containsSemiMixedTypes="0" containsString="0" containsNumber="1" minValue="0" maxValue="0.64734388701712287"/>
    </cacheField>
    <cacheField name="Pallets 2nd" numFmtId="2">
      <sharedItems containsSemiMixedTypes="0" containsString="0" containsNumber="1" minValue="0" maxValue="0.71963760260182752"/>
    </cacheField>
    <cacheField name="Cases 1st" numFmtId="2">
      <sharedItems containsSemiMixedTypes="0" containsString="0" containsNumber="1" minValue="0" maxValue="0.5456263286355405"/>
    </cacheField>
    <cacheField name="Cases 2nd" numFmtId="2">
      <sharedItems containsSemiMixedTypes="0" containsString="0" containsNumber="1" minValue="0" maxValue="0.40213279764067272"/>
    </cacheField>
    <cacheField name="Total Pallets" numFmtId="2">
      <sharedItems containsSemiMixedTypes="0" containsString="0" containsNumber="1" minValue="0" maxValue="0.84956718198664738"/>
    </cacheField>
    <cacheField name="Total Case Pick" numFmtId="2">
      <sharedItems containsSemiMixedTypes="0" containsString="0" containsNumber="1" minValue="0" maxValue="0.54562632863554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3">
  <r>
    <x v="0"/>
    <d v="2023-01-01T00:00:00"/>
    <n v="0"/>
    <n v="0"/>
    <n v="0"/>
    <n v="0"/>
    <n v="0"/>
    <n v="0"/>
    <n v="0"/>
    <n v="0"/>
    <n v="0"/>
    <n v="0"/>
    <n v="0"/>
  </r>
  <r>
    <x v="1"/>
    <d v="2023-01-02T00:00:00"/>
    <n v="38343"/>
    <n v="26826"/>
    <n v="48957"/>
    <n v="21626"/>
    <n v="135752"/>
    <n v="0.28244887736460605"/>
    <n v="0.36063557074665564"/>
    <n v="0.19761034828216159"/>
    <n v="0.15930520360657671"/>
    <n v="0.64308444811126175"/>
    <n v="0.3569155518887383"/>
  </r>
  <r>
    <x v="2"/>
    <d v="2023-01-03T00:00:00"/>
    <n v="33929"/>
    <n v="13559"/>
    <n v="29495"/>
    <n v="12173"/>
    <n v="89156"/>
    <n v="0.38055767418906189"/>
    <n v="0.33082462201085738"/>
    <n v="0.1520817443582036"/>
    <n v="0.13653595944187716"/>
    <n v="0.71138229619991922"/>
    <n v="0.28861770380008078"/>
  </r>
  <r>
    <x v="3"/>
    <d v="2023-01-04T00:00:00"/>
    <n v="28777"/>
    <n v="16582"/>
    <n v="25908"/>
    <n v="12763"/>
    <n v="84030"/>
    <n v="0.34246102582411042"/>
    <n v="0.30831845769368083"/>
    <n v="0.19733428537427108"/>
    <n v="0.15188623110793764"/>
    <n v="0.65077948351779125"/>
    <n v="0.34922051648220875"/>
  </r>
  <r>
    <x v="4"/>
    <d v="2023-01-05T00:00:00"/>
    <n v="24538"/>
    <n v="9434"/>
    <n v="16175"/>
    <n v="13341"/>
    <n v="63488"/>
    <n v="0.38649823588709675"/>
    <n v="0.25477255544354838"/>
    <n v="0.14859501008064516"/>
    <n v="0.21013419858870969"/>
    <n v="0.64127079133064513"/>
    <n v="0.35872920866935482"/>
  </r>
  <r>
    <x v="5"/>
    <d v="2023-01-06T00:00:00"/>
    <n v="36472"/>
    <n v="11258"/>
    <n v="32143"/>
    <n v="17614"/>
    <n v="97487"/>
    <n v="0.37412167776216315"/>
    <n v="0.32971575697272459"/>
    <n v="0.1154820642752367"/>
    <n v="0.18068050098987556"/>
    <n v="0.70383743473488769"/>
    <n v="0.29616256526511225"/>
  </r>
  <r>
    <x v="6"/>
    <d v="2023-01-07T00:00:00"/>
    <n v="40274"/>
    <n v="23292"/>
    <n v="38876"/>
    <n v="19000"/>
    <n v="121442"/>
    <n v="0.33163156074504702"/>
    <n v="0.32011989262363927"/>
    <n v="0.19179526028886218"/>
    <n v="0.15645328634245154"/>
    <n v="0.65175145336868634"/>
    <n v="0.34824854663131372"/>
  </r>
  <r>
    <x v="0"/>
    <d v="2023-01-08T00:00:00"/>
    <n v="33576"/>
    <n v="19254"/>
    <n v="25289"/>
    <n v="15560"/>
    <n v="93679"/>
    <n v="0.35841543995986291"/>
    <n v="0.26995377832812051"/>
    <n v="0.2055316559741244"/>
    <n v="0.16609912573789215"/>
    <n v="0.62836921828798342"/>
    <n v="0.37163078171201658"/>
  </r>
  <r>
    <x v="1"/>
    <d v="2023-01-09T00:00:00"/>
    <n v="20703"/>
    <n v="14661"/>
    <n v="37846"/>
    <n v="10401"/>
    <n v="83611"/>
    <n v="0.24761096028034588"/>
    <n v="0.45264379088875867"/>
    <n v="0.17534774132590208"/>
    <n v="0.12439750750499336"/>
    <n v="0.70025475116910452"/>
    <n v="0.29974524883089548"/>
  </r>
  <r>
    <x v="2"/>
    <d v="2023-01-10T00:00:00"/>
    <n v="28153"/>
    <n v="8911"/>
    <n v="20571"/>
    <n v="11517"/>
    <n v="69152"/>
    <n v="0.40711765386395188"/>
    <n v="0.29747512725590003"/>
    <n v="0.12886105969458583"/>
    <n v="0.16654615918556223"/>
    <n v="0.70459278111985191"/>
    <n v="0.29540721888014809"/>
  </r>
  <r>
    <x v="3"/>
    <d v="2023-01-11T00:00:00"/>
    <n v="25703"/>
    <n v="13487"/>
    <n v="25978"/>
    <n v="14871"/>
    <n v="80039"/>
    <n v="0.321130948662527"/>
    <n v="0.32456677369782233"/>
    <n v="0.16850535364010044"/>
    <n v="0.18579692399955022"/>
    <n v="0.64569772236034928"/>
    <n v="0.35430227763965066"/>
  </r>
  <r>
    <x v="4"/>
    <d v="2023-01-12T00:00:00"/>
    <n v="30085"/>
    <n v="9000"/>
    <n v="13945"/>
    <n v="15873"/>
    <n v="68903"/>
    <n v="0.43662830355717458"/>
    <n v="0.20238596287534649"/>
    <n v="0.13061840558466251"/>
    <n v="0.23036732798281642"/>
    <n v="0.63901426643252113"/>
    <n v="0.36098573356747893"/>
  </r>
  <r>
    <x v="5"/>
    <d v="2023-01-13T00:00:00"/>
    <n v="32476"/>
    <n v="10394"/>
    <n v="18357"/>
    <n v="15032"/>
    <n v="76259"/>
    <n v="0.4258644881259917"/>
    <n v="0.24071912823404451"/>
    <n v="0.13629866638691826"/>
    <n v="0.19711771725304555"/>
    <n v="0.66658361636003616"/>
    <n v="0.33341638363996379"/>
  </r>
  <r>
    <x v="6"/>
    <d v="2023-01-14T00:00:00"/>
    <n v="41144"/>
    <n v="16517"/>
    <n v="26384"/>
    <n v="18873"/>
    <n v="102918"/>
    <n v="0.39977457781923476"/>
    <n v="0.25635943178064091"/>
    <n v="0.16048698964223945"/>
    <n v="0.18337900075788491"/>
    <n v="0.65613400959987567"/>
    <n v="0.34386599040012439"/>
  </r>
  <r>
    <x v="0"/>
    <d v="2023-01-15T00:00:00"/>
    <n v="36558"/>
    <n v="14870"/>
    <n v="21198"/>
    <n v="16099"/>
    <n v="88725"/>
    <n v="0.4120371935756551"/>
    <n v="0.23891800507185124"/>
    <n v="0.16759650605804452"/>
    <n v="0.18144829529444914"/>
    <n v="0.65095519864750639"/>
    <n v="0.34904480135249366"/>
  </r>
  <r>
    <x v="1"/>
    <d v="2023-01-16T00:00:00"/>
    <n v="30451"/>
    <n v="13317"/>
    <n v="29666"/>
    <n v="15057"/>
    <n v="88491"/>
    <n v="0.34411409069848914"/>
    <n v="0.33524313206992801"/>
    <n v="0.1504898803268129"/>
    <n v="0.17015289690476998"/>
    <n v="0.67935722276841715"/>
    <n v="0.32064277723158285"/>
  </r>
  <r>
    <x v="2"/>
    <d v="2023-01-17T00:00:00"/>
    <n v="37428"/>
    <n v="12847"/>
    <n v="26171"/>
    <n v="14554"/>
    <n v="91000"/>
    <n v="0.41129670329670331"/>
    <n v="0.2875934065934066"/>
    <n v="0.14117582417582417"/>
    <n v="0.15993406593406592"/>
    <n v="0.69889010989010991"/>
    <n v="0.30110989010989009"/>
  </r>
  <r>
    <x v="3"/>
    <d v="2023-01-18T00:00:00"/>
    <n v="24967"/>
    <n v="12228"/>
    <n v="21511"/>
    <n v="8016"/>
    <n v="66722"/>
    <n v="0.374194418632535"/>
    <n v="0.32239741014957585"/>
    <n v="0.18326788765324781"/>
    <n v="0.12014028356464135"/>
    <n v="0.6965918287821109"/>
    <n v="0.30340817121788916"/>
  </r>
  <r>
    <x v="4"/>
    <d v="2023-01-19T00:00:00"/>
    <n v="27947"/>
    <n v="11952"/>
    <n v="16257"/>
    <n v="13938"/>
    <n v="70094"/>
    <n v="0.39870744999572005"/>
    <n v="0.23193140639712387"/>
    <n v="0.1705138813593175"/>
    <n v="0.19884726224783861"/>
    <n v="0.63063885639284389"/>
    <n v="0.36936114360715611"/>
  </r>
  <r>
    <x v="5"/>
    <d v="2023-01-20T00:00:00"/>
    <n v="40405"/>
    <n v="14330"/>
    <n v="38151"/>
    <n v="18541"/>
    <n v="111427"/>
    <n v="0.36261408814739693"/>
    <n v="0.34238559774560923"/>
    <n v="0.12860437775404526"/>
    <n v="0.16639593635294855"/>
    <n v="0.70499968589300621"/>
    <n v="0.29500031410699384"/>
  </r>
  <r>
    <x v="6"/>
    <d v="2023-01-21T00:00:00"/>
    <n v="32688"/>
    <n v="18918"/>
    <n v="31396"/>
    <n v="22283"/>
    <n v="105285"/>
    <n v="0.31047157714774182"/>
    <n v="0.29820012347437908"/>
    <n v="0.17968371562900698"/>
    <n v="0.2116445837488721"/>
    <n v="0.60867170062212095"/>
    <n v="0.39132829937787911"/>
  </r>
  <r>
    <x v="0"/>
    <d v="2023-01-22T00:00:00"/>
    <n v="33930"/>
    <n v="19918"/>
    <n v="29727"/>
    <n v="20213"/>
    <n v="103788"/>
    <n v="0.32691640652098508"/>
    <n v="0.28642039542143599"/>
    <n v="0.19191043280533396"/>
    <n v="0.19475276525224497"/>
    <n v="0.61333680194242113"/>
    <n v="0.38666319805757893"/>
  </r>
  <r>
    <x v="1"/>
    <d v="2023-01-23T00:00:00"/>
    <n v="19736"/>
    <n v="14149"/>
    <n v="36322"/>
    <n v="13160"/>
    <n v="83367"/>
    <n v="0.23673635851116148"/>
    <n v="0.43568798205524967"/>
    <n v="0.16971943334892703"/>
    <n v="0.15785622608466179"/>
    <n v="0.6724243405664112"/>
    <n v="0.32757565943358885"/>
  </r>
  <r>
    <x v="2"/>
    <d v="2023-01-24T00:00:00"/>
    <n v="30792"/>
    <n v="12640"/>
    <n v="20135"/>
    <n v="16573"/>
    <n v="80140"/>
    <n v="0.38422760169703019"/>
    <n v="0.2512478163214375"/>
    <n v="0.15772398302969803"/>
    <n v="0.20680059895183428"/>
    <n v="0.63547541801846763"/>
    <n v="0.36452458198153231"/>
  </r>
  <r>
    <x v="3"/>
    <d v="2023-01-25T00:00:00"/>
    <n v="32655"/>
    <n v="9635"/>
    <n v="29737"/>
    <n v="15690"/>
    <n v="87717"/>
    <n v="0.37227675365094565"/>
    <n v="0.33901068207987051"/>
    <n v="0.10984187785719986"/>
    <n v="0.178870686411984"/>
    <n v="0.7112874357308161"/>
    <n v="0.28871256426918385"/>
  </r>
  <r>
    <x v="4"/>
    <d v="2023-01-26T00:00:00"/>
    <n v="32965"/>
    <n v="8185"/>
    <n v="30233"/>
    <n v="10958"/>
    <n v="82341"/>
    <n v="0.40034733607801704"/>
    <n v="0.36716823939471221"/>
    <n v="9.9403699250677061E-2"/>
    <n v="0.13308072527659368"/>
    <n v="0.76751557547272931"/>
    <n v="0.23248442452727075"/>
  </r>
  <r>
    <x v="5"/>
    <d v="2023-01-27T00:00:00"/>
    <n v="33275"/>
    <n v="18459"/>
    <n v="28047"/>
    <n v="17676"/>
    <n v="97457"/>
    <n v="0.34143263182736999"/>
    <n v="0.2877884605518331"/>
    <n v="0.18940661009470844"/>
    <n v="0.18137229752608844"/>
    <n v="0.6292210923792031"/>
    <n v="0.37077890762079685"/>
  </r>
  <r>
    <x v="6"/>
    <d v="2023-01-28T00:00:00"/>
    <n v="53625"/>
    <n v="24091"/>
    <n v="59300"/>
    <n v="20690"/>
    <n v="157706"/>
    <n v="0.34003145092767556"/>
    <n v="0.37601613128225941"/>
    <n v="0.15275893117573205"/>
    <n v="0.131193486614333"/>
    <n v="0.71604758220993492"/>
    <n v="0.28395241779006508"/>
  </r>
  <r>
    <x v="0"/>
    <d v="2023-01-29T00:00:00"/>
    <n v="28742"/>
    <n v="24232"/>
    <n v="38045"/>
    <n v="17450"/>
    <n v="108469"/>
    <n v="0.26497893407332973"/>
    <n v="0.35074537425439528"/>
    <n v="0.22340023416828772"/>
    <n v="0.16087545750398732"/>
    <n v="0.61572430832772496"/>
    <n v="0.38427569167227504"/>
  </r>
  <r>
    <x v="1"/>
    <d v="2023-01-30T00:00:00"/>
    <n v="33360"/>
    <n v="10362"/>
    <n v="33302"/>
    <n v="16642"/>
    <n v="93666"/>
    <n v="0.35615911857023891"/>
    <n v="0.35553989708111799"/>
    <n v="0.11062712190122349"/>
    <n v="0.17767386244741956"/>
    <n v="0.71169901565135696"/>
    <n v="0.28830098434864304"/>
  </r>
  <r>
    <x v="2"/>
    <d v="2023-01-31T00:00:00"/>
    <n v="34381"/>
    <n v="15591"/>
    <n v="25185"/>
    <n v="14584"/>
    <n v="89741"/>
    <n v="0.38311362699323609"/>
    <n v="0.2806409556390056"/>
    <n v="0.17373329916091865"/>
    <n v="0.1625121182068397"/>
    <n v="0.66375458263224163"/>
    <n v="0.33624541736775831"/>
  </r>
  <r>
    <x v="3"/>
    <d v="2023-02-01T00:00:00"/>
    <n v="26812"/>
    <n v="11561"/>
    <n v="27694"/>
    <n v="18349"/>
    <n v="84416"/>
    <n v="0.31761751326762699"/>
    <n v="0.32806576952236544"/>
    <n v="0.13695271038665655"/>
    <n v="0.21736400682335102"/>
    <n v="0.64568328278999243"/>
    <n v="0.35431671721000757"/>
  </r>
  <r>
    <x v="4"/>
    <d v="2023-02-02T00:00:00"/>
    <n v="36170"/>
    <n v="8376"/>
    <n v="18356"/>
    <n v="14662"/>
    <n v="77564"/>
    <n v="0.4663245835696973"/>
    <n v="0.2366561807023877"/>
    <n v="0.10798824196792327"/>
    <n v="0.18903099375999174"/>
    <n v="0.702980764272085"/>
    <n v="0.297019235727915"/>
  </r>
  <r>
    <x v="5"/>
    <d v="2023-02-03T00:00:00"/>
    <n v="48030"/>
    <n v="13965"/>
    <n v="41065"/>
    <n v="16210"/>
    <n v="119270"/>
    <n v="0.40269975685419634"/>
    <n v="0.34430284229060115"/>
    <n v="0.11708728095916827"/>
    <n v="0.13591011989603421"/>
    <n v="0.7470025991447975"/>
    <n v="0.2529974008552025"/>
  </r>
  <r>
    <x v="6"/>
    <d v="2023-02-04T00:00:00"/>
    <n v="39514"/>
    <n v="24166"/>
    <n v="38263"/>
    <n v="25256"/>
    <n v="127199"/>
    <n v="0.31064709628220349"/>
    <n v="0.30081211330277752"/>
    <n v="0.1899857703283831"/>
    <n v="0.19855502008663589"/>
    <n v="0.61145920958498101"/>
    <n v="0.38854079041501899"/>
  </r>
  <r>
    <x v="0"/>
    <d v="2023-02-05T00:00:00"/>
    <n v="33072"/>
    <n v="16684"/>
    <n v="28190"/>
    <n v="23072"/>
    <n v="101018"/>
    <n v="0.32738719832109131"/>
    <n v="0.27905917757231385"/>
    <n v="0.165158684590865"/>
    <n v="0.22839493951572987"/>
    <n v="0.60644637589340511"/>
    <n v="0.39355362410659489"/>
  </r>
  <r>
    <x v="1"/>
    <d v="2023-02-06T00:00:00"/>
    <n v="35356"/>
    <n v="16891"/>
    <n v="30991"/>
    <n v="13203"/>
    <n v="96441"/>
    <n v="0.36660756317333915"/>
    <n v="0.32134673012515425"/>
    <n v="0.17514335189390404"/>
    <n v="0.13690235480760257"/>
    <n v="0.68795429329849334"/>
    <n v="0.31204570670150661"/>
  </r>
  <r>
    <x v="2"/>
    <d v="2023-02-07T00:00:00"/>
    <n v="30932"/>
    <n v="13639"/>
    <n v="24433"/>
    <n v="15263"/>
    <n v="84267"/>
    <n v="0.36707133278744941"/>
    <n v="0.28994742900542325"/>
    <n v="0.16185458127143484"/>
    <n v="0.18112665693569249"/>
    <n v="0.65701876179287266"/>
    <n v="0.34298123820712734"/>
  </r>
  <r>
    <x v="3"/>
    <d v="2023-02-08T00:00:00"/>
    <n v="27359"/>
    <n v="10715"/>
    <n v="25590"/>
    <n v="14454"/>
    <n v="78118"/>
    <n v="0.35022658030159504"/>
    <n v="0.32758135128907551"/>
    <n v="0.13716428992037685"/>
    <n v="0.1850277784889526"/>
    <n v="0.67780793159067054"/>
    <n v="0.32219206840932946"/>
  </r>
  <r>
    <x v="4"/>
    <d v="2023-02-09T00:00:00"/>
    <n v="21330"/>
    <n v="11336"/>
    <n v="21772"/>
    <n v="13432"/>
    <n v="67870"/>
    <n v="0.31427729482834832"/>
    <n v="0.32078974510092823"/>
    <n v="0.16702519522616768"/>
    <n v="0.19790776484455577"/>
    <n v="0.6350670399292766"/>
    <n v="0.36493296007072346"/>
  </r>
  <r>
    <x v="5"/>
    <d v="2023-02-10T00:00:00"/>
    <n v="40451"/>
    <n v="15821"/>
    <n v="36471"/>
    <n v="19876"/>
    <n v="112619"/>
    <n v="0.35918450705475985"/>
    <n v="0.32384411156199222"/>
    <n v="0.14048251183192889"/>
    <n v="0.17648886955131904"/>
    <n v="0.68302861861675201"/>
    <n v="0.31697138138324793"/>
  </r>
  <r>
    <x v="6"/>
    <d v="2023-02-11T00:00:00"/>
    <n v="47503"/>
    <n v="22579"/>
    <n v="39720"/>
    <n v="26054"/>
    <n v="135856"/>
    <n v="0.34965698975385701"/>
    <n v="0.2923683900600636"/>
    <n v="0.16619803321163584"/>
    <n v="0.19177658697444352"/>
    <n v="0.6420253798139206"/>
    <n v="0.3579746201860794"/>
  </r>
  <r>
    <x v="0"/>
    <d v="2023-02-12T00:00:00"/>
    <n v="25909"/>
    <n v="18440"/>
    <n v="27226"/>
    <n v="17042"/>
    <n v="88617"/>
    <n v="0.29237053838428295"/>
    <n v="0.30723224663439297"/>
    <n v="0.20808648453457013"/>
    <n v="0.19231073044675401"/>
    <n v="0.59960278501867592"/>
    <n v="0.40039721498132413"/>
  </r>
  <r>
    <x v="1"/>
    <d v="2023-02-13T00:00:00"/>
    <n v="26930"/>
    <n v="17971"/>
    <n v="39878"/>
    <n v="13414"/>
    <n v="98193"/>
    <n v="0.27425580234843622"/>
    <n v="0.40611856242298333"/>
    <n v="0.18301711934659293"/>
    <n v="0.13660851588198752"/>
    <n v="0.68037436477141955"/>
    <n v="0.31962563522858045"/>
  </r>
  <r>
    <x v="2"/>
    <d v="2023-02-14T00:00:00"/>
    <n v="37543"/>
    <n v="13113"/>
    <n v="20829"/>
    <n v="15273"/>
    <n v="86758"/>
    <n v="0.4327324281334286"/>
    <n v="0.24008160630719932"/>
    <n v="0.15114456303741441"/>
    <n v="0.17604140252195763"/>
    <n v="0.67281403444062793"/>
    <n v="0.32718596555937207"/>
  </r>
  <r>
    <x v="3"/>
    <d v="2023-02-15T00:00:00"/>
    <n v="25676"/>
    <n v="9156"/>
    <n v="23568"/>
    <n v="15044"/>
    <n v="73444"/>
    <n v="0.34959969500571864"/>
    <n v="0.32089755459942271"/>
    <n v="0.12466641250476554"/>
    <n v="0.20483633789009315"/>
    <n v="0.67049724960514134"/>
    <n v="0.32950275039485866"/>
  </r>
  <r>
    <x v="4"/>
    <d v="2023-02-16T00:00:00"/>
    <n v="25099"/>
    <n v="6922"/>
    <n v="13219"/>
    <n v="14560"/>
    <n v="59800"/>
    <n v="0.41971571906354516"/>
    <n v="0.22105351170568563"/>
    <n v="0.11575250836120402"/>
    <n v="0.24347826086956523"/>
    <n v="0.64076923076923076"/>
    <n v="0.35923076923076924"/>
  </r>
  <r>
    <x v="5"/>
    <d v="2023-02-17T00:00:00"/>
    <n v="39705"/>
    <n v="14338"/>
    <n v="30855"/>
    <n v="18653"/>
    <n v="103551"/>
    <n v="0.38343424978995855"/>
    <n v="0.29796911666714954"/>
    <n v="0.13846317273613967"/>
    <n v="0.18013346080675222"/>
    <n v="0.68140336645710808"/>
    <n v="0.31859663354289192"/>
  </r>
  <r>
    <x v="6"/>
    <d v="2023-02-18T00:00:00"/>
    <n v="47861"/>
    <n v="23743"/>
    <n v="38703"/>
    <n v="22039"/>
    <n v="132346"/>
    <n v="0.36163541021262446"/>
    <n v="0.29243800341529025"/>
    <n v="0.17940096413945264"/>
    <n v="0.16652562223263265"/>
    <n v="0.65407341362791471"/>
    <n v="0.34592658637208529"/>
  </r>
  <r>
    <x v="0"/>
    <d v="2023-02-19T00:00:00"/>
    <n v="36797"/>
    <n v="22041"/>
    <n v="37291"/>
    <n v="20881"/>
    <n v="117010"/>
    <n v="0.3144773950944364"/>
    <n v="0.31869925647380565"/>
    <n v="0.18836851551149475"/>
    <n v="0.17845483292026323"/>
    <n v="0.63317665156824199"/>
    <n v="0.36682334843175796"/>
  </r>
  <r>
    <x v="1"/>
    <d v="2023-02-20T00:00:00"/>
    <n v="24407"/>
    <n v="16502"/>
    <n v="37113"/>
    <n v="15521"/>
    <n v="93543"/>
    <n v="0.26091743903873083"/>
    <n v="0.39674801962733713"/>
    <n v="0.17641084848679217"/>
    <n v="0.16592369284713981"/>
    <n v="0.65766545866606796"/>
    <n v="0.34233454133393199"/>
  </r>
  <r>
    <x v="2"/>
    <d v="2023-02-21T00:00:00"/>
    <n v="41698"/>
    <n v="15016"/>
    <n v="30992"/>
    <n v="15841"/>
    <n v="103547"/>
    <n v="0.40269636010700455"/>
    <n v="0.29930369783769689"/>
    <n v="0.14501627280365437"/>
    <n v="0.15298366925164419"/>
    <n v="0.70200005794470144"/>
    <n v="0.29799994205529856"/>
  </r>
  <r>
    <x v="3"/>
    <d v="2023-02-22T00:00:00"/>
    <n v="29392"/>
    <n v="16309"/>
    <n v="30896"/>
    <n v="9941"/>
    <n v="86538"/>
    <n v="0.33964270031662391"/>
    <n v="0.35702234856363679"/>
    <n v="0.18846056067854583"/>
    <n v="0.11487439044119346"/>
    <n v="0.69666504888026071"/>
    <n v="0.30333495111973929"/>
  </r>
  <r>
    <x v="4"/>
    <d v="2023-02-23T00:00:00"/>
    <n v="30141"/>
    <n v="7798"/>
    <n v="21088"/>
    <n v="10840"/>
    <n v="69867"/>
    <n v="0.43140538451629523"/>
    <n v="0.30183062103711339"/>
    <n v="0.11161206291954714"/>
    <n v="0.15515193152704423"/>
    <n v="0.73323600555340862"/>
    <n v="0.26676399444659138"/>
  </r>
  <r>
    <x v="5"/>
    <d v="2023-02-24T00:00:00"/>
    <n v="36038"/>
    <n v="16262"/>
    <n v="35613"/>
    <n v="19311"/>
    <n v="107224"/>
    <n v="0.33610012683727525"/>
    <n v="0.33213646198612251"/>
    <n v="0.15166380661046033"/>
    <n v="0.18009960456614191"/>
    <n v="0.66823658882339776"/>
    <n v="0.33176341117660224"/>
  </r>
  <r>
    <x v="6"/>
    <d v="2023-02-25T00:00:00"/>
    <n v="46749"/>
    <n v="25678"/>
    <n v="46242"/>
    <n v="20918"/>
    <n v="139587"/>
    <n v="0.3349094113348664"/>
    <n v="0.33127726794042422"/>
    <n v="0.18395695874257631"/>
    <n v="0.14985636198213301"/>
    <n v="0.66618667927529063"/>
    <n v="0.33381332072470932"/>
  </r>
  <r>
    <x v="0"/>
    <d v="2023-02-26T00:00:00"/>
    <n v="37803"/>
    <n v="20504"/>
    <n v="35682"/>
    <n v="22357"/>
    <n v="116346"/>
    <n v="0.32491877675210151"/>
    <n v="0.30668867000154709"/>
    <n v="0.17623296030804669"/>
    <n v="0.1921595929383047"/>
    <n v="0.63160744675364855"/>
    <n v="0.3683925532463514"/>
  </r>
  <r>
    <x v="1"/>
    <d v="2023-02-27T00:00:00"/>
    <n v="37768"/>
    <n v="15553"/>
    <n v="32853"/>
    <n v="13292"/>
    <n v="99466"/>
    <n v="0.37970763879114472"/>
    <n v="0.33029376872499144"/>
    <n v="0.15636498904148152"/>
    <n v="0.13363360344238231"/>
    <n v="0.71000140751613616"/>
    <n v="0.28999859248386384"/>
  </r>
  <r>
    <x v="2"/>
    <d v="2023-02-28T00:00:00"/>
    <n v="39996"/>
    <n v="10761"/>
    <n v="19485"/>
    <n v="12243"/>
    <n v="82485"/>
    <n v="0.48488816148390618"/>
    <n v="0.23622476813966176"/>
    <n v="0.13046008365157302"/>
    <n v="0.14842698672485907"/>
    <n v="0.72111292962356788"/>
    <n v="0.27888707037643207"/>
  </r>
  <r>
    <x v="3"/>
    <d v="2023-03-01T00:00:00"/>
    <n v="32348"/>
    <n v="10152"/>
    <n v="21819"/>
    <n v="16262"/>
    <n v="80581"/>
    <n v="0.40143458135292437"/>
    <n v="0.27077102542783038"/>
    <n v="0.125985033692806"/>
    <n v="0.20180935952643925"/>
    <n v="0.67220560678075481"/>
    <n v="0.32779439321924525"/>
  </r>
  <r>
    <x v="4"/>
    <d v="2023-03-02T00:00:00"/>
    <n v="15051"/>
    <n v="9785"/>
    <n v="21044"/>
    <n v="13824"/>
    <n v="59704"/>
    <n v="0.25209366206619321"/>
    <n v="0.35247219616776093"/>
    <n v="0.16389186654160526"/>
    <n v="0.23154227522444057"/>
    <n v="0.60456585823395415"/>
    <n v="0.3954341417660458"/>
  </r>
  <r>
    <x v="5"/>
    <d v="2023-03-03T00:00:00"/>
    <n v="40154"/>
    <n v="17511"/>
    <n v="41178"/>
    <n v="20546"/>
    <n v="119389"/>
    <n v="0.33632914255082125"/>
    <n v="0.34490614713248291"/>
    <n v="0.1466718039350359"/>
    <n v="0.17209290638165994"/>
    <n v="0.68123528968330416"/>
    <n v="0.31876471031669584"/>
  </r>
  <r>
    <x v="6"/>
    <d v="2023-03-04T00:00:00"/>
    <n v="29335"/>
    <n v="21912"/>
    <n v="35346"/>
    <n v="23714"/>
    <n v="110307"/>
    <n v="0.26593960492081192"/>
    <n v="0.32043297342870353"/>
    <n v="0.19864559819413091"/>
    <n v="0.21498182345635364"/>
    <n v="0.58637257834951539"/>
    <n v="0.41362742165048455"/>
  </r>
  <r>
    <x v="0"/>
    <d v="2023-03-05T00:00:00"/>
    <n v="34571"/>
    <n v="24880"/>
    <n v="39410"/>
    <n v="22981"/>
    <n v="121842"/>
    <n v="0.28373631424303608"/>
    <n v="0.32345168332758817"/>
    <n v="0.20419888051739138"/>
    <n v="0.18861312191198437"/>
    <n v="0.60718799757062425"/>
    <n v="0.39281200242937575"/>
  </r>
  <r>
    <x v="1"/>
    <d v="2023-03-06T00:00:00"/>
    <n v="34993"/>
    <n v="15957"/>
    <n v="36124"/>
    <n v="14313"/>
    <n v="101387"/>
    <n v="0.34514286841508279"/>
    <n v="0.35629814473255939"/>
    <n v="0.15738704173118842"/>
    <n v="0.14117194512116937"/>
    <n v="0.70144101314764218"/>
    <n v="0.29855898685235782"/>
  </r>
  <r>
    <x v="2"/>
    <d v="2023-03-07T00:00:00"/>
    <n v="34584"/>
    <n v="9998"/>
    <n v="28259"/>
    <n v="11744"/>
    <n v="84585"/>
    <n v="0.40886682035821953"/>
    <n v="0.33408996867056806"/>
    <n v="0.11820062658863864"/>
    <n v="0.13884258438257374"/>
    <n v="0.74295678902878759"/>
    <n v="0.25704321097121241"/>
  </r>
  <r>
    <x v="3"/>
    <d v="2023-03-08T00:00:00"/>
    <n v="25307"/>
    <n v="12891"/>
    <n v="29829"/>
    <n v="15339"/>
    <n v="83366"/>
    <n v="0.30356500251901253"/>
    <n v="0.35780773936616844"/>
    <n v="0.15463138449727706"/>
    <n v="0.18399587361754191"/>
    <n v="0.66137274188518103"/>
    <n v="0.33862725811481897"/>
  </r>
  <r>
    <x v="4"/>
    <d v="2023-03-09T00:00:00"/>
    <n v="27472"/>
    <n v="11675"/>
    <n v="25025"/>
    <n v="16097"/>
    <n v="80269"/>
    <n v="0.34224918710834817"/>
    <n v="0.31176419290136914"/>
    <n v="0.14544842965528409"/>
    <n v="0.20053819033499856"/>
    <n v="0.65401338000971732"/>
    <n v="0.34598661999028268"/>
  </r>
  <r>
    <x v="5"/>
    <d v="2023-03-10T00:00:00"/>
    <n v="40915"/>
    <n v="16633"/>
    <n v="24790"/>
    <n v="18863"/>
    <n v="101201"/>
    <n v="0.40429442396814258"/>
    <n v="0.24495805377417218"/>
    <n v="0.16435608343791069"/>
    <n v="0.18639143881977452"/>
    <n v="0.64925247774231476"/>
    <n v="0.35074752225768518"/>
  </r>
  <r>
    <x v="6"/>
    <d v="2023-03-11T00:00:00"/>
    <n v="42602"/>
    <n v="22207"/>
    <n v="42590"/>
    <n v="19405"/>
    <n v="126804"/>
    <n v="0.33596731964291349"/>
    <n v="0.33587268540424592"/>
    <n v="0.17512854484085674"/>
    <n v="0.15303145011198385"/>
    <n v="0.67184000504715935"/>
    <n v="0.32815999495284059"/>
  </r>
  <r>
    <x v="0"/>
    <d v="2023-03-12T00:00:00"/>
    <n v="38698"/>
    <n v="25109"/>
    <n v="38980"/>
    <n v="24977"/>
    <n v="127764"/>
    <n v="0.30288657211734132"/>
    <n v="0.30509376663222815"/>
    <n v="0.1965264080648696"/>
    <n v="0.19549325318556088"/>
    <n v="0.60798033874956947"/>
    <n v="0.39201966125043047"/>
  </r>
  <r>
    <x v="1"/>
    <d v="2023-03-13T00:00:00"/>
    <n v="32595"/>
    <n v="17166"/>
    <n v="36306"/>
    <n v="13642"/>
    <n v="99709"/>
    <n v="0.32690128273275232"/>
    <n v="0.36411958800108313"/>
    <n v="0.17216098847646652"/>
    <n v="0.13681814078969803"/>
    <n v="0.69102087073383545"/>
    <n v="0.30897912926616455"/>
  </r>
  <r>
    <x v="2"/>
    <d v="2023-03-14T00:00:00"/>
    <n v="38140"/>
    <n v="11442"/>
    <n v="32374"/>
    <n v="16274"/>
    <n v="98230"/>
    <n v="0.38827242186704675"/>
    <n v="0.32957345006617123"/>
    <n v="0.11648172656011402"/>
    <n v="0.16567240150666804"/>
    <n v="0.71784587193321792"/>
    <n v="0.28215412806678203"/>
  </r>
  <r>
    <x v="3"/>
    <d v="2023-03-15T00:00:00"/>
    <n v="27257"/>
    <n v="12077"/>
    <n v="31711"/>
    <n v="13134"/>
    <n v="84179"/>
    <n v="0.32379809691253164"/>
    <n v="0.3767091554900866"/>
    <n v="0.14346808586464557"/>
    <n v="0.15602466173273619"/>
    <n v="0.70050725240261824"/>
    <n v="0.29949274759738176"/>
  </r>
  <r>
    <x v="4"/>
    <d v="2023-03-16T00:00:00"/>
    <n v="20212"/>
    <n v="13826"/>
    <n v="32660"/>
    <n v="14372"/>
    <n v="81070"/>
    <n v="0.24931540643887998"/>
    <n v="0.40286172443567286"/>
    <n v="0.17054397434316024"/>
    <n v="0.17727889478228692"/>
    <n v="0.65217713087455287"/>
    <n v="0.34782286912544713"/>
  </r>
  <r>
    <x v="5"/>
    <d v="2023-03-17T00:00:00"/>
    <n v="36652"/>
    <n v="16914"/>
    <n v="31487"/>
    <n v="18317"/>
    <n v="103370"/>
    <n v="0.354570958692077"/>
    <n v="0.30460481764535163"/>
    <n v="0.16362581019638192"/>
    <n v="0.17719841346618942"/>
    <n v="0.65917577633742863"/>
    <n v="0.34082422366257137"/>
  </r>
  <r>
    <x v="6"/>
    <d v="2023-03-18T00:00:00"/>
    <n v="49455"/>
    <n v="24064"/>
    <n v="39045"/>
    <n v="22262"/>
    <n v="134826"/>
    <n v="0.36680610564727872"/>
    <n v="0.28959547861688401"/>
    <n v="0.17848189518342158"/>
    <n v="0.16511652055241571"/>
    <n v="0.65640158426416273"/>
    <n v="0.34359841573583733"/>
  </r>
  <r>
    <x v="0"/>
    <d v="2023-03-19T00:00:00"/>
    <n v="53436"/>
    <n v="26024"/>
    <n v="49192"/>
    <n v="21829"/>
    <n v="150481"/>
    <n v="0.35510130847083687"/>
    <n v="0.32689841242415985"/>
    <n v="0.17293877632392129"/>
    <n v="0.14506150278108199"/>
    <n v="0.68199972089499672"/>
    <n v="0.31800027910500328"/>
  </r>
  <r>
    <x v="1"/>
    <d v="2023-03-20T00:00:00"/>
    <n v="59804"/>
    <n v="20480"/>
    <n v="44221"/>
    <n v="14622"/>
    <n v="139127"/>
    <n v="0.42985186196784231"/>
    <n v="0.31784628433014439"/>
    <n v="0.1472036340897166"/>
    <n v="0.10509821961229668"/>
    <n v="0.7476981462979867"/>
    <n v="0.25230185370201325"/>
  </r>
  <r>
    <x v="2"/>
    <d v="2023-03-21T00:00:00"/>
    <n v="47206"/>
    <n v="17029"/>
    <n v="31837"/>
    <n v="23692"/>
    <n v="119764"/>
    <n v="0.39415851173975486"/>
    <n v="0.2658311345646438"/>
    <n v="0.1421879696736916"/>
    <n v="0.19782238402190977"/>
    <n v="0.6599896463043986"/>
    <n v="0.34001035369560134"/>
  </r>
  <r>
    <x v="3"/>
    <d v="2023-03-22T00:00:00"/>
    <n v="40916"/>
    <n v="13660"/>
    <n v="33872"/>
    <n v="17126"/>
    <n v="105574"/>
    <n v="0.38755754257677077"/>
    <n v="0.32083656960994184"/>
    <n v="0.12938791747968251"/>
    <n v="0.16221797033360486"/>
    <n v="0.70839411218671267"/>
    <n v="0.29160588781328739"/>
  </r>
  <r>
    <x v="4"/>
    <d v="2023-03-23T00:00:00"/>
    <n v="41887"/>
    <n v="8796"/>
    <n v="25849"/>
    <n v="20006"/>
    <n v="96538"/>
    <n v="0.4338913174086888"/>
    <n v="0.26775984586380491"/>
    <n v="9.111437982970437E-2"/>
    <n v="0.2072344568978019"/>
    <n v="0.70165116327249377"/>
    <n v="0.29834883672750628"/>
  </r>
  <r>
    <x v="5"/>
    <d v="2023-03-24T00:00:00"/>
    <n v="38449"/>
    <n v="17785"/>
    <n v="46916"/>
    <n v="19857"/>
    <n v="123007"/>
    <n v="0.31257570707358118"/>
    <n v="0.38140918809498647"/>
    <n v="0.14458526750510134"/>
    <n v="0.16142983732633101"/>
    <n v="0.69398489516856765"/>
    <n v="0.30601510483143235"/>
  </r>
  <r>
    <x v="6"/>
    <d v="2023-03-25T00:00:00"/>
    <n v="55782"/>
    <n v="16966"/>
    <n v="42002"/>
    <n v="20828"/>
    <n v="135578"/>
    <n v="0.41143843396421248"/>
    <n v="0.3097995249966809"/>
    <n v="0.12513829677381286"/>
    <n v="0.15362374426529377"/>
    <n v="0.72123795896089338"/>
    <n v="0.27876204103910662"/>
  </r>
  <r>
    <x v="0"/>
    <d v="2023-03-26T00:00:00"/>
    <n v="36641"/>
    <n v="22537"/>
    <n v="55754"/>
    <n v="20351"/>
    <n v="135283"/>
    <n v="0.27084703916974046"/>
    <n v="0.41212864883244754"/>
    <n v="0.16659151556367024"/>
    <n v="0.15043279643414176"/>
    <n v="0.682975688002188"/>
    <n v="0.317024311997812"/>
  </r>
  <r>
    <x v="1"/>
    <d v="2023-03-27T00:00:00"/>
    <n v="63240"/>
    <n v="19012"/>
    <n v="37540"/>
    <n v="17154"/>
    <n v="136946"/>
    <n v="0.46178785798782002"/>
    <n v="0.27412264688271287"/>
    <n v="0.1388284433280271"/>
    <n v="0.12526105180143998"/>
    <n v="0.73591050487053289"/>
    <n v="0.26408949512946711"/>
  </r>
  <r>
    <x v="2"/>
    <d v="2023-03-28T00:00:00"/>
    <n v="62750"/>
    <n v="17493"/>
    <n v="37370"/>
    <n v="17543"/>
    <n v="135156"/>
    <n v="0.46427831542809789"/>
    <n v="0.27649530912427123"/>
    <n v="0.12942821628340584"/>
    <n v="0.12979815916422505"/>
    <n v="0.74077362455236906"/>
    <n v="0.25922637544763089"/>
  </r>
  <r>
    <x v="3"/>
    <d v="2023-03-29T00:00:00"/>
    <n v="38985"/>
    <n v="15407"/>
    <n v="36968"/>
    <n v="16881"/>
    <n v="108241"/>
    <n v="0.36016851285557228"/>
    <n v="0.34153416912260603"/>
    <n v="0.14233977882687707"/>
    <n v="0.15595753919494462"/>
    <n v="0.70170268197817831"/>
    <n v="0.29829731802182169"/>
  </r>
  <r>
    <x v="4"/>
    <d v="2023-03-30T00:00:00"/>
    <n v="35173"/>
    <n v="8505"/>
    <n v="33425"/>
    <n v="13119"/>
    <n v="90222"/>
    <n v="0.38984948238788764"/>
    <n v="0.37047505043115869"/>
    <n v="9.4267473565205831E-2"/>
    <n v="0.14540799361574783"/>
    <n v="0.76032453281904633"/>
    <n v="0.23967546718095364"/>
  </r>
  <r>
    <x v="5"/>
    <d v="2023-03-31T00:00:00"/>
    <n v="38612"/>
    <n v="15109"/>
    <n v="20764"/>
    <n v="15868"/>
    <n v="90353"/>
    <n v="0.42734607594656515"/>
    <n v="0.22980974621761313"/>
    <n v="0.16722189633991125"/>
    <n v="0.17562228149591047"/>
    <n v="0.65715582216417823"/>
    <n v="0.34284417783582172"/>
  </r>
  <r>
    <x v="6"/>
    <d v="2023-04-01T00:00:00"/>
    <n v="40944"/>
    <n v="19155"/>
    <n v="61809"/>
    <n v="25345"/>
    <n v="147253"/>
    <n v="0.27805206005989691"/>
    <n v="0.41974696610595369"/>
    <n v="0.1300822394110816"/>
    <n v="0.17211873442306777"/>
    <n v="0.69779902616585066"/>
    <n v="0.3022009738341494"/>
  </r>
  <r>
    <x v="0"/>
    <d v="2023-04-02T00:00:00"/>
    <n v="44323"/>
    <n v="21554"/>
    <n v="36284"/>
    <n v="17769"/>
    <n v="119930"/>
    <n v="0.36957391811890267"/>
    <n v="0.30254315017093303"/>
    <n v="0.17972150421078964"/>
    <n v="0.14816142749937464"/>
    <n v="0.67211706828983575"/>
    <n v="0.32788293171016425"/>
  </r>
  <r>
    <x v="1"/>
    <d v="2023-04-03T00:00:00"/>
    <n v="42275"/>
    <n v="23633"/>
    <n v="46776"/>
    <n v="13083"/>
    <n v="125767"/>
    <n v="0.33613746054211358"/>
    <n v="0.37192586290521362"/>
    <n v="0.1879109782375345"/>
    <n v="0.10402569831513832"/>
    <n v="0.70806332344732725"/>
    <n v="0.2919366765526728"/>
  </r>
  <r>
    <x v="2"/>
    <d v="2023-04-04T00:00:00"/>
    <n v="33448"/>
    <n v="17452"/>
    <n v="23842"/>
    <n v="12879"/>
    <n v="87621"/>
    <n v="0.38173497220985836"/>
    <n v="0.272103719427991"/>
    <n v="0.1991759966218144"/>
    <n v="0.14698531174033622"/>
    <n v="0.65383869163784936"/>
    <n v="0.34616130836215064"/>
  </r>
  <r>
    <x v="3"/>
    <d v="2023-04-05T00:00:00"/>
    <n v="25397"/>
    <n v="14092"/>
    <n v="38977"/>
    <n v="13248"/>
    <n v="91714"/>
    <n v="0.27691519288222083"/>
    <n v="0.42498418998190024"/>
    <n v="0.15365156900800314"/>
    <n v="0.14444904812787579"/>
    <n v="0.70189938286412112"/>
    <n v="0.29810061713587893"/>
  </r>
  <r>
    <x v="4"/>
    <d v="2023-04-06T00:00:00"/>
    <n v="32763"/>
    <n v="17345"/>
    <n v="27467"/>
    <n v="17543"/>
    <n v="95118"/>
    <n v="0.34444584621207341"/>
    <n v="0.28876763598898209"/>
    <n v="0.18235244643495449"/>
    <n v="0.18443407136398998"/>
    <n v="0.63321348220105556"/>
    <n v="0.36678651779894444"/>
  </r>
  <r>
    <x v="5"/>
    <d v="2023-04-07T00:00:00"/>
    <n v="30258"/>
    <n v="14138"/>
    <n v="38735"/>
    <n v="18388"/>
    <n v="101519"/>
    <n v="0.29805258129020185"/>
    <n v="0.38155419182616063"/>
    <n v="0.13926457116401855"/>
    <n v="0.18112865571961898"/>
    <n v="0.67960677311636242"/>
    <n v="0.32039322688363753"/>
  </r>
  <r>
    <x v="6"/>
    <d v="2023-04-08T00:00:00"/>
    <n v="37791"/>
    <n v="22197"/>
    <n v="41821"/>
    <n v="27810"/>
    <n v="129619"/>
    <n v="0.29155447889584091"/>
    <n v="0.32264559979632618"/>
    <n v="0.17124804233947183"/>
    <n v="0.21455187896836111"/>
    <n v="0.61420007869216708"/>
    <n v="0.38579992130783297"/>
  </r>
  <r>
    <x v="0"/>
    <d v="2023-04-09T00:00:00"/>
    <n v="42199"/>
    <n v="20154"/>
    <n v="23364"/>
    <n v="21557"/>
    <n v="107274"/>
    <n v="0.39337584130357778"/>
    <n v="0.21779741596286145"/>
    <n v="0.18787404217238102"/>
    <n v="0.20095270056117978"/>
    <n v="0.61117325726643923"/>
    <n v="0.38882674273356077"/>
  </r>
  <r>
    <x v="1"/>
    <d v="2023-04-10T00:00:00"/>
    <n v="39769"/>
    <n v="13524"/>
    <n v="43561"/>
    <n v="10942"/>
    <n v="107796"/>
    <n v="0.36892834613529257"/>
    <n v="0.40410590374410926"/>
    <n v="0.12545920071245686"/>
    <n v="0.1015065494081413"/>
    <n v="0.77303424987940184"/>
    <n v="0.22696575012059816"/>
  </r>
  <r>
    <x v="2"/>
    <d v="2023-04-11T00:00:00"/>
    <n v="37885"/>
    <n v="14475"/>
    <n v="26342"/>
    <n v="16034"/>
    <n v="94736"/>
    <n v="0.39990077689579462"/>
    <n v="0.27805691606147609"/>
    <n v="0.15279302482688736"/>
    <n v="0.16924928221584193"/>
    <n v="0.67795769295727071"/>
    <n v="0.32204230704272929"/>
  </r>
  <r>
    <x v="3"/>
    <d v="2023-04-12T00:00:00"/>
    <n v="39560"/>
    <n v="11965"/>
    <n v="17162"/>
    <n v="9637"/>
    <n v="78324"/>
    <n v="0.50508145651396763"/>
    <n v="0.21911546907716664"/>
    <n v="0.15276288238598643"/>
    <n v="0.12304019202287932"/>
    <n v="0.72419692559113424"/>
    <n v="0.27580307440886576"/>
  </r>
  <r>
    <x v="4"/>
    <d v="2023-04-13T00:00:00"/>
    <n v="31840"/>
    <n v="14393"/>
    <n v="26731"/>
    <n v="14592"/>
    <n v="87556"/>
    <n v="0.36365297638083055"/>
    <n v="0.305301749737311"/>
    <n v="0.16438622138973913"/>
    <n v="0.16665905249211932"/>
    <n v="0.66895472611814155"/>
    <n v="0.33104527388185845"/>
  </r>
  <r>
    <x v="5"/>
    <d v="2023-04-14T00:00:00"/>
    <n v="36757"/>
    <n v="23306"/>
    <n v="48475"/>
    <n v="17318"/>
    <n v="125856"/>
    <n v="0.29205600050851765"/>
    <n v="0.38516240783117212"/>
    <n v="0.18517988812611239"/>
    <n v="0.13760170353419782"/>
    <n v="0.67721840833968983"/>
    <n v="0.32278159166031017"/>
  </r>
  <r>
    <x v="6"/>
    <d v="2023-04-15T00:00:00"/>
    <n v="47059"/>
    <n v="25428"/>
    <n v="43140"/>
    <n v="19123"/>
    <n v="134750"/>
    <n v="0.34923191094619666"/>
    <n v="0.32014842300556584"/>
    <n v="0.18870500927643785"/>
    <n v="0.14191465677179962"/>
    <n v="0.66938033395176255"/>
    <n v="0.3306196660482375"/>
  </r>
  <r>
    <x v="0"/>
    <d v="2023-04-16T00:00:00"/>
    <n v="41429"/>
    <n v="27553"/>
    <n v="40388"/>
    <n v="20730"/>
    <n v="130100"/>
    <n v="0.31843966179861644"/>
    <n v="0.31043812451960029"/>
    <n v="0.21178324365872406"/>
    <n v="0.15933897002305919"/>
    <n v="0.62887778631821678"/>
    <n v="0.37112221368178322"/>
  </r>
  <r>
    <x v="1"/>
    <d v="2023-04-17T00:00:00"/>
    <n v="40951"/>
    <n v="23935"/>
    <n v="40748"/>
    <n v="12673"/>
    <n v="118307"/>
    <n v="0.34614181747487471"/>
    <n v="0.344425942674567"/>
    <n v="0.20231262731706492"/>
    <n v="0.10711961253349336"/>
    <n v="0.69056776014944166"/>
    <n v="0.30943223985055829"/>
  </r>
  <r>
    <x v="2"/>
    <d v="2023-04-18T00:00:00"/>
    <n v="46740"/>
    <n v="12452"/>
    <n v="29637"/>
    <n v="17011"/>
    <n v="105840"/>
    <n v="0.44160997732426305"/>
    <n v="0.28001700680272107"/>
    <n v="0.11764928193499621"/>
    <n v="0.16072373393801964"/>
    <n v="0.72162698412698412"/>
    <n v="0.27837301587301588"/>
  </r>
  <r>
    <x v="3"/>
    <d v="2023-04-19T00:00:00"/>
    <n v="38129"/>
    <n v="13003"/>
    <n v="39916"/>
    <n v="18273"/>
    <n v="109321"/>
    <n v="0.34878019776621144"/>
    <n v="0.36512655391004473"/>
    <n v="0.11894329543271649"/>
    <n v="0.16714995289102735"/>
    <n v="0.71390675167625617"/>
    <n v="0.28609324832374383"/>
  </r>
  <r>
    <x v="4"/>
    <d v="2023-04-20T00:00:00"/>
    <n v="35476"/>
    <n v="15233"/>
    <n v="34591"/>
    <n v="12168"/>
    <n v="97468"/>
    <n v="0.36397586900316004"/>
    <n v="0.35489596585546024"/>
    <n v="0.15628719169368407"/>
    <n v="0.12484097344769565"/>
    <n v="0.71887183485862027"/>
    <n v="0.28112816514137973"/>
  </r>
  <r>
    <x v="5"/>
    <d v="2023-04-21T00:00:00"/>
    <n v="52249"/>
    <n v="14810"/>
    <n v="44727"/>
    <n v="16541"/>
    <n v="128327"/>
    <n v="0.40715515830651383"/>
    <n v="0.34853927856179917"/>
    <n v="0.11540829287679132"/>
    <n v="0.1288972702548957"/>
    <n v="0.75569443686831295"/>
    <n v="0.24430556313168703"/>
  </r>
  <r>
    <x v="6"/>
    <d v="2023-04-22T00:00:00"/>
    <n v="59926"/>
    <n v="20933"/>
    <n v="52311"/>
    <n v="21496"/>
    <n v="154666"/>
    <n v="0.38745425626834601"/>
    <n v="0.33821913025487177"/>
    <n v="0.13534325578989564"/>
    <n v="0.13898335768688658"/>
    <n v="0.72567338652321778"/>
    <n v="0.27432661347678222"/>
  </r>
  <r>
    <x v="0"/>
    <d v="2023-04-23T00:00:00"/>
    <n v="56437"/>
    <n v="24973"/>
    <n v="38716"/>
    <n v="19513"/>
    <n v="139639"/>
    <n v="0.40416359326549173"/>
    <n v="0.27725778614856883"/>
    <n v="0.17883972242711563"/>
    <n v="0.13973889815882382"/>
    <n v="0.68142137941406056"/>
    <n v="0.31857862058593944"/>
  </r>
  <r>
    <x v="1"/>
    <d v="2023-04-24T00:00:00"/>
    <n v="58533"/>
    <n v="26593"/>
    <n v="49622"/>
    <n v="12764"/>
    <n v="147512"/>
    <n v="0.39680161613970388"/>
    <n v="0.33639297141927438"/>
    <n v="0.18027685883182384"/>
    <n v="8.6528553609197895E-2"/>
    <n v="0.73319458755897826"/>
    <n v="0.26680541244102174"/>
  </r>
  <r>
    <x v="2"/>
    <d v="2023-04-25T00:00:00"/>
    <n v="53157"/>
    <n v="17064"/>
    <n v="31781"/>
    <n v="17545"/>
    <n v="119547"/>
    <n v="0.44465356721624133"/>
    <n v="0.26584523241904856"/>
    <n v="0.14273883911766921"/>
    <n v="0.14676236124704092"/>
    <n v="0.71049879963528983"/>
    <n v="0.28950120036471011"/>
  </r>
  <r>
    <x v="3"/>
    <d v="2023-04-26T00:00:00"/>
    <n v="40521"/>
    <n v="10802"/>
    <n v="40933"/>
    <n v="17677"/>
    <n v="109933"/>
    <n v="0.3685972364985946"/>
    <n v="0.37234497375674275"/>
    <n v="9.8259849180864708E-2"/>
    <n v="0.16079794056379795"/>
    <n v="0.74094221025533735"/>
    <n v="0.25905778974466265"/>
  </r>
  <r>
    <x v="4"/>
    <d v="2023-04-27T00:00:00"/>
    <n v="28148"/>
    <n v="16607"/>
    <n v="29889"/>
    <n v="10399"/>
    <n v="85043"/>
    <n v="0.33098550145220651"/>
    <n v="0.35145749797161435"/>
    <n v="0.19527768305445481"/>
    <n v="0.1222793175217243"/>
    <n v="0.68244299942382092"/>
    <n v="0.31755700057617908"/>
  </r>
  <r>
    <x v="5"/>
    <d v="2023-04-28T00:00:00"/>
    <n v="40276"/>
    <n v="15414"/>
    <n v="34086"/>
    <n v="15409"/>
    <n v="105185"/>
    <n v="0.38290630793364072"/>
    <n v="0.32405761277748729"/>
    <n v="0.14654180729191424"/>
    <n v="0.14649427199695775"/>
    <n v="0.70696392071112801"/>
    <n v="0.29303607928887199"/>
  </r>
  <r>
    <x v="6"/>
    <d v="2023-04-29T00:00:00"/>
    <n v="43892"/>
    <n v="28925"/>
    <n v="45244"/>
    <n v="16847"/>
    <n v="134908"/>
    <n v="0.325347644320574"/>
    <n v="0.33536928870044769"/>
    <n v="0.21440537255018235"/>
    <n v="0.12487769442879593"/>
    <n v="0.66071693302102175"/>
    <n v="0.33928306697897825"/>
  </r>
  <r>
    <x v="0"/>
    <d v="2023-04-30T00:00:00"/>
    <n v="39477"/>
    <n v="20913"/>
    <n v="55958"/>
    <n v="18175"/>
    <n v="134523"/>
    <n v="0.2934591110813764"/>
    <n v="0.41597347665454976"/>
    <n v="0.15546040454048751"/>
    <n v="0.1351070077235863"/>
    <n v="0.70943258773592621"/>
    <n v="0.29056741226407379"/>
  </r>
  <r>
    <x v="1"/>
    <d v="2023-05-01T00:00:00"/>
    <n v="65009"/>
    <n v="23141"/>
    <n v="51025"/>
    <n v="19605"/>
    <n v="158780"/>
    <n v="0.40942813956417684"/>
    <n v="0.32135659402947475"/>
    <n v="0.14574253684343116"/>
    <n v="0.12347272956291724"/>
    <n v="0.73078473359365159"/>
    <n v="0.26921526640634841"/>
  </r>
  <r>
    <x v="2"/>
    <d v="2023-05-02T00:00:00"/>
    <n v="82985"/>
    <n v="20526"/>
    <n v="35749"/>
    <n v="22034"/>
    <n v="161294"/>
    <n v="0.51449526950785518"/>
    <n v="0.22163874663657668"/>
    <n v="0.12725829851079395"/>
    <n v="0.13660768534477413"/>
    <n v="0.73613401614443186"/>
    <n v="0.26386598385556809"/>
  </r>
  <r>
    <x v="3"/>
    <d v="2023-05-03T00:00:00"/>
    <n v="45408"/>
    <n v="14219"/>
    <n v="38409"/>
    <n v="17147"/>
    <n v="115183"/>
    <n v="0.39422484220761744"/>
    <n v="0.33346066693869753"/>
    <n v="0.12344703645503242"/>
    <n v="0.14886745439865257"/>
    <n v="0.72768550914631502"/>
    <n v="0.27231449085368503"/>
  </r>
  <r>
    <x v="4"/>
    <d v="2023-05-04T00:00:00"/>
    <n v="26956"/>
    <n v="15735"/>
    <n v="25775"/>
    <n v="11724"/>
    <n v="80190"/>
    <n v="0.33615163985534358"/>
    <n v="0.32142411772041402"/>
    <n v="0.19622147399925177"/>
    <n v="0.14620276842499064"/>
    <n v="0.65757575757575759"/>
    <n v="0.34242424242424241"/>
  </r>
  <r>
    <x v="5"/>
    <d v="2023-05-05T00:00:00"/>
    <n v="54019"/>
    <n v="19606"/>
    <n v="36506"/>
    <n v="11723"/>
    <n v="121854"/>
    <n v="0.44330920609910218"/>
    <n v="0.29958803157877462"/>
    <n v="0.16089746746105996"/>
    <n v="9.6205294861063245E-2"/>
    <n v="0.74289723767787685"/>
    <n v="0.2571027623221232"/>
  </r>
  <r>
    <x v="6"/>
    <d v="2023-05-06T00:00:00"/>
    <n v="41130"/>
    <n v="27018"/>
    <n v="46751"/>
    <n v="14160"/>
    <n v="129059"/>
    <n v="0.31869145119673947"/>
    <n v="0.36224517468754602"/>
    <n v="0.20934611301807701"/>
    <n v="0.10971726109763752"/>
    <n v="0.6809366258842855"/>
    <n v="0.3190633741157145"/>
  </r>
  <r>
    <x v="0"/>
    <d v="2023-05-07T00:00:00"/>
    <n v="35356"/>
    <n v="22047"/>
    <n v="43077"/>
    <n v="18642"/>
    <n v="119122"/>
    <n v="0.29680495626332665"/>
    <n v="0.3616208592871174"/>
    <n v="0.18507916253924547"/>
    <n v="0.15649502191031045"/>
    <n v="0.6584258155504441"/>
    <n v="0.3415741844495559"/>
  </r>
  <r>
    <x v="1"/>
    <d v="2023-05-08T00:00:00"/>
    <n v="54132"/>
    <n v="22147"/>
    <n v="57350"/>
    <n v="16132"/>
    <n v="149761"/>
    <n v="0.36145591976549302"/>
    <n v="0.38294348996067068"/>
    <n v="0.1478822924526412"/>
    <n v="0.1077182978211951"/>
    <n v="0.7443994097261637"/>
    <n v="0.2556005902738363"/>
  </r>
  <r>
    <x v="2"/>
    <d v="2023-05-09T00:00:00"/>
    <n v="60147"/>
    <n v="19396"/>
    <n v="44567"/>
    <n v="14303"/>
    <n v="138413"/>
    <n v="0.4345473329817286"/>
    <n v="0.32198565163676823"/>
    <n v="0.14013134604408545"/>
    <n v="0.10333566933741772"/>
    <n v="0.75653298461849683"/>
    <n v="0.24346701538150317"/>
  </r>
  <r>
    <x v="3"/>
    <d v="2023-05-10T00:00:00"/>
    <n v="45263"/>
    <n v="19561"/>
    <n v="36283"/>
    <n v="16388"/>
    <n v="117495"/>
    <n v="0.3852334141878378"/>
    <n v="0.30880462998425467"/>
    <n v="0.16648368015660242"/>
    <n v="0.13947827567130516"/>
    <n v="0.69403804417209247"/>
    <n v="0.30596195582790758"/>
  </r>
  <r>
    <x v="4"/>
    <d v="2023-05-11T00:00:00"/>
    <n v="51068"/>
    <n v="19169"/>
    <n v="30521"/>
    <n v="11708"/>
    <n v="112466"/>
    <n v="0.45407500933615491"/>
    <n v="0.27137979478242313"/>
    <n v="0.17044262265929258"/>
    <n v="0.10410257322212936"/>
    <n v="0.7254548041185781"/>
    <n v="0.27454519588142196"/>
  </r>
  <r>
    <x v="5"/>
    <d v="2023-05-12T00:00:00"/>
    <n v="56429"/>
    <n v="22035"/>
    <n v="41172"/>
    <n v="15235"/>
    <n v="134871"/>
    <n v="0.41839238976503473"/>
    <n v="0.30526947972507062"/>
    <n v="0.16337833930199969"/>
    <n v="0.11295979120789496"/>
    <n v="0.72366186949010536"/>
    <n v="0.27633813050989464"/>
  </r>
  <r>
    <x v="6"/>
    <d v="2023-05-13T00:00:00"/>
    <n v="62839"/>
    <n v="20251"/>
    <n v="40786"/>
    <n v="17347"/>
    <n v="141223"/>
    <n v="0.44496293096733536"/>
    <n v="0.2888056478052442"/>
    <n v="0.14339732196596872"/>
    <n v="0.12283409926145175"/>
    <n v="0.73376857877257951"/>
    <n v="0.26623142122742044"/>
  </r>
  <r>
    <x v="0"/>
    <d v="2023-05-14T00:00:00"/>
    <n v="55746"/>
    <n v="24078"/>
    <n v="55913"/>
    <n v="21821"/>
    <n v="157558"/>
    <n v="0.35381256426204954"/>
    <n v="0.35487249139999238"/>
    <n v="0.15281991393645514"/>
    <n v="0.13849503040150293"/>
    <n v="0.70868505566204187"/>
    <n v="0.29131494433795807"/>
  </r>
  <r>
    <x v="1"/>
    <d v="2023-05-15T00:00:00"/>
    <n v="59307"/>
    <n v="25235"/>
    <n v="54375"/>
    <n v="21117"/>
    <n v="160034"/>
    <n v="0.37058999962507966"/>
    <n v="0.339771548545934"/>
    <n v="0.1576852418860992"/>
    <n v="0.13195320994288715"/>
    <n v="0.71036154817101371"/>
    <n v="0.28963845182898634"/>
  </r>
  <r>
    <x v="2"/>
    <d v="2023-05-16T00:00:00"/>
    <n v="66476"/>
    <n v="18271"/>
    <n v="60385"/>
    <n v="21932"/>
    <n v="167064"/>
    <n v="0.39790738878513626"/>
    <n v="0.36144830723555044"/>
    <n v="0.1093652731887181"/>
    <n v="0.13127903079059522"/>
    <n v="0.75935569602068664"/>
    <n v="0.24064430397931333"/>
  </r>
  <r>
    <x v="3"/>
    <d v="2023-05-17T00:00:00"/>
    <n v="47170"/>
    <n v="13738"/>
    <n v="40943"/>
    <n v="20386"/>
    <n v="122237"/>
    <n v="0.38588970606281242"/>
    <n v="0.33494768359825583"/>
    <n v="0.11238822942316974"/>
    <n v="0.16677438091576199"/>
    <n v="0.72083738966106825"/>
    <n v="0.27916261033893175"/>
  </r>
  <r>
    <x v="4"/>
    <d v="2023-05-18T00:00:00"/>
    <n v="51874"/>
    <n v="21726"/>
    <n v="32915"/>
    <n v="13727"/>
    <n v="120242"/>
    <n v="0.43141331647843517"/>
    <n v="0.27373962508940303"/>
    <n v="0.18068561733836763"/>
    <n v="0.11416144109379418"/>
    <n v="0.70515294156783814"/>
    <n v="0.2948470584321618"/>
  </r>
  <r>
    <x v="5"/>
    <d v="2023-05-19T00:00:00"/>
    <n v="37107"/>
    <n v="10025"/>
    <n v="41732"/>
    <n v="17399"/>
    <n v="106263"/>
    <n v="0.34919962733971371"/>
    <n v="0.39272371380442861"/>
    <n v="9.4341398228922582E-2"/>
    <n v="0.16373526062693505"/>
    <n v="0.74192334114414238"/>
    <n v="0.25807665885585762"/>
  </r>
  <r>
    <x v="6"/>
    <d v="2023-05-20T00:00:00"/>
    <n v="59702"/>
    <n v="20432"/>
    <n v="52830"/>
    <n v="21395"/>
    <n v="154359"/>
    <n v="0.38677368990470268"/>
    <n v="0.34225409597108042"/>
    <n v="0.13236675542080475"/>
    <n v="0.13860545870341218"/>
    <n v="0.7290277858757831"/>
    <n v="0.2709722141242169"/>
  </r>
  <r>
    <x v="0"/>
    <d v="2023-05-21T00:00:00"/>
    <n v="51898"/>
    <n v="22344"/>
    <n v="62619"/>
    <n v="22928"/>
    <n v="159789"/>
    <n v="0.32479081789109387"/>
    <n v="0.39188554906783318"/>
    <n v="0.13983440662373506"/>
    <n v="0.14348922641733786"/>
    <n v="0.71667636695892711"/>
    <n v="0.28332363304107294"/>
  </r>
  <r>
    <x v="1"/>
    <d v="2023-05-22T00:00:00"/>
    <n v="70285"/>
    <n v="25077"/>
    <n v="57525"/>
    <n v="19939"/>
    <n v="172826"/>
    <n v="0.4066807077638781"/>
    <n v="0.33284922407508127"/>
    <n v="0.1450996956476456"/>
    <n v="0.11537037251339498"/>
    <n v="0.73952993183895943"/>
    <n v="0.26047006816104057"/>
  </r>
  <r>
    <x v="2"/>
    <d v="2023-05-23T00:00:00"/>
    <n v="94560"/>
    <n v="19572"/>
    <n v="58304"/>
    <n v="19989"/>
    <n v="192425"/>
    <n v="0.49141223853449395"/>
    <n v="0.30299597245680138"/>
    <n v="0.10171235546316747"/>
    <n v="0.10387943354553722"/>
    <n v="0.79440821099129533"/>
    <n v="0.2055917890087047"/>
  </r>
  <r>
    <x v="3"/>
    <d v="2023-05-24T00:00:00"/>
    <n v="47908"/>
    <n v="18333"/>
    <n v="39939"/>
    <n v="22787"/>
    <n v="128967"/>
    <n v="0.37147487341723079"/>
    <n v="0.30968387261857683"/>
    <n v="0.14215264369955105"/>
    <n v="0.17668861026464133"/>
    <n v="0.68115874603580762"/>
    <n v="0.31884125396419238"/>
  </r>
  <r>
    <x v="4"/>
    <d v="2023-05-25T00:00:00"/>
    <n v="64179"/>
    <n v="15151"/>
    <n v="31687"/>
    <n v="18737"/>
    <n v="129754"/>
    <n v="0.49462058973133777"/>
    <n v="0.24420827103596035"/>
    <n v="0.11676711315258104"/>
    <n v="0.14440402608012085"/>
    <n v="0.73882886076729815"/>
    <n v="0.26117113923270185"/>
  </r>
  <r>
    <x v="5"/>
    <d v="2023-05-26T00:00:00"/>
    <n v="60809"/>
    <n v="17225"/>
    <n v="35123"/>
    <n v="15415"/>
    <n v="128572"/>
    <n v="0.47295678685872505"/>
    <n v="0.27317767476588994"/>
    <n v="0.1339716267927698"/>
    <n v="0.11989391158261518"/>
    <n v="0.74613446162461505"/>
    <n v="0.253865538375385"/>
  </r>
  <r>
    <x v="6"/>
    <d v="2023-05-27T00:00:00"/>
    <n v="38343"/>
    <n v="23380"/>
    <n v="44890"/>
    <n v="17203"/>
    <n v="123816"/>
    <n v="0.30967726303547199"/>
    <n v="0.36255411255411257"/>
    <n v="0.18882858435097241"/>
    <n v="0.13894004005944305"/>
    <n v="0.67223137558958457"/>
    <n v="0.32776862441041543"/>
  </r>
  <r>
    <x v="0"/>
    <d v="2023-05-28T00:00:00"/>
    <n v="34792"/>
    <n v="23882"/>
    <n v="53102"/>
    <n v="15480"/>
    <n v="127256"/>
    <n v="0.27340164707361542"/>
    <n v="0.4172848431508141"/>
    <n v="0.18766895077638776"/>
    <n v="0.12164455899918275"/>
    <n v="0.69068649022442952"/>
    <n v="0.30931350977557048"/>
  </r>
  <r>
    <x v="1"/>
    <d v="2023-05-29T00:00:00"/>
    <n v="45876"/>
    <n v="23352"/>
    <n v="52585"/>
    <n v="23556"/>
    <n v="145369"/>
    <n v="0.31558310231204728"/>
    <n v="0.36173462017348951"/>
    <n v="0.16063947609187654"/>
    <n v="0.16204280142258665"/>
    <n v="0.67731772248553679"/>
    <n v="0.32268227751446321"/>
  </r>
  <r>
    <x v="2"/>
    <d v="2023-05-30T00:00:00"/>
    <n v="64114"/>
    <n v="18362"/>
    <n v="39615"/>
    <n v="15965"/>
    <n v="138056"/>
    <n v="0.46440574839195686"/>
    <n v="0.28694877441038419"/>
    <n v="0.13300399837747001"/>
    <n v="0.11564147882018891"/>
    <n v="0.75135452280234105"/>
    <n v="0.24864547719765892"/>
  </r>
  <r>
    <x v="3"/>
    <d v="2023-05-31T00:00:00"/>
    <n v="47592"/>
    <n v="17914"/>
    <n v="27189"/>
    <n v="16754"/>
    <n v="109449"/>
    <n v="0.43483266178768193"/>
    <n v="0.24841707096455884"/>
    <n v="0.16367440543083994"/>
    <n v="0.15307586181691929"/>
    <n v="0.68324973275224077"/>
    <n v="0.31675026724775923"/>
  </r>
  <r>
    <x v="4"/>
    <d v="2023-06-01T00:00:00"/>
    <n v="43634"/>
    <n v="22852"/>
    <n v="28335"/>
    <n v="14853"/>
    <n v="109674"/>
    <n v="0.39785181538012654"/>
    <n v="0.25835658405820888"/>
    <n v="0.20836296661013548"/>
    <n v="0.13542863395152907"/>
    <n v="0.65620839943833542"/>
    <n v="0.34379160056166458"/>
  </r>
  <r>
    <x v="5"/>
    <d v="2023-06-02T00:00:00"/>
    <n v="50897"/>
    <n v="20279"/>
    <n v="36723"/>
    <n v="16918"/>
    <n v="124817"/>
    <n v="0.40777297964219616"/>
    <n v="0.29421473036525475"/>
    <n v="0.16246985586899221"/>
    <n v="0.13554243412355688"/>
    <n v="0.70198771000745086"/>
    <n v="0.29801228999254908"/>
  </r>
  <r>
    <x v="6"/>
    <d v="2023-06-03T00:00:00"/>
    <n v="51872"/>
    <n v="19376"/>
    <n v="30646"/>
    <n v="20621"/>
    <n v="122515"/>
    <n v="0.4233930539117659"/>
    <n v="0.2501407990858262"/>
    <n v="0.15815206301269233"/>
    <n v="0.16831408398971553"/>
    <n v="0.67353385299759216"/>
    <n v="0.32646614700240789"/>
  </r>
  <r>
    <x v="0"/>
    <d v="2023-06-04T00:00:00"/>
    <n v="60160"/>
    <n v="21574"/>
    <n v="48892"/>
    <n v="25613"/>
    <n v="156239"/>
    <n v="0.3850511075979749"/>
    <n v="0.31293083033045527"/>
    <n v="0.13808332106580304"/>
    <n v="0.1639347410057668"/>
    <n v="0.69798193792843011"/>
    <n v="0.30201806207156984"/>
  </r>
  <r>
    <x v="1"/>
    <d v="2023-06-05T00:00:00"/>
    <n v="67125"/>
    <n v="17119"/>
    <n v="46307"/>
    <n v="24033"/>
    <n v="154584"/>
    <n v="0.43422993324018011"/>
    <n v="0.29955881591885319"/>
    <n v="0.11074237954768928"/>
    <n v="0.15546887129327744"/>
    <n v="0.73378874915903325"/>
    <n v="0.26621125084096675"/>
  </r>
  <r>
    <x v="2"/>
    <d v="2023-06-06T00:00:00"/>
    <n v="73534"/>
    <n v="17612"/>
    <n v="39590"/>
    <n v="16713"/>
    <n v="147449"/>
    <n v="0.49870802786048057"/>
    <n v="0.26849961681666201"/>
    <n v="0.119444689350216"/>
    <n v="0.11334766597264138"/>
    <n v="0.76720764467714264"/>
    <n v="0.23279235532285739"/>
  </r>
  <r>
    <x v="3"/>
    <d v="2023-06-07T00:00:00"/>
    <n v="35678"/>
    <n v="15092"/>
    <n v="30461"/>
    <n v="14685"/>
    <n v="95916"/>
    <n v="0.37197130822803287"/>
    <n v="0.3175799658034113"/>
    <n v="0.15734601109303975"/>
    <n v="0.15310271487551608"/>
    <n v="0.68955127403144423"/>
    <n v="0.31044872596855583"/>
  </r>
  <r>
    <x v="4"/>
    <d v="2023-06-08T00:00:00"/>
    <n v="52841"/>
    <n v="15142"/>
    <n v="18329"/>
    <n v="11101"/>
    <n v="97413"/>
    <n v="0.54244300042088833"/>
    <n v="0.18815763809758451"/>
    <n v="0.15544126553950705"/>
    <n v="0.11395809594202005"/>
    <n v="0.7306006385184729"/>
    <n v="0.2693993614815271"/>
  </r>
  <r>
    <x v="5"/>
    <d v="2023-06-09T00:00:00"/>
    <n v="41274"/>
    <n v="20113"/>
    <n v="42083"/>
    <n v="17021"/>
    <n v="120491"/>
    <n v="0.3425484061050203"/>
    <n v="0.34926260052618036"/>
    <n v="0.16692533052261166"/>
    <n v="0.14126366284618769"/>
    <n v="0.69181100663120065"/>
    <n v="0.30818899336879935"/>
  </r>
  <r>
    <x v="6"/>
    <d v="2023-06-10T00:00:00"/>
    <n v="47823"/>
    <n v="23400"/>
    <n v="49313"/>
    <n v="19069"/>
    <n v="139605"/>
    <n v="0.34255936391963038"/>
    <n v="0.3532323340854554"/>
    <n v="0.16761577307403031"/>
    <n v="0.13659252892088392"/>
    <n v="0.69579169800508578"/>
    <n v="0.30420830199491422"/>
  </r>
  <r>
    <x v="0"/>
    <d v="2023-06-11T00:00:00"/>
    <n v="39733"/>
    <n v="18968"/>
    <n v="63357"/>
    <n v="20908"/>
    <n v="142966"/>
    <n v="0.27791922555013082"/>
    <n v="0.4431613110809563"/>
    <n v="0.13267490172488564"/>
    <n v="0.14624456164402724"/>
    <n v="0.72108053663108707"/>
    <n v="0.27891946336891288"/>
  </r>
  <r>
    <x v="1"/>
    <d v="2023-06-12T00:00:00"/>
    <n v="66821"/>
    <n v="22270"/>
    <n v="48781"/>
    <n v="23640"/>
    <n v="161512"/>
    <n v="0.41372158105899254"/>
    <n v="0.30202709396205857"/>
    <n v="0.13788449155480706"/>
    <n v="0.14636683342414186"/>
    <n v="0.71574867502105111"/>
    <n v="0.28425132497894895"/>
  </r>
  <r>
    <x v="2"/>
    <d v="2023-06-13T00:00:00"/>
    <n v="89202"/>
    <n v="22634"/>
    <n v="52840"/>
    <n v="20384"/>
    <n v="185060"/>
    <n v="0.48201664325083754"/>
    <n v="0.28552901761590838"/>
    <n v="0.12230627904463418"/>
    <n v="0.11014806008861991"/>
    <n v="0.76754566086674592"/>
    <n v="0.23245433913325408"/>
  </r>
  <r>
    <x v="3"/>
    <d v="2023-06-14T00:00:00"/>
    <n v="60138"/>
    <n v="24094"/>
    <n v="40672"/>
    <n v="20952"/>
    <n v="145856"/>
    <n v="0.41231077226853885"/>
    <n v="0.27885037297060117"/>
    <n v="0.16519032470381748"/>
    <n v="0.14364853005704256"/>
    <n v="0.69116114523913996"/>
    <n v="0.30883885476086004"/>
  </r>
  <r>
    <x v="4"/>
    <d v="2023-06-15T00:00:00"/>
    <n v="62187"/>
    <n v="16214"/>
    <n v="20033"/>
    <n v="16131"/>
    <n v="114565"/>
    <n v="0.54280975865229342"/>
    <n v="0.17486143237463447"/>
    <n v="0.14152664426308209"/>
    <n v="0.14080216470998996"/>
    <n v="0.71767119102692789"/>
    <n v="0.28232880897307205"/>
  </r>
  <r>
    <x v="5"/>
    <d v="2023-06-16T00:00:00"/>
    <n v="76815"/>
    <n v="21129"/>
    <n v="29533"/>
    <n v="17525"/>
    <n v="145002"/>
    <n v="0.52975131377498241"/>
    <n v="0.20367305278547881"/>
    <n v="0.14571523151404808"/>
    <n v="0.12086040192549068"/>
    <n v="0.73342436656046128"/>
    <n v="0.26657563343953877"/>
  </r>
  <r>
    <x v="6"/>
    <d v="2023-06-17T00:00:00"/>
    <n v="53957"/>
    <n v="20225"/>
    <n v="46913"/>
    <n v="24659"/>
    <n v="145754"/>
    <n v="0.3701922417223541"/>
    <n v="0.32186423700207201"/>
    <n v="0.13876120037872031"/>
    <n v="0.16918232089685362"/>
    <n v="0.69205647872442611"/>
    <n v="0.30794352127557389"/>
  </r>
  <r>
    <x v="0"/>
    <d v="2023-06-18T00:00:00"/>
    <n v="44769"/>
    <n v="17966"/>
    <n v="63343"/>
    <n v="24082"/>
    <n v="150160"/>
    <n v="0.29814198188598828"/>
    <n v="0.42183670751198721"/>
    <n v="0.11964571124134257"/>
    <n v="0.16037559936068194"/>
    <n v="0.71997868939797549"/>
    <n v="0.28002131060202451"/>
  </r>
  <r>
    <x v="1"/>
    <d v="2023-06-19T00:00:00"/>
    <n v="68824"/>
    <n v="20068"/>
    <n v="59000"/>
    <n v="23385"/>
    <n v="171277"/>
    <n v="0.40182861680202248"/>
    <n v="0.34447123665173957"/>
    <n v="0.11716692842588322"/>
    <n v="0.13653321812035474"/>
    <n v="0.74629985345376204"/>
    <n v="0.25370014654623796"/>
  </r>
  <r>
    <x v="2"/>
    <d v="2023-06-20T00:00:00"/>
    <n v="63778"/>
    <n v="13074"/>
    <n v="45137"/>
    <n v="19251"/>
    <n v="141240"/>
    <n v="0.45155763239875391"/>
    <n v="0.31957660719342962"/>
    <n v="9.2565845369583691E-2"/>
    <n v="0.1362999150382328"/>
    <n v="0.77113423959218352"/>
    <n v="0.22886576040781648"/>
  </r>
  <r>
    <x v="3"/>
    <d v="2023-06-21T00:00:00"/>
    <n v="53848"/>
    <n v="16543"/>
    <n v="28535"/>
    <n v="17840"/>
    <n v="116766"/>
    <n v="0.46116163951835293"/>
    <n v="0.24437764417724336"/>
    <n v="0.14167651542401041"/>
    <n v="0.15278420088039327"/>
    <n v="0.70553928369559638"/>
    <n v="0.29446071630440368"/>
  </r>
  <r>
    <x v="4"/>
    <d v="2023-06-22T00:00:00"/>
    <n v="55497"/>
    <n v="15452"/>
    <n v="17088"/>
    <n v="16886"/>
    <n v="104923"/>
    <n v="0.52893073968529303"/>
    <n v="0.16286228948848203"/>
    <n v="0.14726990269054449"/>
    <n v="0.16093706813568046"/>
    <n v="0.69179302917377505"/>
    <n v="0.30820697082622495"/>
  </r>
  <r>
    <x v="5"/>
    <d v="2023-06-23T00:00:00"/>
    <n v="69057"/>
    <n v="15650"/>
    <n v="30801"/>
    <n v="23404"/>
    <n v="138912"/>
    <n v="0.49712767795438839"/>
    <n v="0.22173030407740152"/>
    <n v="0.11266125316747293"/>
    <n v="0.16848076480073715"/>
    <n v="0.71885798203178985"/>
    <n v="0.28114201796821009"/>
  </r>
  <r>
    <x v="6"/>
    <d v="2023-06-24T00:00:00"/>
    <n v="66615"/>
    <n v="20219"/>
    <n v="45978"/>
    <n v="26351"/>
    <n v="159163"/>
    <n v="0.41853320181197889"/>
    <n v="0.28887367038821837"/>
    <n v="0.12703329291355403"/>
    <n v="0.16555983488624867"/>
    <n v="0.70740687220019727"/>
    <n v="0.29259312779980273"/>
  </r>
  <r>
    <x v="0"/>
    <d v="2023-06-25T00:00:00"/>
    <n v="58470"/>
    <n v="17616"/>
    <n v="57715"/>
    <n v="26635"/>
    <n v="160436"/>
    <n v="0.36444438903986637"/>
    <n v="0.35973846268917203"/>
    <n v="0.10980079283951233"/>
    <n v="0.1660163554314493"/>
    <n v="0.7241828517290384"/>
    <n v="0.27581714827096165"/>
  </r>
  <r>
    <x v="1"/>
    <d v="2023-06-26T00:00:00"/>
    <n v="65808"/>
    <n v="21218"/>
    <n v="61872"/>
    <n v="23068"/>
    <n v="171966"/>
    <n v="0.38268029726806463"/>
    <n v="0.35979205191723945"/>
    <n v="0.12338485514578464"/>
    <n v="0.1341427956689113"/>
    <n v="0.74247234918530403"/>
    <n v="0.25752765081469592"/>
  </r>
  <r>
    <x v="2"/>
    <d v="2023-06-27T00:00:00"/>
    <n v="86179"/>
    <n v="21356"/>
    <n v="42963"/>
    <n v="24563"/>
    <n v="175061"/>
    <n v="0.49227983388647384"/>
    <n v="0.24541731167992872"/>
    <n v="0.12199176287122775"/>
    <n v="0.14031109156236968"/>
    <n v="0.73769714556640253"/>
    <n v="0.26230285443359741"/>
  </r>
  <r>
    <x v="3"/>
    <d v="2023-06-28T00:00:00"/>
    <n v="57167"/>
    <n v="17470"/>
    <n v="51718"/>
    <n v="18361"/>
    <n v="144716"/>
    <n v="0.39502888415931892"/>
    <n v="0.35737582575527238"/>
    <n v="0.12071920174686973"/>
    <n v="0.12687608833853894"/>
    <n v="0.7524047099145913"/>
    <n v="0.24759529008540868"/>
  </r>
  <r>
    <x v="4"/>
    <d v="2023-06-29T00:00:00"/>
    <n v="51042"/>
    <n v="12816"/>
    <n v="34829"/>
    <n v="16972"/>
    <n v="115659"/>
    <n v="0.44131455399061031"/>
    <n v="0.3011352337474818"/>
    <n v="0.11080849739319898"/>
    <n v="0.14674171486870888"/>
    <n v="0.74244978773809212"/>
    <n v="0.25755021226190783"/>
  </r>
  <r>
    <x v="5"/>
    <d v="2023-06-30T00:00:00"/>
    <n v="46544"/>
    <n v="11763"/>
    <n v="44142"/>
    <n v="20422"/>
    <n v="122871"/>
    <n v="0.37880378608459281"/>
    <n v="0.35925482823448984"/>
    <n v="9.5734550870425081E-2"/>
    <n v="0.16620683481049231"/>
    <n v="0.7380586143190826"/>
    <n v="0.2619413856809174"/>
  </r>
  <r>
    <x v="6"/>
    <d v="2023-07-01T00:00:00"/>
    <n v="53103"/>
    <n v="22815"/>
    <n v="71670"/>
    <n v="22482"/>
    <n v="170070"/>
    <n v="0.31224201799259127"/>
    <n v="0.42141471158934557"/>
    <n v="0.13415064385253131"/>
    <n v="0.13219262656553185"/>
    <n v="0.73365672958193684"/>
    <n v="0.26634327041806316"/>
  </r>
  <r>
    <x v="0"/>
    <d v="2023-07-02T00:00:00"/>
    <n v="53825"/>
    <n v="18970"/>
    <n v="55077"/>
    <n v="27458"/>
    <n v="155330"/>
    <n v="0.34652031159466939"/>
    <n v="0.35458057039850638"/>
    <n v="0.12212708427219468"/>
    <n v="0.17677203373462949"/>
    <n v="0.70110088199317577"/>
    <n v="0.29889911800682417"/>
  </r>
  <r>
    <x v="1"/>
    <d v="2023-07-03T00:00:00"/>
    <n v="32923"/>
    <n v="12473"/>
    <n v="48877"/>
    <n v="23335"/>
    <n v="117608"/>
    <n v="0.27993843956193454"/>
    <n v="0.41559247670226518"/>
    <n v="0.10605571049588464"/>
    <n v="0.19841337323991565"/>
    <n v="0.69553091626419972"/>
    <n v="0.30446908373580028"/>
  </r>
  <r>
    <x v="2"/>
    <d v="2023-07-04T00:00:00"/>
    <n v="54253"/>
    <n v="16070"/>
    <n v="14506"/>
    <n v="9536"/>
    <n v="94365"/>
    <n v="0.57492714459810312"/>
    <n v="0.15372224871509563"/>
    <n v="0.17029619032480262"/>
    <n v="0.10105441636199862"/>
    <n v="0.72864939331319878"/>
    <n v="0.27135060668680128"/>
  </r>
  <r>
    <x v="3"/>
    <d v="2023-07-05T00:00:00"/>
    <n v="31939"/>
    <n v="13082"/>
    <n v="19074"/>
    <n v="19355"/>
    <n v="83450"/>
    <n v="0.3827321749550629"/>
    <n v="0.2285680047932894"/>
    <n v="0.15676452965847812"/>
    <n v="0.23193529059316956"/>
    <n v="0.61130017974835227"/>
    <n v="0.38869982025164768"/>
  </r>
  <r>
    <x v="4"/>
    <d v="2023-07-06T00:00:00"/>
    <n v="25301"/>
    <n v="12308"/>
    <n v="24077"/>
    <n v="15100"/>
    <n v="76786"/>
    <n v="0.32950016930169562"/>
    <n v="0.31355976349855441"/>
    <n v="0.16028963613158648"/>
    <n v="0.19665043106816346"/>
    <n v="0.64305993280025009"/>
    <n v="0.35694006719974997"/>
  </r>
  <r>
    <x v="5"/>
    <d v="2023-07-07T00:00:00"/>
    <n v="56386"/>
    <n v="15008"/>
    <n v="37482"/>
    <n v="17844"/>
    <n v="126720"/>
    <n v="0.44496527777777778"/>
    <n v="0.29578598484848484"/>
    <n v="0.11843434343434343"/>
    <n v="0.14081439393939393"/>
    <n v="0.74075126262626267"/>
    <n v="0.25924873737373738"/>
  </r>
  <r>
    <x v="6"/>
    <d v="2023-07-08T00:00:00"/>
    <n v="40071"/>
    <n v="21883"/>
    <n v="40124"/>
    <n v="26357"/>
    <n v="128435"/>
    <n v="0.31199439405146573"/>
    <n v="0.31240705415190562"/>
    <n v="0.17038190524389768"/>
    <n v="0.20521664655273095"/>
    <n v="0.6244014482033714"/>
    <n v="0.37559855179662865"/>
  </r>
  <r>
    <x v="0"/>
    <d v="2023-07-09T00:00:00"/>
    <n v="40855"/>
    <n v="15403"/>
    <n v="38851"/>
    <n v="30136"/>
    <n v="125245"/>
    <n v="0.32620064673240451"/>
    <n v="0.31020000798435066"/>
    <n v="0.12298295341131382"/>
    <n v="0.24061639187193101"/>
    <n v="0.63640065471675511"/>
    <n v="0.36359934528324483"/>
  </r>
  <r>
    <x v="1"/>
    <d v="2023-07-10T00:00:00"/>
    <n v="49876"/>
    <n v="19170"/>
    <n v="38361"/>
    <n v="16778"/>
    <n v="124185"/>
    <n v="0.40162660546764906"/>
    <n v="0.30890204130933685"/>
    <n v="0.15436646938035994"/>
    <n v="0.13510488384265409"/>
    <n v="0.71052864677698591"/>
    <n v="0.28947135322301404"/>
  </r>
  <r>
    <x v="2"/>
    <d v="2023-07-11T00:00:00"/>
    <n v="60966"/>
    <n v="15954"/>
    <n v="38492"/>
    <n v="16860"/>
    <n v="132272"/>
    <n v="0.46091387444054677"/>
    <n v="0.29100641103181324"/>
    <n v="0.12061509616547719"/>
    <n v="0.12746461836216283"/>
    <n v="0.75192028547236001"/>
    <n v="0.24807971452764002"/>
  </r>
  <r>
    <x v="3"/>
    <d v="2023-07-12T00:00:00"/>
    <n v="33546"/>
    <n v="15042"/>
    <n v="46618"/>
    <n v="20690"/>
    <n v="115896"/>
    <n v="0.28944916131704285"/>
    <n v="0.40223993925588458"/>
    <n v="0.12978877614412923"/>
    <n v="0.17852212328294334"/>
    <n v="0.69168910057292743"/>
    <n v="0.30831089942707257"/>
  </r>
  <r>
    <x v="4"/>
    <d v="2023-07-13T00:00:00"/>
    <n v="29824"/>
    <n v="12937"/>
    <n v="40376"/>
    <n v="16581"/>
    <n v="99718"/>
    <n v="0.29908341523095128"/>
    <n v="0.40490182314125833"/>
    <n v="0.12973585511141419"/>
    <n v="0.16627890651637617"/>
    <n v="0.70398523837220961"/>
    <n v="0.29601476162779039"/>
  </r>
  <r>
    <x v="5"/>
    <d v="2023-07-14T00:00:00"/>
    <n v="32648"/>
    <n v="13841"/>
    <n v="14659"/>
    <n v="7352"/>
    <n v="68500"/>
    <n v="0.47661313868613137"/>
    <n v="0.214"/>
    <n v="0.20205839416058394"/>
    <n v="0.10732846715328467"/>
    <n v="0.69061313868613139"/>
    <n v="0.30938686131386861"/>
  </r>
  <r>
    <x v="6"/>
    <d v="2023-07-15T00:00:00"/>
    <n v="42439"/>
    <n v="24935"/>
    <n v="28788"/>
    <n v="24136"/>
    <n v="120298"/>
    <n v="0.35278225739413788"/>
    <n v="0.2393057241184392"/>
    <n v="0.20727692895974995"/>
    <n v="0.20063508952767295"/>
    <n v="0.59208798151257713"/>
    <n v="0.40791201848742292"/>
  </r>
  <r>
    <x v="0"/>
    <d v="2023-07-16T00:00:00"/>
    <n v="53309"/>
    <n v="21577"/>
    <n v="59104"/>
    <n v="21328"/>
    <n v="155318"/>
    <n v="0.34322486769080207"/>
    <n v="0.38053541765925392"/>
    <n v="0.13892143859694306"/>
    <n v="0.13731827605300095"/>
    <n v="0.72376028535005599"/>
    <n v="0.27623971464994401"/>
  </r>
  <r>
    <x v="1"/>
    <d v="2023-07-17T00:00:00"/>
    <n v="59149"/>
    <n v="27638"/>
    <n v="48668"/>
    <n v="18211"/>
    <n v="153666"/>
    <n v="0.38491924043054415"/>
    <n v="0.31671287077167365"/>
    <n v="0.17985761326513347"/>
    <n v="0.11851027553264873"/>
    <n v="0.7016321112022178"/>
    <n v="0.2983678887977822"/>
  </r>
  <r>
    <x v="2"/>
    <d v="2023-07-18T00:00:00"/>
    <n v="54862"/>
    <n v="13840"/>
    <n v="32825"/>
    <n v="17989"/>
    <n v="119516"/>
    <n v="0.45903477358680012"/>
    <n v="0.27464941932460923"/>
    <n v="0.11580039492620235"/>
    <n v="0.15051541216238831"/>
    <n v="0.73368419291140941"/>
    <n v="0.26631580708859065"/>
  </r>
  <r>
    <x v="3"/>
    <d v="2023-07-19T00:00:00"/>
    <n v="36861"/>
    <n v="10215"/>
    <n v="33087"/>
    <n v="18343"/>
    <n v="98506"/>
    <n v="0.37420055631129068"/>
    <n v="0.33588816924857368"/>
    <n v="0.10369926704972286"/>
    <n v="0.18621200739041277"/>
    <n v="0.71008872555986435"/>
    <n v="0.28991127444013565"/>
  </r>
  <r>
    <x v="4"/>
    <d v="2023-07-20T00:00:00"/>
    <n v="29327"/>
    <n v="11143"/>
    <n v="24746"/>
    <n v="15354"/>
    <n v="80570"/>
    <n v="0.36399404244756112"/>
    <n v="0.30713665135906665"/>
    <n v="0.13830209755492118"/>
    <n v="0.19056720863845103"/>
    <n v="0.67113069380662782"/>
    <n v="0.32886930619337224"/>
  </r>
  <r>
    <x v="5"/>
    <d v="2023-07-21T00:00:00"/>
    <n v="44015"/>
    <n v="16630"/>
    <n v="38047"/>
    <n v="16587"/>
    <n v="115279"/>
    <n v="0.38181281933396372"/>
    <n v="0.3300427658116396"/>
    <n v="0.14425871147390246"/>
    <n v="0.14388570338049428"/>
    <n v="0.71185558514560332"/>
    <n v="0.28814441485439674"/>
  </r>
  <r>
    <x v="6"/>
    <d v="2023-07-22T00:00:00"/>
    <n v="41958"/>
    <n v="23355"/>
    <n v="35080"/>
    <n v="18656"/>
    <n v="119049"/>
    <n v="0.35244311165990472"/>
    <n v="0.29466858184445061"/>
    <n v="0.19617972431519795"/>
    <n v="0.1567085821804467"/>
    <n v="0.64711169350435538"/>
    <n v="0.35288830649564468"/>
  </r>
  <r>
    <x v="0"/>
    <d v="2023-07-23T00:00:00"/>
    <n v="45265"/>
    <n v="24638"/>
    <n v="47048"/>
    <n v="23230"/>
    <n v="140181"/>
    <n v="0.32290395988044029"/>
    <n v="0.33562322996697125"/>
    <n v="0.17575848367467775"/>
    <n v="0.16571432647791071"/>
    <n v="0.65852718984741154"/>
    <n v="0.34147281015258846"/>
  </r>
  <r>
    <x v="1"/>
    <d v="2023-07-24T00:00:00"/>
    <n v="52030"/>
    <n v="25630"/>
    <n v="50282"/>
    <n v="17191"/>
    <n v="145133"/>
    <n v="0.35849875631317479"/>
    <n v="0.34645463126924958"/>
    <n v="0.17659663894496772"/>
    <n v="0.11844997347260788"/>
    <n v="0.70495338758242443"/>
    <n v="0.29504661241757563"/>
  </r>
  <r>
    <x v="2"/>
    <d v="2023-07-25T00:00:00"/>
    <n v="43589"/>
    <n v="12468"/>
    <n v="34913"/>
    <n v="15160"/>
    <n v="106130"/>
    <n v="0.410713276170734"/>
    <n v="0.32896447752756053"/>
    <n v="0.11747856402525204"/>
    <n v="0.14284368227645342"/>
    <n v="0.73967775369829458"/>
    <n v="0.26032224630170547"/>
  </r>
  <r>
    <x v="3"/>
    <d v="2023-07-26T00:00:00"/>
    <n v="27392"/>
    <n v="15856"/>
    <n v="30849"/>
    <n v="17526"/>
    <n v="91623"/>
    <n v="0.29896423387140786"/>
    <n v="0.33669493467797385"/>
    <n v="0.17305698350850768"/>
    <n v="0.19128384794211062"/>
    <n v="0.63565916854938176"/>
    <n v="0.3643408314506183"/>
  </r>
  <r>
    <x v="4"/>
    <d v="2023-07-27T00:00:00"/>
    <n v="32313"/>
    <n v="14774"/>
    <n v="32077"/>
    <n v="14177"/>
    <n v="93341"/>
    <n v="0.34618227788431666"/>
    <n v="0.34365391414276686"/>
    <n v="0.15827985558329138"/>
    <n v="0.15188395238962513"/>
    <n v="0.68983619202708346"/>
    <n v="0.31016380797291648"/>
  </r>
  <r>
    <x v="5"/>
    <d v="2023-07-28T00:00:00"/>
    <n v="52495"/>
    <n v="14313"/>
    <n v="26019"/>
    <n v="21232"/>
    <n v="114059"/>
    <n v="0.46024425954988207"/>
    <n v="0.22811878063107691"/>
    <n v="0.12548768619749429"/>
    <n v="0.18614927362154673"/>
    <n v="0.68836304018095895"/>
    <n v="0.31163695981904105"/>
  </r>
  <r>
    <x v="6"/>
    <d v="2023-07-29T00:00:00"/>
    <n v="38008"/>
    <n v="23071"/>
    <n v="30711"/>
    <n v="20787"/>
    <n v="112577"/>
    <n v="0.33761780825568277"/>
    <n v="0.27279995025626902"/>
    <n v="0.20493528873570979"/>
    <n v="0.18464695275233839"/>
    <n v="0.61041775851195179"/>
    <n v="0.38958224148804815"/>
  </r>
  <r>
    <x v="0"/>
    <d v="2023-07-30T00:00:00"/>
    <n v="53654"/>
    <n v="23118"/>
    <n v="43082"/>
    <n v="26330"/>
    <n v="146184"/>
    <n v="0.36703059158321022"/>
    <n v="0.29471077546106278"/>
    <n v="0.15814316204235757"/>
    <n v="0.18011547091336946"/>
    <n v="0.661741367044273"/>
    <n v="0.33825863295572706"/>
  </r>
  <r>
    <x v="1"/>
    <d v="2023-07-31T00:00:00"/>
    <n v="38575"/>
    <n v="20734"/>
    <n v="38885"/>
    <n v="16215"/>
    <n v="114409"/>
    <n v="0.3371675305264446"/>
    <n v="0.33987710757020861"/>
    <n v="0.18122700137226966"/>
    <n v="0.1417283605310771"/>
    <n v="0.67704463809665327"/>
    <n v="0.32295536190334678"/>
  </r>
  <r>
    <x v="2"/>
    <d v="2023-08-01T00:00:00"/>
    <n v="57469"/>
    <n v="14066"/>
    <n v="24970"/>
    <n v="18436"/>
    <n v="114941"/>
    <n v="0.49998694982643271"/>
    <n v="0.21724188931712793"/>
    <n v="0.12237582759850706"/>
    <n v="0.16039533325793234"/>
    <n v="0.71722883914356061"/>
    <n v="0.28277116085643939"/>
  </r>
  <r>
    <x v="3"/>
    <d v="2023-08-02T00:00:00"/>
    <n v="31873"/>
    <n v="12700"/>
    <n v="33359"/>
    <n v="15122"/>
    <n v="93054"/>
    <n v="0.34252154662883916"/>
    <n v="0.3584907688009113"/>
    <n v="0.13647989339523287"/>
    <n v="0.16250779117501665"/>
    <n v="0.70101231542975051"/>
    <n v="0.29898768457024955"/>
  </r>
  <r>
    <x v="4"/>
    <d v="2023-08-03T00:00:00"/>
    <n v="26730"/>
    <n v="13383"/>
    <n v="24633"/>
    <n v="11685"/>
    <n v="76431"/>
    <n v="0.34972720492993681"/>
    <n v="0.3222906935667465"/>
    <n v="0.17509910900027476"/>
    <n v="0.15288299250304196"/>
    <n v="0.67201789849668325"/>
    <n v="0.32798210150331669"/>
  </r>
  <r>
    <x v="5"/>
    <d v="2023-08-04T00:00:00"/>
    <n v="31584"/>
    <n v="12273"/>
    <n v="33381"/>
    <n v="13430"/>
    <n v="90668"/>
    <n v="0.34834781841443507"/>
    <n v="0.36816737989147219"/>
    <n v="0.13536197997088278"/>
    <n v="0.14812282172320995"/>
    <n v="0.71651519830590726"/>
    <n v="0.28348480169409274"/>
  </r>
  <r>
    <x v="6"/>
    <d v="2023-08-05T00:00:00"/>
    <n v="32308"/>
    <n v="27054"/>
    <n v="43350"/>
    <n v="17630"/>
    <n v="120342"/>
    <n v="0.26846819896627944"/>
    <n v="0.36022336341426936"/>
    <n v="0.22480929351348655"/>
    <n v="0.14649914410596468"/>
    <n v="0.6286915623805488"/>
    <n v="0.3713084376194512"/>
  </r>
  <r>
    <x v="0"/>
    <d v="2023-08-06T00:00:00"/>
    <n v="36965"/>
    <n v="27513"/>
    <n v="36656"/>
    <n v="22614"/>
    <n v="123748"/>
    <n v="0.29871189837411516"/>
    <n v="0.29621488832142739"/>
    <n v="0.22233086595338913"/>
    <n v="0.18274234735106831"/>
    <n v="0.59492678669554255"/>
    <n v="0.40507321330445745"/>
  </r>
  <r>
    <x v="1"/>
    <d v="2023-08-07T00:00:00"/>
    <n v="57032"/>
    <n v="27046"/>
    <n v="48017"/>
    <n v="13981"/>
    <n v="146076"/>
    <n v="0.39042690106519895"/>
    <n v="0.32871245105287661"/>
    <n v="0.18515019578849365"/>
    <n v="9.571045209343082E-2"/>
    <n v="0.71913935211807556"/>
    <n v="0.2808606478819245"/>
  </r>
  <r>
    <x v="2"/>
    <d v="2023-08-08T00:00:00"/>
    <n v="35069"/>
    <n v="16992"/>
    <n v="31042"/>
    <n v="11357"/>
    <n v="94460"/>
    <n v="0.3712576752064366"/>
    <n v="0.32862587338556004"/>
    <n v="0.17988566589032395"/>
    <n v="0.12023078551767945"/>
    <n v="0.69988354859199664"/>
    <n v="0.30011645140800342"/>
  </r>
  <r>
    <x v="3"/>
    <d v="2023-08-09T00:00:00"/>
    <n v="27208"/>
    <n v="16337"/>
    <n v="32034"/>
    <n v="15275"/>
    <n v="90854"/>
    <n v="0.29946947850397343"/>
    <n v="0.35258766812688491"/>
    <n v="0.17981596847689699"/>
    <n v="0.1681268848922447"/>
    <n v="0.65205714663085834"/>
    <n v="0.34794285336914171"/>
  </r>
  <r>
    <x v="4"/>
    <d v="2023-08-10T00:00:00"/>
    <n v="29455"/>
    <n v="14552"/>
    <n v="18329"/>
    <n v="13645"/>
    <n v="75981"/>
    <n v="0.3876627051499717"/>
    <n v="0.24123136047169688"/>
    <n v="0.19152156460167674"/>
    <n v="0.17958436977665468"/>
    <n v="0.62889406562166861"/>
    <n v="0.37110593437833145"/>
  </r>
  <r>
    <x v="5"/>
    <d v="2023-08-11T00:00:00"/>
    <n v="39036"/>
    <n v="17041"/>
    <n v="45285"/>
    <n v="15789"/>
    <n v="117151"/>
    <n v="0.33321098411451888"/>
    <n v="0.3865523981869553"/>
    <n v="0.14546183984771791"/>
    <n v="0.13477477785080794"/>
    <n v="0.71976338230147419"/>
    <n v="0.28023661769852581"/>
  </r>
  <r>
    <x v="6"/>
    <d v="2023-08-12T00:00:00"/>
    <n v="47528"/>
    <n v="24839"/>
    <n v="29187"/>
    <n v="22332"/>
    <n v="123886"/>
    <n v="0.38364302665353633"/>
    <n v="0.23559562823886476"/>
    <n v="0.2004988457129942"/>
    <n v="0.18026249939460473"/>
    <n v="0.61923865489240104"/>
    <n v="0.3807613451075989"/>
  </r>
  <r>
    <x v="0"/>
    <d v="2023-08-13T00:00:00"/>
    <n v="32782"/>
    <n v="24274"/>
    <n v="44618"/>
    <n v="21402"/>
    <n v="123076"/>
    <n v="0.26635574766810749"/>
    <n v="0.36252396892976696"/>
    <n v="0.19722772920796905"/>
    <n v="0.17389255419415645"/>
    <n v="0.62887971659787445"/>
    <n v="0.37112028340212549"/>
  </r>
  <r>
    <x v="1"/>
    <d v="2023-08-14T00:00:00"/>
    <n v="57656"/>
    <n v="22477"/>
    <n v="44586"/>
    <n v="14019"/>
    <n v="138738"/>
    <n v="0.41557468033271344"/>
    <n v="0.32136833455866454"/>
    <n v="0.16201040810736783"/>
    <n v="0.10104657700125416"/>
    <n v="0.73694301489137803"/>
    <n v="0.26305698510862202"/>
  </r>
  <r>
    <x v="2"/>
    <d v="2023-08-15T00:00:00"/>
    <n v="53820"/>
    <n v="19825"/>
    <n v="33103"/>
    <n v="17238"/>
    <n v="123986"/>
    <n v="0.43408126723984963"/>
    <n v="0.26698982143145195"/>
    <n v="0.15989708515477555"/>
    <n v="0.13903182617392287"/>
    <n v="0.70107108867130163"/>
    <n v="0.29892891132869842"/>
  </r>
  <r>
    <x v="3"/>
    <d v="2023-08-16T00:00:00"/>
    <n v="36848"/>
    <n v="16719"/>
    <n v="20155"/>
    <n v="16073"/>
    <n v="89795"/>
    <n v="0.4103569241049056"/>
    <n v="0.22445570466061585"/>
    <n v="0.18619076786012584"/>
    <n v="0.17899660337435269"/>
    <n v="0.63481262876552147"/>
    <n v="0.36518737123447853"/>
  </r>
  <r>
    <x v="4"/>
    <d v="2023-08-17T00:00:00"/>
    <n v="38354"/>
    <n v="9101"/>
    <n v="19890"/>
    <n v="13458"/>
    <n v="80803"/>
    <n v="0.47466059428486568"/>
    <n v="0.2461542269470193"/>
    <n v="0.11263195673427967"/>
    <n v="0.16655322203383538"/>
    <n v="0.72081482123188501"/>
    <n v="0.27918517876811505"/>
  </r>
  <r>
    <x v="5"/>
    <d v="2023-08-18T00:00:00"/>
    <n v="45637"/>
    <n v="18351"/>
    <n v="27172"/>
    <n v="13618"/>
    <n v="104778"/>
    <n v="0.43555899139132259"/>
    <n v="0.25932924850636585"/>
    <n v="0.17514172822539081"/>
    <n v="0.12997003187692072"/>
    <n v="0.69488823989768844"/>
    <n v="0.30511176010231156"/>
  </r>
  <r>
    <x v="6"/>
    <d v="2023-08-19T00:00:00"/>
    <n v="43118"/>
    <n v="20273"/>
    <n v="33561"/>
    <n v="21393"/>
    <n v="118345"/>
    <n v="0.36434154379145717"/>
    <n v="0.283586125311589"/>
    <n v="0.17130423761037644"/>
    <n v="0.18076809328657739"/>
    <n v="0.64792766910304622"/>
    <n v="0.35207233089695383"/>
  </r>
  <r>
    <x v="0"/>
    <d v="2023-08-20T00:00:00"/>
    <n v="38842"/>
    <n v="26807"/>
    <n v="44078"/>
    <n v="23040"/>
    <n v="132767"/>
    <n v="0.29255763856982531"/>
    <n v="0.33199514939706404"/>
    <n v="0.20191011320584182"/>
    <n v="0.17353709882726884"/>
    <n v="0.6245527879668894"/>
    <n v="0.37544721203311066"/>
  </r>
  <r>
    <x v="1"/>
    <d v="2023-08-21T00:00:00"/>
    <n v="56014"/>
    <n v="19819"/>
    <n v="47257"/>
    <n v="20235"/>
    <n v="143325"/>
    <n v="0.3908180708180708"/>
    <n v="0.3297191697191697"/>
    <n v="0.13828013256584684"/>
    <n v="0.14118262689691261"/>
    <n v="0.72053724053724055"/>
    <n v="0.27946275946275945"/>
  </r>
  <r>
    <x v="2"/>
    <d v="2023-08-22T00:00:00"/>
    <n v="69181"/>
    <n v="23980"/>
    <n v="34021"/>
    <n v="22952"/>
    <n v="150134"/>
    <n v="0.460795023112686"/>
    <n v="0.22660423355136078"/>
    <n v="0.15972397991127926"/>
    <n v="0.15287676342467396"/>
    <n v="0.68739925666404678"/>
    <n v="0.31260074333595322"/>
  </r>
  <r>
    <x v="3"/>
    <d v="2023-08-23T00:00:00"/>
    <n v="52588"/>
    <n v="16067"/>
    <n v="35627"/>
    <n v="21348"/>
    <n v="125630"/>
    <n v="0.41859428480458488"/>
    <n v="0.28358672291650083"/>
    <n v="0.12789142720687735"/>
    <n v="0.16992756507203693"/>
    <n v="0.70218100772108571"/>
    <n v="0.29781899227891429"/>
  </r>
  <r>
    <x v="4"/>
    <d v="2023-08-24T00:00:00"/>
    <n v="36230"/>
    <n v="12799"/>
    <n v="23491"/>
    <n v="13521"/>
    <n v="86041"/>
    <n v="0.4210783231250218"/>
    <n v="0.27302100161550891"/>
    <n v="0.14875466347439012"/>
    <n v="0.1571460117850792"/>
    <n v="0.69409932474053071"/>
    <n v="0.30590067525946935"/>
  </r>
  <r>
    <x v="5"/>
    <d v="2023-08-25T00:00:00"/>
    <n v="43063"/>
    <n v="15104"/>
    <n v="38204"/>
    <n v="18459"/>
    <n v="114830"/>
    <n v="0.37501523991988156"/>
    <n v="0.33270051380301313"/>
    <n v="0.13153357136636767"/>
    <n v="0.16075067491073761"/>
    <n v="0.70771575372289475"/>
    <n v="0.29228424627710531"/>
  </r>
  <r>
    <x v="6"/>
    <d v="2023-08-26T00:00:00"/>
    <n v="52303"/>
    <n v="28416"/>
    <n v="41824"/>
    <n v="19956"/>
    <n v="142499"/>
    <n v="0.36704117221875243"/>
    <n v="0.29350381406185305"/>
    <n v="0.1994119256977242"/>
    <n v="0.14004308802167031"/>
    <n v="0.66054498628060543"/>
    <n v="0.33945501371939452"/>
  </r>
  <r>
    <x v="0"/>
    <d v="2023-08-27T00:00:00"/>
    <n v="59204"/>
    <n v="25992"/>
    <n v="57613"/>
    <n v="26099"/>
    <n v="168908"/>
    <n v="0.3505103369881829"/>
    <n v="0.34109100812276505"/>
    <n v="0.15388258697042176"/>
    <n v="0.15451606791863026"/>
    <n v="0.69160134511094795"/>
    <n v="0.30839865488905205"/>
  </r>
  <r>
    <x v="1"/>
    <d v="2023-08-28T00:00:00"/>
    <n v="57279"/>
    <n v="23037"/>
    <n v="36622"/>
    <n v="17127"/>
    <n v="134065"/>
    <n v="0.4272479767277067"/>
    <n v="0.27316600156640436"/>
    <n v="0.17183455786372281"/>
    <n v="0.12775146384216612"/>
    <n v="0.70041397829411112"/>
    <n v="0.29958602170588894"/>
  </r>
  <r>
    <x v="2"/>
    <d v="2023-08-29T00:00:00"/>
    <n v="55209"/>
    <n v="17662"/>
    <n v="33744"/>
    <n v="16171"/>
    <n v="122786"/>
    <n v="0.44963595198149625"/>
    <n v="0.27481960484094275"/>
    <n v="0.14384376068932941"/>
    <n v="0.13170068248823155"/>
    <n v="0.72445555682243901"/>
    <n v="0.27554444317756094"/>
  </r>
  <r>
    <x v="3"/>
    <d v="2023-08-30T00:00:00"/>
    <n v="22653"/>
    <n v="13082"/>
    <n v="22361"/>
    <n v="10795"/>
    <n v="68891"/>
    <n v="0.32882379410953533"/>
    <n v="0.32458521432407716"/>
    <n v="0.18989418066220551"/>
    <n v="0.15669681090418197"/>
    <n v="0.65340900843361249"/>
    <n v="0.34659099156638751"/>
  </r>
  <r>
    <x v="4"/>
    <d v="2023-08-31T00:00:00"/>
    <n v="29671"/>
    <n v="10533"/>
    <n v="17642"/>
    <n v="12595"/>
    <n v="70441"/>
    <n v="0.42121775670419215"/>
    <n v="0.25045073181811728"/>
    <n v="0.14952939339305235"/>
    <n v="0.1788021180846382"/>
    <n v="0.67166848852230943"/>
    <n v="0.32833151147769057"/>
  </r>
  <r>
    <x v="5"/>
    <d v="2023-09-01T00:00:00"/>
    <n v="34994"/>
    <n v="14224"/>
    <n v="30106"/>
    <n v="17773"/>
    <n v="97097"/>
    <n v="0.36040248411382431"/>
    <n v="0.31006107294767088"/>
    <n v="0.1464926825751568"/>
    <n v="0.18304376036334799"/>
    <n v="0.67046355706149519"/>
    <n v="0.32953644293850481"/>
  </r>
  <r>
    <x v="6"/>
    <d v="2023-09-02T00:00:00"/>
    <n v="43724"/>
    <n v="20609"/>
    <n v="39673"/>
    <n v="14257"/>
    <n v="118263"/>
    <n v="0.36971833963285222"/>
    <n v="0.33546417729974715"/>
    <n v="0.17426414009453506"/>
    <n v="0.12055334297286556"/>
    <n v="0.70518251693259937"/>
    <n v="0.29481748306740063"/>
  </r>
  <r>
    <x v="0"/>
    <d v="2023-09-03T00:00:00"/>
    <n v="35436"/>
    <n v="22130"/>
    <n v="40729"/>
    <n v="19273"/>
    <n v="117568"/>
    <n v="0.30140854654327709"/>
    <n v="0.34642930048992926"/>
    <n v="0.18823149156232988"/>
    <n v="0.1639306614044638"/>
    <n v="0.64783784703320635"/>
    <n v="0.35216215296679371"/>
  </r>
  <r>
    <x v="1"/>
    <d v="2023-09-04T00:00:00"/>
    <n v="40950"/>
    <n v="25417"/>
    <n v="57696"/>
    <n v="25420"/>
    <n v="149483"/>
    <n v="0.2739441943231003"/>
    <n v="0.3859703110052648"/>
    <n v="0.1700327127499448"/>
    <n v="0.1700527819216901"/>
    <n v="0.65991450532836515"/>
    <n v="0.3400854946716349"/>
  </r>
  <r>
    <x v="2"/>
    <d v="2023-09-05T00:00:00"/>
    <n v="51930"/>
    <n v="20655"/>
    <n v="38488"/>
    <n v="14906"/>
    <n v="125979"/>
    <n v="0.41221155906936868"/>
    <n v="0.30551123599965074"/>
    <n v="0.16395589741147334"/>
    <n v="0.11832130751950722"/>
    <n v="0.71772279506901948"/>
    <n v="0.28227720493098057"/>
  </r>
  <r>
    <x v="3"/>
    <d v="2023-09-06T00:00:00"/>
    <n v="27032"/>
    <n v="14370"/>
    <n v="27040"/>
    <n v="15615"/>
    <n v="84057"/>
    <n v="0.32159130114089252"/>
    <n v="0.32168647465410377"/>
    <n v="0.17095542310574968"/>
    <n v="0.18576680109925409"/>
    <n v="0.64327777579499623"/>
    <n v="0.35672222420500377"/>
  </r>
  <r>
    <x v="4"/>
    <d v="2023-09-07T00:00:00"/>
    <n v="36603"/>
    <n v="11244"/>
    <n v="23122"/>
    <n v="12080"/>
    <n v="83049"/>
    <n v="0.44073980421197123"/>
    <n v="0.27841394839191319"/>
    <n v="0.13538995051114402"/>
    <n v="0.14545629688497153"/>
    <n v="0.71915375260388448"/>
    <n v="0.28084624739611552"/>
  </r>
  <r>
    <x v="5"/>
    <d v="2023-09-08T00:00:00"/>
    <n v="38015"/>
    <n v="15661"/>
    <n v="29708"/>
    <n v="16916"/>
    <n v="100300"/>
    <n v="0.37901296111665006"/>
    <n v="0.29619142572283153"/>
    <n v="0.15614157527417746"/>
    <n v="0.16865403788634098"/>
    <n v="0.67520438683948159"/>
    <n v="0.32479561316051847"/>
  </r>
  <r>
    <x v="6"/>
    <d v="2023-09-09T00:00:00"/>
    <n v="42411"/>
    <n v="24864"/>
    <n v="35586"/>
    <n v="23547"/>
    <n v="126408"/>
    <n v="0.33550882855515474"/>
    <n v="0.28151699259540536"/>
    <n v="0.19669641161951776"/>
    <n v="0.18627776722992215"/>
    <n v="0.61702582115056004"/>
    <n v="0.38297417884943991"/>
  </r>
  <r>
    <x v="0"/>
    <d v="2023-09-10T00:00:00"/>
    <n v="42955"/>
    <n v="21282"/>
    <n v="45264"/>
    <n v="21522"/>
    <n v="131023"/>
    <n v="0.32784320310174547"/>
    <n v="0.34546606321027606"/>
    <n v="0.16242949711119423"/>
    <n v="0.16426123657678424"/>
    <n v="0.67330926631202159"/>
    <n v="0.32669073368797846"/>
  </r>
  <r>
    <x v="1"/>
    <d v="2023-09-11T00:00:00"/>
    <n v="48963"/>
    <n v="23404"/>
    <n v="57556"/>
    <n v="14038"/>
    <n v="143961"/>
    <n v="0.34011294725654867"/>
    <n v="0.39980272434895564"/>
    <n v="0.16257180764234758"/>
    <n v="9.7512520752148155E-2"/>
    <n v="0.73991567160550431"/>
    <n v="0.26008432839449575"/>
  </r>
  <r>
    <x v="2"/>
    <d v="2023-09-12T00:00:00"/>
    <n v="50769"/>
    <n v="22816"/>
    <n v="32236"/>
    <n v="13723"/>
    <n v="119544"/>
    <n v="0.42468881750652482"/>
    <n v="0.26965803386200898"/>
    <n v="0.19085859599812621"/>
    <n v="0.11479455263334003"/>
    <n v="0.6943468513685338"/>
    <n v="0.30565314863146625"/>
  </r>
  <r>
    <x v="3"/>
    <d v="2023-09-13T00:00:00"/>
    <n v="28475"/>
    <n v="16291"/>
    <n v="28401"/>
    <n v="15251"/>
    <n v="88418"/>
    <n v="0.32204980886244883"/>
    <n v="0.32121287520640596"/>
    <n v="0.18424981338641452"/>
    <n v="0.17248750254473072"/>
    <n v="0.64326268406885478"/>
    <n v="0.35673731593114522"/>
  </r>
  <r>
    <x v="4"/>
    <d v="2023-09-14T00:00:00"/>
    <n v="31587"/>
    <n v="12686"/>
    <n v="18409"/>
    <n v="11864"/>
    <n v="74546"/>
    <n v="0.42372494835403646"/>
    <n v="0.246948193062002"/>
    <n v="0.17017680358436402"/>
    <n v="0.15915005499959756"/>
    <n v="0.6706731414160384"/>
    <n v="0.3293268585839616"/>
  </r>
  <r>
    <x v="5"/>
    <d v="2023-09-15T00:00:00"/>
    <n v="46555"/>
    <n v="20001"/>
    <n v="24139"/>
    <n v="13403"/>
    <n v="104098"/>
    <n v="0.44722280927587466"/>
    <n v="0.23188726008184596"/>
    <n v="0.19213625622010028"/>
    <n v="0.12875367442217911"/>
    <n v="0.67911006935772056"/>
    <n v="0.32088993064227939"/>
  </r>
  <r>
    <x v="6"/>
    <d v="2023-09-16T00:00:00"/>
    <n v="42226"/>
    <n v="21591"/>
    <n v="21517"/>
    <n v="15037"/>
    <n v="100371"/>
    <n v="0.42069920594594057"/>
    <n v="0.214374669974395"/>
    <n v="0.21511193472218071"/>
    <n v="0.14981418935748372"/>
    <n v="0.6350738759203356"/>
    <n v="0.36492612407966446"/>
  </r>
  <r>
    <x v="0"/>
    <d v="2023-09-17T00:00:00"/>
    <n v="36120"/>
    <n v="22546"/>
    <n v="51364"/>
    <n v="21297"/>
    <n v="131327"/>
    <n v="0.27503864399552264"/>
    <n v="0.39111530759097518"/>
    <n v="0.17167832966564378"/>
    <n v="0.1621677187478584"/>
    <n v="0.66615395158649782"/>
    <n v="0.33384604841350218"/>
  </r>
  <r>
    <x v="1"/>
    <d v="2023-09-18T00:00:00"/>
    <n v="47088"/>
    <n v="23888"/>
    <n v="47545"/>
    <n v="20185"/>
    <n v="138706"/>
    <n v="0.33948062809107032"/>
    <n v="0.34277536660274249"/>
    <n v="0.17222037979611551"/>
    <n v="0.14552362551007167"/>
    <n v="0.68225599469381282"/>
    <n v="0.31774400530618718"/>
  </r>
  <r>
    <x v="2"/>
    <d v="2023-09-19T00:00:00"/>
    <n v="54938"/>
    <n v="23560"/>
    <n v="28868"/>
    <n v="15926"/>
    <n v="123292"/>
    <n v="0.44559257697174187"/>
    <n v="0.23414333452292119"/>
    <n v="0.19109106835804432"/>
    <n v="0.12917302014729259"/>
    <n v="0.67973591149466306"/>
    <n v="0.32026408850533694"/>
  </r>
  <r>
    <x v="3"/>
    <d v="2023-09-20T00:00:00"/>
    <n v="31665"/>
    <n v="16853"/>
    <n v="35989"/>
    <n v="16170"/>
    <n v="100677"/>
    <n v="0.31452069489555706"/>
    <n v="0.35746992858348975"/>
    <n v="0.16739672417731954"/>
    <n v="0.16061265234363359"/>
    <n v="0.67199062347904681"/>
    <n v="0.32800937652095313"/>
  </r>
  <r>
    <x v="4"/>
    <d v="2023-09-21T00:00:00"/>
    <n v="36476"/>
    <n v="13628"/>
    <n v="18886"/>
    <n v="12570"/>
    <n v="81560"/>
    <n v="0.4472290338401177"/>
    <n v="0.23155958803334969"/>
    <n v="0.16709171162334477"/>
    <n v="0.15411966650318784"/>
    <n v="0.67878862187346733"/>
    <n v="0.32121137812653261"/>
  </r>
  <r>
    <x v="5"/>
    <d v="2023-09-22T00:00:00"/>
    <n v="41457"/>
    <n v="21341"/>
    <n v="36705"/>
    <n v="11834"/>
    <n v="111337"/>
    <n v="0.37235600025148874"/>
    <n v="0.32967477119017036"/>
    <n v="0.19167931595067228"/>
    <n v="0.10628991260766861"/>
    <n v="0.70203077144165915"/>
    <n v="0.2979692285583409"/>
  </r>
  <r>
    <x v="6"/>
    <d v="2023-09-23T00:00:00"/>
    <n v="49455"/>
    <n v="23965"/>
    <n v="37943"/>
    <n v="21222"/>
    <n v="132585"/>
    <n v="0.37300599615341101"/>
    <n v="0.28617867782931705"/>
    <n v="0.18075197043406116"/>
    <n v="0.16006335558321078"/>
    <n v="0.65918467398272806"/>
    <n v="0.34081532601727194"/>
  </r>
  <r>
    <x v="0"/>
    <d v="2023-09-24T00:00:00"/>
    <n v="28353"/>
    <n v="18540"/>
    <n v="38849"/>
    <n v="20754"/>
    <n v="106496"/>
    <n v="0.2662353515625"/>
    <n v="0.36479304387019229"/>
    <n v="0.17409104567307693"/>
    <n v="0.19488055889423078"/>
    <n v="0.63102839543269229"/>
    <n v="0.36897160456730771"/>
  </r>
  <r>
    <x v="1"/>
    <d v="2023-09-25T00:00:00"/>
    <n v="37269"/>
    <n v="27894"/>
    <n v="50119"/>
    <n v="18269"/>
    <n v="133551"/>
    <n v="0.27906193139699442"/>
    <n v="0.37527985563567479"/>
    <n v="0.20886402947188715"/>
    <n v="0.1367941834954437"/>
    <n v="0.65434178703266921"/>
    <n v="0.34565821296733085"/>
  </r>
  <r>
    <x v="2"/>
    <d v="2023-09-26T00:00:00"/>
    <n v="43577"/>
    <n v="17874"/>
    <n v="34637"/>
    <n v="17047"/>
    <n v="113135"/>
    <n v="0.38517700092809476"/>
    <n v="0.3061563618685641"/>
    <n v="0.1579882441331153"/>
    <n v="0.15067839307022585"/>
    <n v="0.69133336279665891"/>
    <n v="0.30866663720334114"/>
  </r>
  <r>
    <x v="3"/>
    <d v="2023-09-27T00:00:00"/>
    <n v="37140"/>
    <n v="14200"/>
    <n v="20479"/>
    <n v="12623"/>
    <n v="84442"/>
    <n v="0.4398285213519339"/>
    <n v="0.24252149404324863"/>
    <n v="0.16816276260628596"/>
    <n v="0.14948722199853154"/>
    <n v="0.68235001539518247"/>
    <n v="0.31764998460481753"/>
  </r>
  <r>
    <x v="4"/>
    <d v="2023-09-28T00:00:00"/>
    <n v="33229"/>
    <n v="13002"/>
    <n v="31381"/>
    <n v="15416"/>
    <n v="93028"/>
    <n v="0.35719353312981039"/>
    <n v="0.33732854624414155"/>
    <n v="0.13976437201702713"/>
    <n v="0.16571354860902093"/>
    <n v="0.69452207937395194"/>
    <n v="0.30547792062604806"/>
  </r>
  <r>
    <x v="5"/>
    <d v="2023-09-29T00:00:00"/>
    <n v="32941"/>
    <n v="14142"/>
    <n v="41335"/>
    <n v="12178"/>
    <n v="100596"/>
    <n v="0.32745834824446302"/>
    <n v="0.41090102986202237"/>
    <n v="0.14058213050220686"/>
    <n v="0.12105849139130781"/>
    <n v="0.73835937810648533"/>
    <n v="0.26164062189351467"/>
  </r>
  <r>
    <x v="6"/>
    <d v="2023-09-30T00:00:00"/>
    <n v="36840"/>
    <n v="22306"/>
    <n v="28998"/>
    <n v="19933"/>
    <n v="108077"/>
    <n v="0.34086808479139874"/>
    <n v="0.26830870583010263"/>
    <n v="0.20638988869047067"/>
    <n v="0.18443332068802798"/>
    <n v="0.60917679062150132"/>
    <n v="0.39082320937849868"/>
  </r>
  <r>
    <x v="0"/>
    <d v="2023-10-01T00:00:00"/>
    <n v="47049"/>
    <n v="19665"/>
    <n v="40856"/>
    <n v="23322"/>
    <n v="130892"/>
    <n v="0.35944901139871038"/>
    <n v="0.31213519542829204"/>
    <n v="0.15023836445313693"/>
    <n v="0.17817742871986064"/>
    <n v="0.67158420682700237"/>
    <n v="0.32841579317299757"/>
  </r>
  <r>
    <x v="1"/>
    <d v="2023-10-02T00:00:00"/>
    <n v="38313"/>
    <n v="21778"/>
    <n v="39263"/>
    <n v="20822"/>
    <n v="120176"/>
    <n v="0.31880741579017441"/>
    <n v="0.32671248835041938"/>
    <n v="0.18121754759685793"/>
    <n v="0.17326254826254825"/>
    <n v="0.64551990414059379"/>
    <n v="0.35448009585940621"/>
  </r>
  <r>
    <x v="2"/>
    <d v="2023-10-03T00:00:00"/>
    <n v="58368"/>
    <n v="16664"/>
    <n v="27887"/>
    <n v="16002"/>
    <n v="118921"/>
    <n v="0.49081322895031154"/>
    <n v="0.23450021442806568"/>
    <n v="0.14012663869291378"/>
    <n v="0.13455991792870897"/>
    <n v="0.72531344337837722"/>
    <n v="0.27468655662162278"/>
  </r>
  <r>
    <x v="3"/>
    <d v="2023-10-04T00:00:00"/>
    <n v="35717"/>
    <n v="16418"/>
    <n v="34601"/>
    <n v="17301"/>
    <n v="104037"/>
    <n v="0.34331055297634494"/>
    <n v="0.33258360006536136"/>
    <n v="0.15780924094312601"/>
    <n v="0.16629660601516769"/>
    <n v="0.6758941530417063"/>
    <n v="0.3241058469582937"/>
  </r>
  <r>
    <x v="4"/>
    <d v="2023-10-05T00:00:00"/>
    <n v="34355"/>
    <n v="17708"/>
    <n v="21679"/>
    <n v="17960"/>
    <n v="91702"/>
    <n v="0.37463741248827725"/>
    <n v="0.23640705764323569"/>
    <n v="0.19310374910034678"/>
    <n v="0.19585178076814028"/>
    <n v="0.61104447013151297"/>
    <n v="0.38895552986848708"/>
  </r>
  <r>
    <x v="5"/>
    <d v="2023-10-06T00:00:00"/>
    <n v="36183"/>
    <n v="13430"/>
    <n v="32649"/>
    <n v="16676"/>
    <n v="98938"/>
    <n v="0.36571388142068773"/>
    <n v="0.32999454203642686"/>
    <n v="0.13574157553215144"/>
    <n v="0.168550001010734"/>
    <n v="0.69570842345711459"/>
    <n v="0.30429157654288547"/>
  </r>
  <r>
    <x v="6"/>
    <d v="2023-10-07T00:00:00"/>
    <n v="51996"/>
    <n v="21307"/>
    <n v="28350"/>
    <n v="21836"/>
    <n v="123489"/>
    <n v="0.42105774603405971"/>
    <n v="0.22957510385540411"/>
    <n v="0.17254168387467711"/>
    <n v="0.17682546623585907"/>
    <n v="0.65063284988946379"/>
    <n v="0.34936715011053615"/>
  </r>
  <r>
    <x v="0"/>
    <d v="2023-10-08T00:00:00"/>
    <n v="31783"/>
    <n v="22105"/>
    <n v="50935"/>
    <n v="17990"/>
    <n v="122813"/>
    <n v="0.25879182171268517"/>
    <n v="0.41473622499246821"/>
    <n v="0.17998908910294512"/>
    <n v="0.14648286419190151"/>
    <n v="0.67352804670515332"/>
    <n v="0.32647195329484663"/>
  </r>
  <r>
    <x v="1"/>
    <d v="2023-10-09T00:00:00"/>
    <n v="41435"/>
    <n v="26984"/>
    <n v="44060"/>
    <n v="17821"/>
    <n v="130300"/>
    <n v="0.31799693016116654"/>
    <n v="0.33814274750575596"/>
    <n v="0.20709132770529548"/>
    <n v="0.13676899462778205"/>
    <n v="0.65613967766692249"/>
    <n v="0.34386032233307751"/>
  </r>
  <r>
    <x v="2"/>
    <d v="2023-10-10T00:00:00"/>
    <n v="49263"/>
    <n v="15555"/>
    <n v="28677"/>
    <n v="15577"/>
    <n v="109072"/>
    <n v="0.45165578700308051"/>
    <n v="0.2629180724658941"/>
    <n v="0.14261221945137156"/>
    <n v="0.14281392107965379"/>
    <n v="0.71457385946897467"/>
    <n v="0.28542614053102539"/>
  </r>
  <r>
    <x v="3"/>
    <d v="2023-10-11T00:00:00"/>
    <n v="29783"/>
    <n v="15258"/>
    <n v="28581"/>
    <n v="18117"/>
    <n v="91739"/>
    <n v="0.32464927675252619"/>
    <n v="0.31154688845529166"/>
    <n v="0.1663196677530821"/>
    <n v="0.19748416703910004"/>
    <n v="0.63619616520781785"/>
    <n v="0.36380383479218215"/>
  </r>
  <r>
    <x v="4"/>
    <d v="2023-10-12T00:00:00"/>
    <n v="33220"/>
    <n v="11881"/>
    <n v="30848"/>
    <n v="14118"/>
    <n v="90067"/>
    <n v="0.36883653280335749"/>
    <n v="0.34250058289939711"/>
    <n v="0.13191290927864813"/>
    <n v="0.15674997501859728"/>
    <n v="0.7113371157027546"/>
    <n v="0.2886628842972454"/>
  </r>
  <r>
    <x v="5"/>
    <d v="2023-10-13T00:00:00"/>
    <n v="36479"/>
    <n v="14923"/>
    <n v="27678"/>
    <n v="16613"/>
    <n v="95693"/>
    <n v="0.38120865685055333"/>
    <n v="0.28923745728527689"/>
    <n v="0.15594662096496087"/>
    <n v="0.17360726489920894"/>
    <n v="0.67044611413583022"/>
    <n v="0.32955388586416978"/>
  </r>
  <r>
    <x v="6"/>
    <d v="2023-10-14T00:00:00"/>
    <n v="48480"/>
    <n v="21844"/>
    <n v="28142"/>
    <n v="22778"/>
    <n v="121244"/>
    <n v="0.39985483817755929"/>
    <n v="0.23211045495034807"/>
    <n v="0.18016561644287551"/>
    <n v="0.18786909042921712"/>
    <n v="0.63196529312790739"/>
    <n v="0.36803470687209267"/>
  </r>
  <r>
    <x v="0"/>
    <d v="2023-10-15T00:00:00"/>
    <n v="35145"/>
    <n v="23355"/>
    <n v="33395"/>
    <n v="22287"/>
    <n v="114182"/>
    <n v="0.30779807675465487"/>
    <n v="0.29247166803874514"/>
    <n v="0.20454187174861185"/>
    <n v="0.19518838345798811"/>
    <n v="0.60026974479340001"/>
    <n v="0.39973025520659999"/>
  </r>
  <r>
    <x v="1"/>
    <d v="2023-10-16T00:00:00"/>
    <n v="54548"/>
    <n v="24174"/>
    <n v="34717"/>
    <n v="19463"/>
    <n v="132902"/>
    <n v="0.41043776617357153"/>
    <n v="0.26122255496531277"/>
    <n v="0.18189342523062105"/>
    <n v="0.14644625363049465"/>
    <n v="0.6716603211388843"/>
    <n v="0.3283396788611157"/>
  </r>
  <r>
    <x v="2"/>
    <d v="2023-10-17T00:00:00"/>
    <n v="44393"/>
    <n v="19468"/>
    <n v="25138"/>
    <n v="17292"/>
    <n v="106291"/>
    <n v="0.41765530477650975"/>
    <n v="0.2365016793519677"/>
    <n v="0.18315755802466813"/>
    <n v="0.1626854578468544"/>
    <n v="0.65415698412847745"/>
    <n v="0.3458430158715225"/>
  </r>
  <r>
    <x v="3"/>
    <d v="2023-10-18T00:00:00"/>
    <n v="45748"/>
    <n v="12998"/>
    <n v="33213"/>
    <n v="20033"/>
    <n v="111992"/>
    <n v="0.40849346381884422"/>
    <n v="0.29656582613043792"/>
    <n v="0.11606186156154011"/>
    <n v="0.17887884848917779"/>
    <n v="0.70505928994928213"/>
    <n v="0.29494071005071792"/>
  </r>
  <r>
    <x v="4"/>
    <d v="2023-10-19T00:00:00"/>
    <n v="37659"/>
    <n v="13105"/>
    <n v="20949"/>
    <n v="16962"/>
    <n v="88675"/>
    <n v="0.42468564984493939"/>
    <n v="0.23624471384268395"/>
    <n v="0.14778686213701719"/>
    <n v="0.19128277417535947"/>
    <n v="0.66093036368762337"/>
    <n v="0.33906963631237663"/>
  </r>
  <r>
    <x v="5"/>
    <d v="2023-10-20T00:00:00"/>
    <n v="46825"/>
    <n v="14833"/>
    <n v="27618"/>
    <n v="12357"/>
    <n v="101633"/>
    <n v="0.46072633888599174"/>
    <n v="0.27174244585912055"/>
    <n v="0.14594669054342585"/>
    <n v="0.12158452471146183"/>
    <n v="0.73246878474511234"/>
    <n v="0.26753121525488771"/>
  </r>
  <r>
    <x v="6"/>
    <d v="2023-10-21T00:00:00"/>
    <n v="41786"/>
    <n v="24810"/>
    <n v="25475"/>
    <n v="21149"/>
    <n v="113220"/>
    <n v="0.36906906906906906"/>
    <n v="0.22500441618088676"/>
    <n v="0.21913089560148383"/>
    <n v="0.18679561914856033"/>
    <n v="0.59407348524995585"/>
    <n v="0.40592651475004415"/>
  </r>
  <r>
    <x v="0"/>
    <d v="2023-10-22T00:00:00"/>
    <n v="49409"/>
    <n v="26077"/>
    <n v="46263"/>
    <n v="19095"/>
    <n v="140844"/>
    <n v="0.35080656612990258"/>
    <n v="0.32846979637045243"/>
    <n v="0.18514810712561416"/>
    <n v="0.13557553037403083"/>
    <n v="0.67927636250035506"/>
    <n v="0.320723637499645"/>
  </r>
  <r>
    <x v="1"/>
    <d v="2023-10-23T00:00:00"/>
    <n v="44815"/>
    <n v="26829"/>
    <n v="46204"/>
    <n v="15720"/>
    <n v="133568"/>
    <n v="0.33552198131288929"/>
    <n v="0.3459211787254432"/>
    <n v="0.20086397939626258"/>
    <n v="0.11769286056540489"/>
    <n v="0.6814431600383325"/>
    <n v="0.31855683996166745"/>
  </r>
  <r>
    <x v="2"/>
    <d v="2023-10-24T00:00:00"/>
    <n v="55966"/>
    <n v="20338"/>
    <n v="44784"/>
    <n v="18938"/>
    <n v="140026"/>
    <n v="0.39968291602988015"/>
    <n v="0.31982631796951994"/>
    <n v="0.14524445460128832"/>
    <n v="0.13524631139931156"/>
    <n v="0.71950923399940014"/>
    <n v="0.28049076600059991"/>
  </r>
  <r>
    <x v="3"/>
    <d v="2023-10-25T00:00:00"/>
    <n v="33320"/>
    <n v="13563"/>
    <n v="46480"/>
    <n v="16847"/>
    <n v="110210"/>
    <n v="0.3023319118047364"/>
    <n v="0.4217403139461029"/>
    <n v="0.12306505761727611"/>
    <n v="0.15286271663188458"/>
    <n v="0.72407222575083929"/>
    <n v="0.27592777424916071"/>
  </r>
  <r>
    <x v="4"/>
    <d v="2023-10-26T00:00:00"/>
    <n v="40449"/>
    <n v="15515"/>
    <n v="45511"/>
    <n v="8600"/>
    <n v="110075"/>
    <n v="0.36746763570292984"/>
    <n v="0.41345446286622756"/>
    <n v="0.14094935271405859"/>
    <n v="7.8128548716784013E-2"/>
    <n v="0.7809220985691574"/>
    <n v="0.2190779014308426"/>
  </r>
  <r>
    <x v="5"/>
    <d v="2023-10-27T00:00:00"/>
    <n v="55030"/>
    <n v="17848"/>
    <n v="33523"/>
    <n v="9347"/>
    <n v="115748"/>
    <n v="0.47542938106921934"/>
    <n v="0.28962055499879047"/>
    <n v="0.15419704876110171"/>
    <n v="8.0753015170888481E-2"/>
    <n v="0.76504993606800986"/>
    <n v="0.23495006393199019"/>
  </r>
  <r>
    <x v="6"/>
    <d v="2023-10-28T00:00:00"/>
    <n v="43720"/>
    <n v="26490"/>
    <n v="39925"/>
    <n v="18546"/>
    <n v="128681"/>
    <n v="0.33975489777045564"/>
    <n v="0.31026336444385727"/>
    <n v="0.20585789665918044"/>
    <n v="0.14412384112650664"/>
    <n v="0.65001826221431291"/>
    <n v="0.34998173778568709"/>
  </r>
  <r>
    <x v="0"/>
    <d v="2023-10-29T00:00:00"/>
    <n v="33974"/>
    <n v="31277"/>
    <n v="73236"/>
    <n v="16888"/>
    <n v="155375"/>
    <n v="0.21865808527755431"/>
    <n v="0.47134995977473854"/>
    <n v="0.20130008045052292"/>
    <n v="0.10869187449718423"/>
    <n v="0.69000804505229285"/>
    <n v="0.30999195494770715"/>
  </r>
  <r>
    <x v="1"/>
    <d v="2023-10-30T00:00:00"/>
    <n v="61411"/>
    <n v="28683"/>
    <n v="53741"/>
    <n v="17682"/>
    <n v="161517"/>
    <n v="0.38021384745878145"/>
    <n v="0.33272658605595695"/>
    <n v="0.17758502201006704"/>
    <n v="0.10947454447519456"/>
    <n v="0.71294043351473835"/>
    <n v="0.2870595664852616"/>
  </r>
  <r>
    <x v="2"/>
    <d v="2023-10-31T00:00:00"/>
    <n v="92526"/>
    <n v="20622"/>
    <n v="47590"/>
    <n v="19856"/>
    <n v="180594"/>
    <n v="0.51234260274427723"/>
    <n v="0.26351927528046337"/>
    <n v="0.11418984019402638"/>
    <n v="0.10994828178123305"/>
    <n v="0.7758618780247406"/>
    <n v="0.22413812197525942"/>
  </r>
  <r>
    <x v="3"/>
    <d v="2023-11-01T00:00:00"/>
    <n v="52389"/>
    <n v="17018"/>
    <n v="56796"/>
    <n v="17055"/>
    <n v="143258"/>
    <n v="0.36569685462591967"/>
    <n v="0.39645953454606375"/>
    <n v="0.11879266777422552"/>
    <n v="0.11905094305379106"/>
    <n v="0.76215638917198336"/>
    <n v="0.23784361082801658"/>
  </r>
  <r>
    <x v="4"/>
    <d v="2023-11-02T00:00:00"/>
    <n v="65102"/>
    <n v="17566"/>
    <n v="43598"/>
    <n v="17765"/>
    <n v="144031"/>
    <n v="0.4519999166846026"/>
    <n v="0.30269872458012509"/>
    <n v="0.12195985586436253"/>
    <n v="0.12334150287090974"/>
    <n v="0.75469864126472774"/>
    <n v="0.24530135873527226"/>
  </r>
  <r>
    <x v="5"/>
    <d v="2023-11-03T00:00:00"/>
    <n v="58283"/>
    <n v="10566"/>
    <n v="34596"/>
    <n v="14868"/>
    <n v="118313"/>
    <n v="0.49261704123807187"/>
    <n v="0.29241080861781882"/>
    <n v="8.9305486294828124E-2"/>
    <n v="0.12566666384928116"/>
    <n v="0.78502784985589069"/>
    <n v="0.21497215014410928"/>
  </r>
  <r>
    <x v="6"/>
    <d v="2023-11-04T00:00:00"/>
    <n v="55941"/>
    <n v="22661"/>
    <n v="25790"/>
    <n v="19073"/>
    <n v="123465"/>
    <n v="0.45309196938403595"/>
    <n v="0.20888510914024216"/>
    <n v="0.18354189446401814"/>
    <n v="0.15448102701170371"/>
    <n v="0.66197707852427812"/>
    <n v="0.33802292147572188"/>
  </r>
  <r>
    <x v="0"/>
    <d v="2023-11-05T00:00:00"/>
    <n v="30498"/>
    <n v="21059"/>
    <n v="61436"/>
    <n v="18166"/>
    <n v="131159"/>
    <n v="0.23252693295923269"/>
    <n v="0.46840857280095149"/>
    <n v="0.16056084599608109"/>
    <n v="0.13850364824373471"/>
    <n v="0.70093550576018415"/>
    <n v="0.29906449423981579"/>
  </r>
  <r>
    <x v="1"/>
    <d v="2023-11-06T00:00:00"/>
    <n v="66904"/>
    <n v="25258"/>
    <n v="54055"/>
    <n v="18642"/>
    <n v="164859"/>
    <n v="0.40582558428717874"/>
    <n v="0.3278862543142928"/>
    <n v="0.15320971254223306"/>
    <n v="0.11307844885629538"/>
    <n v="0.7337118386014716"/>
    <n v="0.26628816139852846"/>
  </r>
  <r>
    <x v="2"/>
    <d v="2023-11-07T00:00:00"/>
    <n v="73662"/>
    <n v="25859"/>
    <n v="65543"/>
    <n v="20975"/>
    <n v="186039"/>
    <n v="0.39594923645042168"/>
    <n v="0.35230784942942073"/>
    <n v="0.13899773703363275"/>
    <n v="0.11274517708652487"/>
    <n v="0.74825708587984241"/>
    <n v="0.25174291412015759"/>
  </r>
  <r>
    <x v="3"/>
    <d v="2023-11-08T00:00:00"/>
    <n v="57189"/>
    <n v="22256"/>
    <n v="41910"/>
    <n v="16994"/>
    <n v="138349"/>
    <n v="0.41336764270070619"/>
    <n v="0.30292954773796704"/>
    <n v="0.16086852814259589"/>
    <n v="0.12283428141873089"/>
    <n v="0.71629719043867324"/>
    <n v="0.28370280956132676"/>
  </r>
  <r>
    <x v="4"/>
    <d v="2023-11-09T00:00:00"/>
    <n v="58121"/>
    <n v="19224"/>
    <n v="40268"/>
    <n v="15326"/>
    <n v="132939"/>
    <n v="0.43720052053949554"/>
    <n v="0.30290584403372978"/>
    <n v="0.14460767720533477"/>
    <n v="0.1152859582214399"/>
    <n v="0.74010636457322532"/>
    <n v="0.25989363542677468"/>
  </r>
  <r>
    <x v="5"/>
    <d v="2023-11-10T00:00:00"/>
    <n v="44629"/>
    <n v="18558"/>
    <n v="30874"/>
    <n v="10690"/>
    <n v="104751"/>
    <n v="0.42604843867838971"/>
    <n v="0.29473704308312093"/>
    <n v="0.17716298651086862"/>
    <n v="0.10205153172762074"/>
    <n v="0.72078548176151058"/>
    <n v="0.27921451823848936"/>
  </r>
  <r>
    <x v="6"/>
    <d v="2023-11-11T00:00:00"/>
    <n v="37568"/>
    <n v="28351"/>
    <n v="25978"/>
    <n v="18268"/>
    <n v="110165"/>
    <n v="0.34101574910361732"/>
    <n v="0.23580992148141425"/>
    <n v="0.25735033812916991"/>
    <n v="0.16582399128579858"/>
    <n v="0.57682567058503154"/>
    <n v="0.42317432941496846"/>
  </r>
  <r>
    <x v="0"/>
    <d v="2023-11-12T00:00:00"/>
    <n v="34388"/>
    <n v="26526"/>
    <n v="54571"/>
    <n v="22067"/>
    <n v="137552"/>
    <n v="0.25"/>
    <n v="0.39672996394090965"/>
    <n v="0.19284343375596139"/>
    <n v="0.160426602303129"/>
    <n v="0.64672996394090965"/>
    <n v="0.35327003605909035"/>
  </r>
  <r>
    <x v="1"/>
    <d v="2023-11-13T00:00:00"/>
    <n v="63656"/>
    <n v="29597"/>
    <n v="38244"/>
    <n v="20928"/>
    <n v="152425"/>
    <n v="0.41762178120387078"/>
    <n v="0.25090372314252912"/>
    <n v="0.19417418402493028"/>
    <n v="0.13730031162866985"/>
    <n v="0.6685255043463999"/>
    <n v="0.33147449565360015"/>
  </r>
  <r>
    <x v="2"/>
    <d v="2023-11-14T00:00:00"/>
    <n v="68131"/>
    <n v="20770"/>
    <n v="34125"/>
    <n v="13602"/>
    <n v="136628"/>
    <n v="0.49866059665661505"/>
    <n v="0.24976578739350647"/>
    <n v="0.15201861990221624"/>
    <n v="9.955499604766227E-2"/>
    <n v="0.74842638405012152"/>
    <n v="0.25157361594987848"/>
  </r>
  <r>
    <x v="3"/>
    <d v="2023-11-15T00:00:00"/>
    <n v="30426"/>
    <n v="20457"/>
    <n v="21113"/>
    <n v="12532"/>
    <n v="84528"/>
    <n v="0.35995173197047131"/>
    <n v="0.24977522241150862"/>
    <n v="0.24201448040885859"/>
    <n v="0.14825856520916147"/>
    <n v="0.60972695438197999"/>
    <n v="0.39027304561802006"/>
  </r>
  <r>
    <x v="4"/>
    <d v="2023-11-16T00:00:00"/>
    <n v="31980"/>
    <n v="15194"/>
    <n v="28538"/>
    <n v="11033"/>
    <n v="86745"/>
    <n v="0.3686667819470863"/>
    <n v="0.32898726151363189"/>
    <n v="0.17515706957173324"/>
    <n v="0.12718888696754857"/>
    <n v="0.69765404346071824"/>
    <n v="0.30234595653928181"/>
  </r>
  <r>
    <x v="5"/>
    <d v="2023-11-17T00:00:00"/>
    <n v="48565"/>
    <n v="14366"/>
    <n v="31741"/>
    <n v="12713"/>
    <n v="107385"/>
    <n v="0.45225124551846163"/>
    <n v="0.29558131955114775"/>
    <n v="0.13378032313637844"/>
    <n v="0.11838711179401219"/>
    <n v="0.74783256506960938"/>
    <n v="0.25216743493039068"/>
  </r>
  <r>
    <x v="6"/>
    <d v="2023-11-18T00:00:00"/>
    <n v="32163"/>
    <n v="27975"/>
    <n v="12481"/>
    <n v="17598"/>
    <n v="90217"/>
    <n v="0.35650708846448009"/>
    <n v="0.13834421450502676"/>
    <n v="0.31008568229934491"/>
    <n v="0.19506301473114823"/>
    <n v="0.49485130296950686"/>
    <n v="0.50514869703049314"/>
  </r>
  <r>
    <x v="0"/>
    <d v="2023-11-19T00:00:00"/>
    <n v="48752"/>
    <n v="22615"/>
    <n v="42848"/>
    <n v="21876"/>
    <n v="136091"/>
    <n v="0.35823088962532423"/>
    <n v="0.31484815307404607"/>
    <n v="0.16617557369701155"/>
    <n v="0.16074538360361817"/>
    <n v="0.67307904269937024"/>
    <n v="0.3269209573006297"/>
  </r>
  <r>
    <x v="1"/>
    <d v="2023-11-20T00:00:00"/>
    <n v="50001"/>
    <n v="28011"/>
    <n v="39660"/>
    <n v="22907"/>
    <n v="140579"/>
    <n v="0.35567901322388124"/>
    <n v="0.28211895091016437"/>
    <n v="0.19925451169804878"/>
    <n v="0.16294752416790559"/>
    <n v="0.63779796413404566"/>
    <n v="0.3622020358659544"/>
  </r>
  <r>
    <x v="2"/>
    <d v="2023-11-21T00:00:00"/>
    <n v="66838"/>
    <n v="23580"/>
    <n v="43028"/>
    <n v="16021"/>
    <n v="149467"/>
    <n v="0.44717563074123384"/>
    <n v="0.28787625362120067"/>
    <n v="0.15776057591307779"/>
    <n v="0.10718753972448768"/>
    <n v="0.73505188436243452"/>
    <n v="0.26494811563756548"/>
  </r>
  <r>
    <x v="3"/>
    <d v="2023-11-22T00:00:00"/>
    <n v="42838"/>
    <n v="16784"/>
    <n v="21919"/>
    <n v="11375"/>
    <n v="92916"/>
    <n v="0.46104007921133067"/>
    <n v="0.23590124413448707"/>
    <n v="0.18063627362348789"/>
    <n v="0.12242240303069439"/>
    <n v="0.69694132334581771"/>
    <n v="0.30305867665418229"/>
  </r>
  <r>
    <x v="4"/>
    <d v="2023-11-23T00:00:00"/>
    <n v="0"/>
    <n v="0"/>
    <n v="0"/>
    <n v="0"/>
    <n v="0"/>
    <n v="0"/>
    <n v="0"/>
    <n v="0"/>
    <n v="0"/>
    <n v="0"/>
    <n v="0"/>
  </r>
  <r>
    <x v="5"/>
    <d v="2023-11-24T00:00:00"/>
    <n v="45246"/>
    <n v="18677"/>
    <n v="30716"/>
    <n v="14225"/>
    <n v="108864"/>
    <n v="0.41561948853615521"/>
    <n v="0.28215020576131689"/>
    <n v="0.17156268371546149"/>
    <n v="0.13066762198706644"/>
    <n v="0.69776969429747204"/>
    <n v="0.3022303057025279"/>
  </r>
  <r>
    <x v="6"/>
    <d v="2023-11-25T00:00:00"/>
    <n v="53055"/>
    <n v="23844"/>
    <n v="35352"/>
    <n v="16525"/>
    <n v="128776"/>
    <n v="0.41199447101944464"/>
    <n v="0.2745232030813195"/>
    <n v="0.1851587252283034"/>
    <n v="0.12832360067093246"/>
    <n v="0.68651767410076414"/>
    <n v="0.31348232589923586"/>
  </r>
  <r>
    <x v="0"/>
    <d v="2023-11-26T00:00:00"/>
    <n v="42099"/>
    <n v="23064"/>
    <n v="40589"/>
    <n v="22878"/>
    <n v="128630"/>
    <n v="0.32728756899634609"/>
    <n v="0.31554847236259037"/>
    <n v="0.17930498328539221"/>
    <n v="0.1778589753556713"/>
    <n v="0.64283604135893646"/>
    <n v="0.35716395864106354"/>
  </r>
  <r>
    <x v="1"/>
    <d v="2023-11-27T00:00:00"/>
    <n v="59056"/>
    <n v="25295"/>
    <n v="40626"/>
    <n v="15702"/>
    <n v="140679"/>
    <n v="0.41979257742804543"/>
    <n v="0.28878510651909667"/>
    <n v="0.17980650985577093"/>
    <n v="0.11161580619708698"/>
    <n v="0.70857768394714205"/>
    <n v="0.2914223160528579"/>
  </r>
  <r>
    <x v="2"/>
    <d v="2023-11-28T00:00:00"/>
    <n v="61369"/>
    <n v="18949"/>
    <n v="26023"/>
    <n v="18590"/>
    <n v="124931"/>
    <n v="0.49122315518166026"/>
    <n v="0.20829898103753272"/>
    <n v="0.1516757250002001"/>
    <n v="0.14880213878060689"/>
    <n v="0.69952213621919301"/>
    <n v="0.30047786378080699"/>
  </r>
  <r>
    <x v="3"/>
    <d v="2023-11-29T00:00:00"/>
    <n v="45120"/>
    <n v="15837"/>
    <n v="40730"/>
    <n v="13353"/>
    <n v="115040"/>
    <n v="0.39221140472878996"/>
    <n v="0.35405076495132126"/>
    <n v="0.13766515994436718"/>
    <n v="0.11607267037552156"/>
    <n v="0.74626216968011128"/>
    <n v="0.25373783031988872"/>
  </r>
  <r>
    <x v="4"/>
    <d v="2023-11-30T00:00:00"/>
    <n v="25623"/>
    <n v="15972"/>
    <n v="17694"/>
    <n v="12323"/>
    <n v="71612"/>
    <n v="0.35780316148131597"/>
    <n v="0.24708149472155505"/>
    <n v="0.22303524548958276"/>
    <n v="0.17208009830754623"/>
    <n v="0.60488465620287102"/>
    <n v="0.39511534379712898"/>
  </r>
  <r>
    <x v="5"/>
    <d v="2023-12-01T00:00:00"/>
    <n v="55822"/>
    <n v="19383"/>
    <n v="31632"/>
    <n v="13332"/>
    <n v="120169"/>
    <n v="0.46452912148723879"/>
    <n v="0.26322928542302926"/>
    <n v="0.16129783887691501"/>
    <n v="0.11094375421281695"/>
    <n v="0.72775840691026805"/>
    <n v="0.27224159308973195"/>
  </r>
  <r>
    <x v="6"/>
    <d v="2023-12-02T00:00:00"/>
    <n v="38208"/>
    <n v="24224"/>
    <n v="45734"/>
    <n v="19835"/>
    <n v="128001"/>
    <n v="0.29849766798696886"/>
    <n v="0.35729408363997156"/>
    <n v="0.1892485214959258"/>
    <n v="0.15495972687713377"/>
    <n v="0.65579175162694037"/>
    <n v="0.34420824837305958"/>
  </r>
  <r>
    <x v="0"/>
    <d v="2023-12-03T00:00:00"/>
    <n v="43065"/>
    <n v="23262"/>
    <n v="71997"/>
    <n v="15803"/>
    <n v="154127"/>
    <n v="0.27941243260428089"/>
    <n v="0.46712775827726483"/>
    <n v="0.15092748188182473"/>
    <n v="0.10253232723662953"/>
    <n v="0.74654019088154577"/>
    <n v="0.25345980911845428"/>
  </r>
  <r>
    <x v="1"/>
    <d v="2023-12-04T00:00:00"/>
    <n v="53889"/>
    <n v="31328"/>
    <n v="52943"/>
    <n v="9492"/>
    <n v="147652"/>
    <n v="0.36497304472679004"/>
    <n v="0.35856608782813643"/>
    <n v="0.21217457264378403"/>
    <n v="6.4286294801289515E-2"/>
    <n v="0.72353913255492641"/>
    <n v="0.27646086744507353"/>
  </r>
  <r>
    <x v="2"/>
    <d v="2023-12-05T00:00:00"/>
    <n v="52509"/>
    <n v="17924"/>
    <n v="25048"/>
    <n v="9611"/>
    <n v="105092"/>
    <n v="0.49964792753016407"/>
    <n v="0.23834354660678264"/>
    <n v="0.17055532295512504"/>
    <n v="9.1453202907928285E-2"/>
    <n v="0.73799147413694666"/>
    <n v="0.26200852586305334"/>
  </r>
  <r>
    <x v="3"/>
    <d v="2023-12-06T00:00:00"/>
    <n v="36969"/>
    <n v="20674"/>
    <n v="20474"/>
    <n v="10820"/>
    <n v="88937"/>
    <n v="0.4156762652214489"/>
    <n v="0.23020789997413899"/>
    <n v="0.23245668282042345"/>
    <n v="0.12165915198398866"/>
    <n v="0.64588416519558789"/>
    <n v="0.35411583480441211"/>
  </r>
  <r>
    <x v="4"/>
    <d v="2023-12-07T00:00:00"/>
    <n v="38475"/>
    <n v="16548"/>
    <n v="15908"/>
    <n v="9796"/>
    <n v="80727"/>
    <n v="0.47660633988628343"/>
    <n v="0.19705922429918118"/>
    <n v="0.2049871790107399"/>
    <n v="0.1213472568037955"/>
    <n v="0.67366556418546464"/>
    <n v="0.32633443581453542"/>
  </r>
  <r>
    <x v="5"/>
    <d v="2023-12-08T00:00:00"/>
    <n v="48295"/>
    <n v="15227"/>
    <n v="44802"/>
    <n v="14109"/>
    <n v="122433"/>
    <n v="0.39446064378068002"/>
    <n v="0.3659307539633922"/>
    <n v="0.12437006362663661"/>
    <n v="0.11523853862929112"/>
    <n v="0.76039139774407227"/>
    <n v="0.23960860225592773"/>
  </r>
  <r>
    <x v="6"/>
    <d v="2023-12-09T00:00:00"/>
    <n v="43967"/>
    <n v="25572"/>
    <n v="45383"/>
    <n v="21053"/>
    <n v="135975"/>
    <n v="0.32334620334620334"/>
    <n v="0.33375988233131088"/>
    <n v="0.18806398234969662"/>
    <n v="0.1548299319727891"/>
    <n v="0.65710608567751427"/>
    <n v="0.34289391432248573"/>
  </r>
  <r>
    <x v="0"/>
    <d v="2023-12-10T00:00:00"/>
    <n v="41855"/>
    <n v="22934"/>
    <n v="49120"/>
    <n v="19247"/>
    <n v="133156"/>
    <n v="0.31433055964432693"/>
    <n v="0.36889062453062571"/>
    <n v="0.17223407131484875"/>
    <n v="0.14454474451019855"/>
    <n v="0.6832211841749527"/>
    <n v="0.3167788158250473"/>
  </r>
  <r>
    <x v="1"/>
    <d v="2023-12-11T00:00:00"/>
    <n v="54078"/>
    <n v="22477"/>
    <n v="47032"/>
    <n v="12197"/>
    <n v="135784"/>
    <n v="0.39826489129794379"/>
    <n v="0.34637365227125433"/>
    <n v="0.16553496730100747"/>
    <n v="8.9826489129794379E-2"/>
    <n v="0.74463854356919812"/>
    <n v="0.25536145643080188"/>
  </r>
  <r>
    <x v="2"/>
    <d v="2023-12-12T00:00:00"/>
    <n v="58194"/>
    <n v="16964"/>
    <n v="37073"/>
    <n v="15210"/>
    <n v="127441"/>
    <n v="0.45663483494322865"/>
    <n v="0.29090324149998825"/>
    <n v="0.13311257758492165"/>
    <n v="0.11934934597186149"/>
    <n v="0.7475380764432169"/>
    <n v="0.25246192355678315"/>
  </r>
  <r>
    <x v="3"/>
    <d v="2023-12-13T00:00:00"/>
    <n v="31136"/>
    <n v="12842"/>
    <n v="33745"/>
    <n v="11526"/>
    <n v="89249"/>
    <n v="0.34886665396811167"/>
    <n v="0.37809947450391601"/>
    <n v="0.1438895673901108"/>
    <n v="0.12914430413786149"/>
    <n v="0.72696612847202768"/>
    <n v="0.27303387152797232"/>
  </r>
  <r>
    <x v="4"/>
    <d v="2023-12-14T00:00:00"/>
    <n v="30540"/>
    <n v="14403"/>
    <n v="21774"/>
    <n v="13480"/>
    <n v="80197"/>
    <n v="0.38081224983478185"/>
    <n v="0.27150641545194959"/>
    <n v="0.17959524670498897"/>
    <n v="0.16808608800827962"/>
    <n v="0.65231866528673144"/>
    <n v="0.34768133471326856"/>
  </r>
  <r>
    <x v="5"/>
    <d v="2023-12-15T00:00:00"/>
    <n v="35442"/>
    <n v="13947"/>
    <n v="36660"/>
    <n v="17913"/>
    <n v="103962"/>
    <n v="0.34091302591331446"/>
    <n v="0.35262884515496046"/>
    <n v="0.13415478732613839"/>
    <n v="0.17230334160558666"/>
    <n v="0.69354187106827492"/>
    <n v="0.30645812893172503"/>
  </r>
  <r>
    <x v="6"/>
    <d v="2023-12-16T00:00:00"/>
    <n v="38408"/>
    <n v="22517"/>
    <n v="39887"/>
    <n v="22014"/>
    <n v="122826"/>
    <n v="0.31270252226727241"/>
    <n v="0.32474394672137818"/>
    <n v="0.18332437757478059"/>
    <n v="0.17922915343656881"/>
    <n v="0.63744646898865065"/>
    <n v="0.36255353101134941"/>
  </r>
  <r>
    <x v="0"/>
    <d v="2023-12-17T00:00:00"/>
    <n v="33736"/>
    <n v="26827"/>
    <n v="46749"/>
    <n v="24191"/>
    <n v="131503"/>
    <n v="0.25654167585530369"/>
    <n v="0.35549759321080127"/>
    <n v="0.20400295050303036"/>
    <n v="0.18395778043086469"/>
    <n v="0.61203926906610495"/>
    <n v="0.38796073093389505"/>
  </r>
  <r>
    <x v="1"/>
    <d v="2023-12-18T00:00:00"/>
    <n v="39114"/>
    <n v="19859"/>
    <n v="31987"/>
    <n v="13775"/>
    <n v="104735"/>
    <n v="0.37345681959230437"/>
    <n v="0.30540888910106462"/>
    <n v="0.18961187759583711"/>
    <n v="0.1315224137107939"/>
    <n v="0.67886570869336893"/>
    <n v="0.32113429130663101"/>
  </r>
  <r>
    <x v="2"/>
    <d v="2023-12-19T00:00:00"/>
    <n v="33339"/>
    <n v="16990"/>
    <n v="29852"/>
    <n v="13463"/>
    <n v="93644"/>
    <n v="0.35601853829396435"/>
    <n v="0.31878176925376961"/>
    <n v="0.18143180556148819"/>
    <n v="0.14376788689077785"/>
    <n v="0.67480030754773401"/>
    <n v="0.32519969245226604"/>
  </r>
  <r>
    <x v="3"/>
    <d v="2023-12-20T00:00:00"/>
    <n v="32384"/>
    <n v="17699"/>
    <n v="14578"/>
    <n v="15726"/>
    <n v="80387"/>
    <n v="0.40285120728475998"/>
    <n v="0.18134773035441054"/>
    <n v="0.22017241593790041"/>
    <n v="0.19562864642292907"/>
    <n v="0.58419893763917052"/>
    <n v="0.41580106236082948"/>
  </r>
  <r>
    <x v="4"/>
    <d v="2023-12-21T00:00:00"/>
    <n v="36080"/>
    <n v="14173"/>
    <n v="20512"/>
    <n v="8126"/>
    <n v="78891"/>
    <n v="0.45733987400337173"/>
    <n v="0.26000430974382377"/>
    <n v="0.17965293886501629"/>
    <n v="0.10300287738778821"/>
    <n v="0.71734418374719555"/>
    <n v="0.2826558162528045"/>
  </r>
  <r>
    <x v="5"/>
    <d v="2023-12-22T00:00:00"/>
    <n v="39574"/>
    <n v="8804"/>
    <n v="14893"/>
    <n v="17485"/>
    <n v="80756"/>
    <n v="0.49004408341175887"/>
    <n v="0.18441973351825253"/>
    <n v="0.1090197632374065"/>
    <n v="0.2165164198325821"/>
    <n v="0.67446381693001134"/>
    <n v="0.3255361830699886"/>
  </r>
  <r>
    <x v="6"/>
    <d v="2023-12-23T00:00:00"/>
    <n v="50513"/>
    <n v="20651"/>
    <n v="27463"/>
    <n v="20806"/>
    <n v="119433"/>
    <n v="0.42294005844280896"/>
    <n v="0.22994482262021385"/>
    <n v="0.17290866008557099"/>
    <n v="0.17420645885140623"/>
    <n v="0.65288488106302278"/>
    <n v="0.34711511893697722"/>
  </r>
  <r>
    <x v="0"/>
    <d v="2023-12-24T00:00:00"/>
    <n v="37213"/>
    <n v="23997"/>
    <n v="12924"/>
    <n v="10224"/>
    <n v="84358"/>
    <n v="0.44113184286019108"/>
    <n v="0.15320420114274877"/>
    <n v="0.28446620356101376"/>
    <n v="0.12119775243604637"/>
    <n v="0.59433604400293982"/>
    <n v="0.40566395599706012"/>
  </r>
  <r>
    <x v="1"/>
    <d v="2023-12-25T00:00:00"/>
    <n v="0"/>
    <n v="0"/>
    <n v="0"/>
    <n v="0"/>
    <n v="0"/>
    <n v="0"/>
    <n v="0"/>
    <n v="0"/>
    <n v="0"/>
    <n v="0"/>
    <n v="0"/>
  </r>
  <r>
    <x v="2"/>
    <d v="2023-12-26T00:00:00"/>
    <n v="37712"/>
    <n v="18637"/>
    <n v="35420"/>
    <n v="17361"/>
    <n v="109130"/>
    <n v="0.34556950426097316"/>
    <n v="0.32456703014753047"/>
    <n v="0.17077797122697699"/>
    <n v="0.15908549436451938"/>
    <n v="0.67013653440850363"/>
    <n v="0.32986346559149637"/>
  </r>
  <r>
    <x v="3"/>
    <d v="2023-12-27T00:00:00"/>
    <n v="33581"/>
    <n v="22964"/>
    <n v="21341"/>
    <n v="10229"/>
    <n v="88115"/>
    <n v="0.38110423877886851"/>
    <n v="0.24219485899109119"/>
    <n v="0.26061397037961753"/>
    <n v="0.11608693185042274"/>
    <n v="0.62329909776995973"/>
    <n v="0.37670090223004027"/>
  </r>
  <r>
    <x v="4"/>
    <d v="2023-12-28T00:00:00"/>
    <n v="33603"/>
    <n v="19436"/>
    <n v="25133"/>
    <n v="10627"/>
    <n v="88799"/>
    <n v="0.37841642360837396"/>
    <n v="0.2830324665818309"/>
    <n v="0.21887633869750786"/>
    <n v="0.1196747711122873"/>
    <n v="0.66144889019020481"/>
    <n v="0.33855110980979514"/>
  </r>
  <r>
    <x v="5"/>
    <d v="2023-12-29T00:00:00"/>
    <n v="42052"/>
    <n v="15351"/>
    <n v="33011"/>
    <n v="15554"/>
    <n v="105968"/>
    <n v="0.39683678091499319"/>
    <n v="0.31151857164426999"/>
    <n v="0.14486448739242036"/>
    <n v="0.14678016004831648"/>
    <n v="0.70835535255926318"/>
    <n v="0.29164464744073682"/>
  </r>
  <r>
    <x v="6"/>
    <d v="2023-12-30T00:00:00"/>
    <n v="59966"/>
    <n v="18359"/>
    <n v="39741"/>
    <n v="22165"/>
    <n v="140231"/>
    <n v="0.42762299348931404"/>
    <n v="0.28339668119032169"/>
    <n v="0.13091969678601736"/>
    <n v="0.15806062853434691"/>
    <n v="0.71101967467963578"/>
    <n v="0.28898032532036427"/>
  </r>
  <r>
    <x v="0"/>
    <d v="2024-12-31T00:00:00"/>
    <n v="37898"/>
    <n v="24992"/>
    <n v="18581"/>
    <n v="12399"/>
    <n v="93870"/>
    <n v="0.40372856077554065"/>
    <n v="0.19794396505805903"/>
    <n v="0.26624054543517633"/>
    <n v="0.13208692873122405"/>
    <n v="0.60167252583359965"/>
    <n v="0.39832747416640035"/>
  </r>
  <r>
    <x v="1"/>
    <d v="2024-01-01T00:00:00"/>
    <n v="0"/>
    <n v="0"/>
    <n v="0"/>
    <n v="0"/>
    <n v="0"/>
    <n v="0"/>
    <n v="0"/>
    <n v="0"/>
    <n v="0"/>
    <n v="0"/>
    <n v="0"/>
  </r>
  <r>
    <x v="2"/>
    <d v="2024-01-02T00:00:00"/>
    <n v="35991"/>
    <n v="21273"/>
    <n v="39446"/>
    <n v="15606"/>
    <n v="112316"/>
    <n v="0.32044410413476265"/>
    <n v="0.35120552726236687"/>
    <n v="0.18940311264646176"/>
    <n v="0.13894725595640869"/>
    <n v="0.67164963139712952"/>
    <n v="0.32835036860287048"/>
  </r>
  <r>
    <x v="3"/>
    <d v="2024-01-03T00:00:00"/>
    <n v="26075"/>
    <n v="18121"/>
    <n v="21646"/>
    <n v="13212"/>
    <n v="79054"/>
    <n v="0.32983783236774861"/>
    <n v="0.2738128367951021"/>
    <n v="0.22922306271662407"/>
    <n v="0.16712626812052522"/>
    <n v="0.60365066916285071"/>
    <n v="0.39634933083714929"/>
  </r>
  <r>
    <x v="4"/>
    <d v="2024-01-04T00:00:00"/>
    <n v="26220"/>
    <n v="14616"/>
    <n v="16462"/>
    <n v="6912"/>
    <n v="64210"/>
    <n v="0.4083476094066345"/>
    <n v="0.25637751129107617"/>
    <n v="0.22762809531225667"/>
    <n v="0.1076467839900327"/>
    <n v="0.66472512069771061"/>
    <n v="0.33527487930228939"/>
  </r>
  <r>
    <x v="5"/>
    <d v="2024-01-05T00:00:00"/>
    <n v="37324"/>
    <n v="16075"/>
    <n v="23102"/>
    <n v="16898"/>
    <n v="93399"/>
    <n v="0.39961883960213707"/>
    <n v="0.24734740200644548"/>
    <n v="0.17211105043951219"/>
    <n v="0.18092270795190527"/>
    <n v="0.64696624160858252"/>
    <n v="0.35303375839141748"/>
  </r>
  <r>
    <x v="6"/>
    <d v="2024-01-06T00:00:00"/>
    <n v="37862"/>
    <n v="27595"/>
    <n v="46072"/>
    <n v="19143"/>
    <n v="130672"/>
    <n v="0.28974837761724009"/>
    <n v="0.352577445818538"/>
    <n v="0.21117760499571447"/>
    <n v="0.1464965715685074"/>
    <n v="0.64232582343577815"/>
    <n v="0.35767417656422185"/>
  </r>
  <r>
    <x v="0"/>
    <d v="2024-01-07T00:00:00"/>
    <n v="40662"/>
    <n v="24148"/>
    <n v="32044"/>
    <n v="18812"/>
    <n v="115666"/>
    <n v="0.35154669479362993"/>
    <n v="0.27703906074386597"/>
    <n v="0.20877353759964035"/>
    <n v="0.16264070686286378"/>
    <n v="0.62858575553749585"/>
    <n v="0.3714142444625041"/>
  </r>
  <r>
    <x v="1"/>
    <d v="2024-01-08T00:00:00"/>
    <n v="29425"/>
    <n v="15626"/>
    <n v="40513"/>
    <n v="13285"/>
    <n v="98849"/>
    <n v="0.29767625367985512"/>
    <n v="0.40984734291697439"/>
    <n v="0.15807949498730386"/>
    <n v="0.13439690841586663"/>
    <n v="0.70752359659682951"/>
    <n v="0.29247640340317049"/>
  </r>
  <r>
    <x v="2"/>
    <d v="2024-01-09T00:00:00"/>
    <n v="36018"/>
    <n v="12365"/>
    <n v="24204"/>
    <n v="10288"/>
    <n v="82875"/>
    <n v="0.43460633484162897"/>
    <n v="0.29205429864253396"/>
    <n v="0.14920060331825039"/>
    <n v="0.12413876319758672"/>
    <n v="0.72666063348416288"/>
    <n v="0.27333936651583712"/>
  </r>
  <r>
    <x v="3"/>
    <d v="2024-01-10T00:00:00"/>
    <n v="20181"/>
    <n v="11802"/>
    <n v="32465"/>
    <n v="12701"/>
    <n v="77149"/>
    <n v="0.26158472566073443"/>
    <n v="0.42080908372111109"/>
    <n v="0.15297670741033584"/>
    <n v="0.16462948320781864"/>
    <n v="0.68239380938184557"/>
    <n v="0.31760619061815448"/>
  </r>
  <r>
    <x v="4"/>
    <d v="2024-01-11T00:00:00"/>
    <n v="18222"/>
    <n v="15027"/>
    <n v="17846"/>
    <n v="11699"/>
    <n v="62794"/>
    <n v="0.29018696053763099"/>
    <n v="0.28419912730515656"/>
    <n v="0.23930630314998247"/>
    <n v="0.18630760900722998"/>
    <n v="0.57438608784278755"/>
    <n v="0.42561391215721245"/>
  </r>
  <r>
    <x v="5"/>
    <d v="2024-01-12T00:00:00"/>
    <n v="35439"/>
    <n v="13244"/>
    <n v="29050"/>
    <n v="19689"/>
    <n v="97422"/>
    <n v="0.36376793742686458"/>
    <n v="0.29818726776292831"/>
    <n v="0.13594465315842419"/>
    <n v="0.20210014165178297"/>
    <n v="0.66195520518979289"/>
    <n v="0.33804479481020716"/>
  </r>
  <r>
    <x v="6"/>
    <d v="2024-01-13T00:00:00"/>
    <n v="49514"/>
    <n v="22358"/>
    <n v="37022"/>
    <n v="18424"/>
    <n v="127318"/>
    <n v="0.38890023405959878"/>
    <n v="0.29078370693853184"/>
    <n v="0.17560753389151573"/>
    <n v="0.14470852511035359"/>
    <n v="0.67968394099813068"/>
    <n v="0.32031605900186932"/>
  </r>
  <r>
    <x v="0"/>
    <d v="2024-01-14T00:00:00"/>
    <n v="26576"/>
    <n v="24541"/>
    <n v="30533"/>
    <n v="14084"/>
    <n v="95734"/>
    <n v="0.27760252365930599"/>
    <n v="0.31893580128272087"/>
    <n v="0.25634570789897004"/>
    <n v="0.14711596715900307"/>
    <n v="0.59653832494202685"/>
    <n v="0.40346167505797315"/>
  </r>
  <r>
    <x v="1"/>
    <d v="2024-01-15T00:00:00"/>
    <n v="24712"/>
    <n v="13713"/>
    <n v="24920"/>
    <n v="17030"/>
    <n v="80375"/>
    <n v="0.30745878693623641"/>
    <n v="0.31004665629860029"/>
    <n v="0.17061275272161741"/>
    <n v="0.21188180404354587"/>
    <n v="0.61750544323483669"/>
    <n v="0.38249455676516331"/>
  </r>
  <r>
    <x v="2"/>
    <d v="2024-01-16T00:00:00"/>
    <n v="35551"/>
    <n v="12042"/>
    <n v="26104"/>
    <n v="12457"/>
    <n v="86154"/>
    <n v="0.41264479884857347"/>
    <n v="0.30299231608514987"/>
    <n v="0.13977296469113448"/>
    <n v="0.14458992037514218"/>
    <n v="0.71563711493372328"/>
    <n v="0.28436288506627666"/>
  </r>
  <r>
    <x v="3"/>
    <d v="2024-01-17T00:00:00"/>
    <n v="14285"/>
    <n v="5654"/>
    <n v="10771"/>
    <n v="8917"/>
    <n v="39627"/>
    <n v="0.36048653695712518"/>
    <n v="0.27180962475080123"/>
    <n v="0.14268049562167209"/>
    <n v="0.2250233426704015"/>
    <n v="0.63229616170792646"/>
    <n v="0.36770383829207359"/>
  </r>
  <r>
    <x v="4"/>
    <d v="2024-01-18T00:00:00"/>
    <n v="14781"/>
    <n v="10221"/>
    <n v="11728"/>
    <n v="9923"/>
    <n v="46653"/>
    <n v="0.3168284997749341"/>
    <n v="0.25138790645831993"/>
    <n v="0.21908558935116712"/>
    <n v="0.21269800441557885"/>
    <n v="0.56821640623325398"/>
    <n v="0.43178359376674597"/>
  </r>
  <r>
    <x v="5"/>
    <d v="2024-01-19T00:00:00"/>
    <n v="19461"/>
    <n v="7170"/>
    <n v="12218"/>
    <n v="13144"/>
    <n v="51993"/>
    <n v="0.37430038659050258"/>
    <n v="0.23499317215779048"/>
    <n v="0.13790317927413306"/>
    <n v="0.25280326197757391"/>
    <n v="0.60929355874829305"/>
    <n v="0.39070644125170695"/>
  </r>
  <r>
    <x v="6"/>
    <d v="2024-01-20T00:00:00"/>
    <n v="18926"/>
    <n v="18291"/>
    <n v="26839"/>
    <n v="13393"/>
    <n v="77449"/>
    <n v="0.24436726103629486"/>
    <n v="0.34653772159743834"/>
    <n v="0.23616831721519968"/>
    <n v="0.17292670015106715"/>
    <n v="0.59090498263373314"/>
    <n v="0.40909501736626686"/>
  </r>
  <r>
    <x v="0"/>
    <d v="2024-01-21T00:00:00"/>
    <n v="20672"/>
    <n v="18158"/>
    <n v="26483"/>
    <n v="14746"/>
    <n v="80059"/>
    <n v="0.25820957044179915"/>
    <n v="0.33079353976442372"/>
    <n v="0.22680772929964152"/>
    <n v="0.18418916049413558"/>
    <n v="0.58900311020622287"/>
    <n v="0.41099688979377708"/>
  </r>
  <r>
    <x v="1"/>
    <d v="2024-01-22T00:00:00"/>
    <n v="18314"/>
    <n v="15707"/>
    <n v="31682"/>
    <n v="14504"/>
    <n v="80207"/>
    <n v="0.22833418529554778"/>
    <n v="0.39500292991883501"/>
    <n v="0.19583078783647312"/>
    <n v="0.18083209694914409"/>
    <n v="0.62333711521438273"/>
    <n v="0.37666288478561721"/>
  </r>
  <r>
    <x v="2"/>
    <d v="2024-01-23T00:00:00"/>
    <n v="39136"/>
    <n v="19383"/>
    <n v="39899"/>
    <n v="14917"/>
    <n v="113335"/>
    <n v="0.34531256893280982"/>
    <n v="0.35204482287025191"/>
    <n v="0.17102395553006575"/>
    <n v="0.13161865266687256"/>
    <n v="0.69735739180306167"/>
    <n v="0.30264260819693828"/>
  </r>
  <r>
    <x v="3"/>
    <d v="2024-01-24T00:00:00"/>
    <n v="28548"/>
    <n v="14722"/>
    <n v="20589"/>
    <n v="14325"/>
    <n v="78184"/>
    <n v="0.36513864729356388"/>
    <n v="0.26334032538626828"/>
    <n v="0.18829939629591733"/>
    <n v="0.18322163102425049"/>
    <n v="0.62847897267983222"/>
    <n v="0.37152102732016778"/>
  </r>
  <r>
    <x v="4"/>
    <d v="2024-01-25T00:00:00"/>
    <n v="32245"/>
    <n v="13942"/>
    <n v="21565"/>
    <n v="10976"/>
    <n v="78728"/>
    <n v="0.40957473833959962"/>
    <n v="0.2739177929072249"/>
    <n v="0.17709074281068998"/>
    <n v="0.13941672594248553"/>
    <n v="0.68349253124682452"/>
    <n v="0.31650746875317548"/>
  </r>
  <r>
    <x v="5"/>
    <d v="2024-01-26T00:00:00"/>
    <n v="46840"/>
    <n v="12936"/>
    <n v="20482"/>
    <n v="17977"/>
    <n v="98235"/>
    <n v="0.47681579884969716"/>
    <n v="0.20850002544917798"/>
    <n v="0.13168422659948084"/>
    <n v="0.18299994910164402"/>
    <n v="0.68531582429887516"/>
    <n v="0.31468417570112484"/>
  </r>
  <r>
    <x v="6"/>
    <d v="2024-01-27T00:00:00"/>
    <n v="43051"/>
    <n v="23215"/>
    <n v="49289"/>
    <n v="25316"/>
    <n v="140871"/>
    <n v="0.30560583796523061"/>
    <n v="0.34988748571388006"/>
    <n v="0.16479616102675498"/>
    <n v="0.17971051529413434"/>
    <n v="0.65549332367911073"/>
    <n v="0.34450667632088933"/>
  </r>
  <r>
    <x v="0"/>
    <d v="2024-01-28T00:00:00"/>
    <n v="26029"/>
    <n v="20460"/>
    <n v="54409"/>
    <n v="22777"/>
    <n v="123675"/>
    <n v="0.21046290681220942"/>
    <n v="0.43993531433191835"/>
    <n v="0.16543359611885991"/>
    <n v="0.18416818273701233"/>
    <n v="0.65039822114412771"/>
    <n v="0.34960177885587224"/>
  </r>
  <r>
    <x v="1"/>
    <d v="2024-01-29T00:00:00"/>
    <n v="38402"/>
    <n v="18913"/>
    <n v="36814"/>
    <n v="16233"/>
    <n v="110362"/>
    <n v="0.34796397310668525"/>
    <n v="0.33357496239647705"/>
    <n v="0.17137239267139051"/>
    <n v="0.14708867182544716"/>
    <n v="0.68153893550316236"/>
    <n v="0.3184610644968377"/>
  </r>
  <r>
    <x v="2"/>
    <d v="2024-01-30T00:00:00"/>
    <n v="41338"/>
    <n v="15041"/>
    <n v="28067"/>
    <n v="17766"/>
    <n v="102212"/>
    <n v="0.40443392165303488"/>
    <n v="0.27459593785465503"/>
    <n v="0.1471549328845928"/>
    <n v="0.17381520760771729"/>
    <n v="0.6790298595076899"/>
    <n v="0.3209701404923101"/>
  </r>
  <r>
    <x v="3"/>
    <d v="2024-01-31T00:00:00"/>
    <n v="36565"/>
    <n v="13973"/>
    <n v="38244"/>
    <n v="12275"/>
    <n v="101057"/>
    <n v="0.36182550441829858"/>
    <n v="0.37843989035890635"/>
    <n v="0.13826850193455179"/>
    <n v="0.12146610328824327"/>
    <n v="0.74026539477720499"/>
    <n v="0.25973460522279507"/>
  </r>
  <r>
    <x v="4"/>
    <d v="2024-02-01T00:00:00"/>
    <n v="28680"/>
    <n v="17155"/>
    <n v="23411"/>
    <n v="11198"/>
    <n v="80444"/>
    <n v="0.35652130674755111"/>
    <n v="0.2910223260901994"/>
    <n v="0.21325394062950623"/>
    <n v="0.13920242653274328"/>
    <n v="0.64754363283775052"/>
    <n v="0.35245636716224954"/>
  </r>
  <r>
    <x v="5"/>
    <d v="2024-02-02T00:00:00"/>
    <n v="37936"/>
    <n v="19750"/>
    <n v="26992"/>
    <n v="16654"/>
    <n v="101332"/>
    <n v="0.3743733470177239"/>
    <n v="0.26637192594639403"/>
    <n v="0.19490388031421466"/>
    <n v="0.16435084672166739"/>
    <n v="0.64074527296411798"/>
    <n v="0.35925472703588207"/>
  </r>
  <r>
    <x v="6"/>
    <d v="2024-02-03T00:00:00"/>
    <n v="48496"/>
    <n v="24375"/>
    <n v="25047"/>
    <n v="22961"/>
    <n v="120879"/>
    <n v="0.40119458301276484"/>
    <n v="0.2072072072072072"/>
    <n v="0.20164792892065619"/>
    <n v="0.18995028085937177"/>
    <n v="0.60840179021997198"/>
    <n v="0.39159820978002796"/>
  </r>
  <r>
    <x v="0"/>
    <d v="2024-02-04T00:00:00"/>
    <n v="38813"/>
    <n v="24448"/>
    <n v="42922"/>
    <n v="27360"/>
    <n v="133543"/>
    <n v="0.29064046786428344"/>
    <n v="0.32140958343005621"/>
    <n v="0.18307211909272669"/>
    <n v="0.20487782961293366"/>
    <n v="0.61205005129433965"/>
    <n v="0.38794994870566035"/>
  </r>
  <r>
    <x v="1"/>
    <d v="2024-02-05T00:00:00"/>
    <n v="50261"/>
    <n v="22157"/>
    <n v="42269"/>
    <n v="19304"/>
    <n v="133991"/>
    <n v="0.37510728332499943"/>
    <n v="0.31546148621922365"/>
    <n v="0.16536185266174594"/>
    <n v="0.14406937779403095"/>
    <n v="0.69056876954422308"/>
    <n v="0.30943123045577686"/>
  </r>
  <r>
    <x v="2"/>
    <d v="2024-02-06T00:00:00"/>
    <n v="38273"/>
    <n v="15646"/>
    <n v="28675"/>
    <n v="13963"/>
    <n v="96557"/>
    <n v="0.3963772693849229"/>
    <n v="0.29697484387460255"/>
    <n v="0.16203900286877182"/>
    <n v="0.14460888387170273"/>
    <n v="0.6933521132595255"/>
    <n v="0.30664788674047455"/>
  </r>
  <r>
    <x v="3"/>
    <d v="2024-02-07T00:00:00"/>
    <n v="23410"/>
    <n v="11039"/>
    <n v="30295"/>
    <n v="11203"/>
    <n v="75947"/>
    <n v="0.30824127351969138"/>
    <n v="0.39889659894400042"/>
    <n v="0.14535136345082755"/>
    <n v="0.14751076408548067"/>
    <n v="0.70713787246369175"/>
    <n v="0.29286212753630819"/>
  </r>
  <r>
    <x v="4"/>
    <d v="2024-02-08T00:00:00"/>
    <n v="27512"/>
    <n v="16246"/>
    <n v="25098"/>
    <n v="11766"/>
    <n v="80622"/>
    <n v="0.34124680608270697"/>
    <n v="0.31130460668303939"/>
    <n v="0.20150827317605616"/>
    <n v="0.14594031405819752"/>
    <n v="0.65255141276574635"/>
    <n v="0.3474485872342537"/>
  </r>
  <r>
    <x v="5"/>
    <d v="2024-02-09T00:00:00"/>
    <n v="52056"/>
    <n v="16508"/>
    <n v="20680"/>
    <n v="16993"/>
    <n v="106237"/>
    <n v="0.48999877632086747"/>
    <n v="0.19465911123243315"/>
    <n v="0.1553884239954065"/>
    <n v="0.15995368845129287"/>
    <n v="0.68465788755330059"/>
    <n v="0.31534211244669935"/>
  </r>
  <r>
    <x v="6"/>
    <d v="2024-02-10T00:00:00"/>
    <n v="36473"/>
    <n v="22512"/>
    <n v="39540"/>
    <n v="27016"/>
    <n v="125541"/>
    <n v="0.29052660087142845"/>
    <n v="0.31495686668100459"/>
    <n v="0.1793199034578345"/>
    <n v="0.21519662898973244"/>
    <n v="0.6054834675524331"/>
    <n v="0.3945165324475669"/>
  </r>
  <r>
    <x v="0"/>
    <d v="2024-02-11T00:00:00"/>
    <n v="38344"/>
    <n v="21928"/>
    <n v="36355"/>
    <n v="19386"/>
    <n v="116013"/>
    <n v="0.33051468369924059"/>
    <n v="0.31337005335608942"/>
    <n v="0.1890133002335945"/>
    <n v="0.16710196271107547"/>
    <n v="0.64388473705533"/>
    <n v="0.35611526294467"/>
  </r>
  <r>
    <x v="1"/>
    <d v="2024-02-12T00:00:00"/>
    <n v="58820"/>
    <n v="21668"/>
    <n v="47119"/>
    <n v="24725"/>
    <n v="152332"/>
    <n v="0.3861302943570622"/>
    <n v="0.30931780584512775"/>
    <n v="0.14224194522490349"/>
    <n v="0.16230995457290653"/>
    <n v="0.69544810020218994"/>
    <n v="0.30455189979781006"/>
  </r>
  <r>
    <x v="2"/>
    <d v="2024-02-13T00:00:00"/>
    <n v="49110"/>
    <n v="16058"/>
    <n v="22459"/>
    <n v="13377"/>
    <n v="101004"/>
    <n v="0.4862183675894024"/>
    <n v="0.22235753039483586"/>
    <n v="0.15898380262167836"/>
    <n v="0.13244029939408342"/>
    <n v="0.70857589798423826"/>
    <n v="0.29142410201576174"/>
  </r>
  <r>
    <x v="3"/>
    <d v="2024-02-14T00:00:00"/>
    <n v="35797"/>
    <n v="13859"/>
    <n v="20332"/>
    <n v="12329"/>
    <n v="82317"/>
    <n v="0.43486764580827775"/>
    <n v="0.24699636770047501"/>
    <n v="0.16836133483970503"/>
    <n v="0.14977465165154222"/>
    <n v="0.6818640135087527"/>
    <n v="0.31813598649124725"/>
  </r>
  <r>
    <x v="4"/>
    <d v="2024-02-15T00:00:00"/>
    <n v="30886"/>
    <n v="10593"/>
    <n v="15150"/>
    <n v="12305"/>
    <n v="68934"/>
    <n v="0.44805175965416194"/>
    <n v="0.21977543737488031"/>
    <n v="0.15366872660805989"/>
    <n v="0.17850407636289783"/>
    <n v="0.66782719702904225"/>
    <n v="0.33217280297095775"/>
  </r>
  <r>
    <x v="5"/>
    <d v="2024-02-16T00:00:00"/>
    <n v="41239"/>
    <n v="15420"/>
    <n v="29838"/>
    <n v="14621"/>
    <n v="101118"/>
    <n v="0.40783045550742697"/>
    <n v="0.29508099448169467"/>
    <n v="0.15249510472912833"/>
    <n v="0.14459344528175003"/>
    <n v="0.70291144998912158"/>
    <n v="0.29708855001087836"/>
  </r>
  <r>
    <x v="6"/>
    <d v="2024-02-17T00:00:00"/>
    <n v="38265"/>
    <n v="27700"/>
    <n v="38263"/>
    <n v="22809"/>
    <n v="127037"/>
    <n v="0.30121145807914229"/>
    <n v="0.30119571463431916"/>
    <n v="0.21804671080079033"/>
    <n v="0.17954611648574825"/>
    <n v="0.60240717271346145"/>
    <n v="0.39759282728653855"/>
  </r>
  <r>
    <x v="0"/>
    <d v="2024-02-18T00:00:00"/>
    <n v="52421"/>
    <n v="24145"/>
    <n v="41776"/>
    <n v="24702"/>
    <n v="143044"/>
    <n v="0.36646766030032718"/>
    <n v="0.29204999860182879"/>
    <n v="0.16879421716394954"/>
    <n v="0.17268812393389446"/>
    <n v="0.65851765890215597"/>
    <n v="0.34148234109784403"/>
  </r>
  <r>
    <x v="1"/>
    <d v="2024-02-19T00:00:00"/>
    <n v="45454"/>
    <n v="25010"/>
    <n v="42961"/>
    <n v="20130"/>
    <n v="133555"/>
    <n v="0.3403391861031036"/>
    <n v="0.3216727191044888"/>
    <n v="0.18726367414173936"/>
    <n v="0.15072442065066827"/>
    <n v="0.66201190520759234"/>
    <n v="0.3379880947924076"/>
  </r>
  <r>
    <x v="2"/>
    <d v="2024-02-20T00:00:00"/>
    <n v="42178"/>
    <n v="15975"/>
    <n v="26590"/>
    <n v="11301"/>
    <n v="96044"/>
    <n v="0.43915288825954768"/>
    <n v="0.27685227604014828"/>
    <n v="0.16633001540960393"/>
    <n v="0.11766482029070009"/>
    <n v="0.71600516429969596"/>
    <n v="0.28399483570030404"/>
  </r>
  <r>
    <x v="3"/>
    <d v="2024-02-21T00:00:00"/>
    <n v="27009"/>
    <n v="16262"/>
    <n v="29797"/>
    <n v="11812"/>
    <n v="84880"/>
    <n v="0.31820216776625826"/>
    <n v="0.35104853911404338"/>
    <n v="0.19158812441093309"/>
    <n v="0.13916116870876533"/>
    <n v="0.66925070688030164"/>
    <n v="0.33074929311969842"/>
  </r>
  <r>
    <x v="4"/>
    <d v="2024-02-22T00:00:00"/>
    <n v="35710"/>
    <n v="13492"/>
    <n v="24268"/>
    <n v="11864"/>
    <n v="85334"/>
    <n v="0.41847329317739707"/>
    <n v="0.28438840321559988"/>
    <n v="0.15810813978015797"/>
    <n v="0.1390301638268451"/>
    <n v="0.70286169639299689"/>
    <n v="0.29713830360700305"/>
  </r>
  <r>
    <x v="5"/>
    <d v="2024-02-23T00:00:00"/>
    <n v="34779"/>
    <n v="18859"/>
    <n v="17193"/>
    <n v="16620"/>
    <n v="87451"/>
    <n v="0.39769699603206365"/>
    <n v="0.19660152542566695"/>
    <n v="0.21565219379995654"/>
    <n v="0.19004928474231284"/>
    <n v="0.59429852145773066"/>
    <n v="0.4057014785422694"/>
  </r>
  <r>
    <x v="6"/>
    <d v="2024-02-24T00:00:00"/>
    <n v="43270"/>
    <n v="21674"/>
    <n v="36348"/>
    <n v="26407"/>
    <n v="127699"/>
    <n v="0.33884368710796481"/>
    <n v="0.28463809426855341"/>
    <n v="0.16972724923452806"/>
    <n v="0.20679096938895372"/>
    <n v="0.62348178137651822"/>
    <n v="0.37651821862348178"/>
  </r>
  <r>
    <x v="0"/>
    <d v="2024-02-25T00:00:00"/>
    <n v="41639"/>
    <n v="21864"/>
    <n v="38518"/>
    <n v="21889"/>
    <n v="123910"/>
    <n v="0.33604228875796949"/>
    <n v="0.310854652570414"/>
    <n v="0.17645064966507951"/>
    <n v="0.176652409006537"/>
    <n v="0.64689694132838349"/>
    <n v="0.35310305867161651"/>
  </r>
  <r>
    <x v="1"/>
    <d v="2024-02-26T00:00:00"/>
    <n v="57522"/>
    <n v="23406"/>
    <n v="37419"/>
    <n v="15701"/>
    <n v="134048"/>
    <n v="0.42911494390069227"/>
    <n v="0.27914627596084984"/>
    <n v="0.17460909524946289"/>
    <n v="0.11712968488899499"/>
    <n v="0.70826121986154211"/>
    <n v="0.29173878013845789"/>
  </r>
  <r>
    <x v="2"/>
    <d v="2024-02-27T00:00:00"/>
    <n v="40749"/>
    <n v="14607"/>
    <n v="24401"/>
    <n v="17340"/>
    <n v="97097"/>
    <n v="0.41967311039475985"/>
    <n v="0.25130539563529253"/>
    <n v="0.15043719167430508"/>
    <n v="0.17858430229564251"/>
    <n v="0.67097850603005238"/>
    <n v="0.32902149396994756"/>
  </r>
  <r>
    <x v="3"/>
    <d v="2024-02-28T00:00:00"/>
    <n v="34928"/>
    <n v="11530"/>
    <n v="17055"/>
    <n v="8164"/>
    <n v="71677"/>
    <n v="0.48729718040654602"/>
    <n v="0.2379424362068725"/>
    <n v="0.16086052708679213"/>
    <n v="0.11389985629978933"/>
    <n v="0.72523961661341851"/>
    <n v="0.27476038338658149"/>
  </r>
  <r>
    <x v="4"/>
    <d v="2024-02-29T00:00:00"/>
    <n v="33236"/>
    <n v="11118"/>
    <n v="22893"/>
    <n v="13005"/>
    <n v="80252"/>
    <n v="0.41414544185814683"/>
    <n v="0.28526391865623285"/>
    <n v="0.13853860339929222"/>
    <n v="0.16205203608632807"/>
    <n v="0.69940936051437974"/>
    <n v="0.30059063948562031"/>
  </r>
  <r>
    <x v="5"/>
    <d v="2024-03-01T00:00:00"/>
    <n v="37918"/>
    <n v="17937"/>
    <n v="26905"/>
    <n v="21897"/>
    <n v="104657"/>
    <n v="0.36230734685687532"/>
    <n v="0.25707788298919326"/>
    <n v="0.17138844033366138"/>
    <n v="0.20922632982027004"/>
    <n v="0.61938522984606859"/>
    <n v="0.38061477015393141"/>
  </r>
  <r>
    <x v="6"/>
    <d v="2024-03-02T00:00:00"/>
    <n v="47663"/>
    <n v="19061"/>
    <n v="39718"/>
    <n v="20673"/>
    <n v="127115"/>
    <n v="0.37495968217755576"/>
    <n v="0.31245722377374818"/>
    <n v="0.14995083192384848"/>
    <n v="0.16263226212484758"/>
    <n v="0.68741690595130389"/>
    <n v="0.31258309404869605"/>
  </r>
  <r>
    <x v="0"/>
    <d v="2024-03-03T00:00:00"/>
    <n v="29783"/>
    <n v="23018"/>
    <n v="45966"/>
    <n v="25916"/>
    <n v="124683"/>
    <n v="0.23886977374622043"/>
    <n v="0.36866292918842186"/>
    <n v="0.18461217647955214"/>
    <n v="0.2078551205858056"/>
    <n v="0.60753270293464223"/>
    <n v="0.39246729706535777"/>
  </r>
  <r>
    <x v="1"/>
    <d v="2024-03-04T00:00:00"/>
    <n v="31909"/>
    <n v="17015"/>
    <n v="30246"/>
    <n v="12067"/>
    <n v="91237"/>
    <n v="0.34973749684886613"/>
    <n v="0.33151024255510375"/>
    <n v="0.18649232219384679"/>
    <n v="0.13225993840218334"/>
    <n v="0.68124773940396988"/>
    <n v="0.31875226059603012"/>
  </r>
  <r>
    <x v="2"/>
    <d v="2024-03-05T00:00:00"/>
    <n v="48300"/>
    <n v="16650"/>
    <n v="35289"/>
    <n v="12842"/>
    <n v="113081"/>
    <n v="0.4271274573093623"/>
    <n v="0.3120683403931695"/>
    <n v="0.14723958932092923"/>
    <n v="0.11356461297653894"/>
    <n v="0.73919579770253185"/>
    <n v="0.2608042022974682"/>
  </r>
  <r>
    <x v="3"/>
    <d v="2024-03-06T00:00:00"/>
    <n v="27934"/>
    <n v="13451"/>
    <n v="23862"/>
    <n v="8723"/>
    <n v="73970"/>
    <n v="0.37763958361497907"/>
    <n v="0.32259023928619712"/>
    <n v="0.18184399080708397"/>
    <n v="0.1179261862917399"/>
    <n v="0.70022982290117619"/>
    <n v="0.29977017709882386"/>
  </r>
  <r>
    <x v="4"/>
    <d v="2024-03-07T00:00:00"/>
    <n v="28164"/>
    <n v="17859"/>
    <n v="18340"/>
    <n v="12387"/>
    <n v="76750"/>
    <n v="0.36695765472312702"/>
    <n v="0.23895765472312702"/>
    <n v="0.23269055374592834"/>
    <n v="0.16139413680781758"/>
    <n v="0.60591530944625405"/>
    <n v="0.39408469055374595"/>
  </r>
  <r>
    <x v="5"/>
    <d v="2024-03-08T00:00:00"/>
    <n v="58339"/>
    <n v="14896"/>
    <n v="21200"/>
    <n v="19007"/>
    <n v="113442"/>
    <n v="0.51426279508471284"/>
    <n v="0.18687963893443346"/>
    <n v="0.13130939158336419"/>
    <n v="0.16754817439748945"/>
    <n v="0.70114243401914633"/>
    <n v="0.29885756598085367"/>
  </r>
  <r>
    <x v="6"/>
    <d v="2024-03-09T00:00:00"/>
    <n v="44959"/>
    <n v="26771"/>
    <n v="42477"/>
    <n v="23527"/>
    <n v="137734"/>
    <n v="0.32641903959806584"/>
    <n v="0.30839879768248946"/>
    <n v="0.19436740383638026"/>
    <n v="0.17081475888306447"/>
    <n v="0.6348178372805553"/>
    <n v="0.3651821627194447"/>
  </r>
  <r>
    <x v="0"/>
    <d v="2024-03-10T00:00:00"/>
    <n v="40265"/>
    <n v="17760"/>
    <n v="53496"/>
    <n v="23839"/>
    <n v="135360"/>
    <n v="0.29746601654846333"/>
    <n v="0.39521276595744681"/>
    <n v="0.13120567375886524"/>
    <n v="0.17611554373522459"/>
    <n v="0.6926787825059102"/>
    <n v="0.30732121749408986"/>
  </r>
  <r>
    <x v="1"/>
    <d v="2024-03-11T00:00:00"/>
    <n v="70745"/>
    <n v="25308"/>
    <n v="57653"/>
    <n v="13627"/>
    <n v="167333"/>
    <n v="0.42277972665284191"/>
    <n v="0.34454052697316129"/>
    <n v="0.15124332916997843"/>
    <n v="8.1436417204018341E-2"/>
    <n v="0.7673202536260032"/>
    <n v="0.23267974637399677"/>
  </r>
  <r>
    <x v="2"/>
    <d v="2024-03-12T00:00:00"/>
    <n v="55014"/>
    <n v="17607"/>
    <n v="30965"/>
    <n v="15420"/>
    <n v="119006"/>
    <n v="0.46227921281279938"/>
    <n v="0.26019696485891469"/>
    <n v="0.14795052350301666"/>
    <n v="0.1295732988252693"/>
    <n v="0.72247617767171401"/>
    <n v="0.27752382232828599"/>
  </r>
  <r>
    <x v="3"/>
    <d v="2024-03-13T00:00:00"/>
    <n v="44388"/>
    <n v="16818"/>
    <n v="35202"/>
    <n v="14175"/>
    <n v="110583"/>
    <n v="0.40139985350370311"/>
    <n v="0.31833102737310437"/>
    <n v="0.15208485933642604"/>
    <n v="0.12818425978676651"/>
    <n v="0.71973088087680748"/>
    <n v="0.28026911912319252"/>
  </r>
  <r>
    <x v="4"/>
    <d v="2024-03-14T00:00:00"/>
    <n v="28903"/>
    <n v="10794"/>
    <n v="16494"/>
    <n v="10571"/>
    <n v="66762"/>
    <n v="0.43292591594020552"/>
    <n v="0.24705670890626405"/>
    <n v="0.16167879931697673"/>
    <n v="0.15833857583655372"/>
    <n v="0.67998262484646954"/>
    <n v="0.32001737515353046"/>
  </r>
  <r>
    <x v="5"/>
    <d v="2024-03-15T00:00:00"/>
    <n v="33440"/>
    <n v="18101"/>
    <n v="33489"/>
    <n v="17753"/>
    <n v="102783"/>
    <n v="0.32534563108685288"/>
    <n v="0.32582236362044309"/>
    <n v="0.17610888960236615"/>
    <n v="0.17272311569033791"/>
    <n v="0.65116799470729592"/>
    <n v="0.34883200529270403"/>
  </r>
  <r>
    <x v="6"/>
    <d v="2024-03-16T00:00:00"/>
    <n v="48430"/>
    <n v="24117"/>
    <n v="50535"/>
    <n v="25121"/>
    <n v="148203"/>
    <n v="0.3267815091462386"/>
    <n v="0.3409850003036376"/>
    <n v="0.16272949940284609"/>
    <n v="0.16950399114727771"/>
    <n v="0.66776650944987614"/>
    <n v="0.3322334905501238"/>
  </r>
  <r>
    <x v="0"/>
    <d v="2024-03-17T00:00:00"/>
    <n v="53255"/>
    <n v="23878"/>
    <n v="59536"/>
    <n v="27210"/>
    <n v="163879"/>
    <n v="0.32496537079186472"/>
    <n v="0.36329242917030247"/>
    <n v="0.14570506288176033"/>
    <n v="0.16603713715607246"/>
    <n v="0.68825779996216718"/>
    <n v="0.31174220003783282"/>
  </r>
  <r>
    <x v="1"/>
    <d v="2024-03-18T00:00:00"/>
    <n v="58310"/>
    <n v="22892"/>
    <n v="51288"/>
    <n v="17171"/>
    <n v="149661"/>
    <n v="0.38961386065842135"/>
    <n v="0.34269448954637483"/>
    <n v="0.1529590207201609"/>
    <n v="0.11473262907504293"/>
    <n v="0.73230835020479612"/>
    <n v="0.26769164979520382"/>
  </r>
  <r>
    <x v="2"/>
    <d v="2024-03-19T00:00:00"/>
    <n v="59583"/>
    <n v="20340"/>
    <n v="32058"/>
    <n v="19118"/>
    <n v="131099"/>
    <n v="0.45448859259033247"/>
    <n v="0.24453275768693888"/>
    <n v="0.15514992486594101"/>
    <n v="0.14582872485678761"/>
    <n v="0.69902135027727141"/>
    <n v="0.30097864972272864"/>
  </r>
  <r>
    <x v="3"/>
    <d v="2024-03-20T00:00:00"/>
    <n v="40365"/>
    <n v="18452"/>
    <n v="27319"/>
    <n v="14649"/>
    <n v="100785"/>
    <n v="0.40050602768269089"/>
    <n v="0.27106216202807959"/>
    <n v="0.18308280001984423"/>
    <n v="0.14534901026938532"/>
    <n v="0.67156818971077048"/>
    <n v="0.32843181028922958"/>
  </r>
  <r>
    <x v="4"/>
    <d v="2024-03-21T00:00:00"/>
    <n v="25217"/>
    <n v="15124"/>
    <n v="31021"/>
    <n v="9569"/>
    <n v="80931"/>
    <n v="0.31158641311734686"/>
    <n v="0.38330182501142951"/>
    <n v="0.18687523940146544"/>
    <n v="0.11823652246975819"/>
    <n v="0.69488823812877631"/>
    <n v="0.30511176187122363"/>
  </r>
  <r>
    <x v="5"/>
    <d v="2024-03-22T00:00:00"/>
    <n v="51374"/>
    <n v="17160"/>
    <n v="29797"/>
    <n v="19714"/>
    <n v="118045"/>
    <n v="0.43520691261806937"/>
    <n v="0.25242068702613413"/>
    <n v="0.14536829175314497"/>
    <n v="0.16700410860265152"/>
    <n v="0.6876275996442035"/>
    <n v="0.3123724003557965"/>
  </r>
  <r>
    <x v="6"/>
    <d v="2024-03-23T00:00:00"/>
    <n v="47367"/>
    <n v="24320"/>
    <n v="47470"/>
    <n v="21647"/>
    <n v="140804"/>
    <n v="0.3364037953467231"/>
    <n v="0.33713530865600411"/>
    <n v="0.1727223658418795"/>
    <n v="0.15373853015539332"/>
    <n v="0.67353910400272721"/>
    <n v="0.32646089599727279"/>
  </r>
  <r>
    <x v="0"/>
    <d v="2024-03-24T00:00:00"/>
    <n v="46105"/>
    <n v="26545"/>
    <n v="55101"/>
    <n v="27017"/>
    <n v="154768"/>
    <n v="0.29789749819084049"/>
    <n v="0.356023208932079"/>
    <n v="0.17151478341776077"/>
    <n v="0.17456450945931976"/>
    <n v="0.6539207071229195"/>
    <n v="0.34607929287708056"/>
  </r>
  <r>
    <x v="1"/>
    <d v="2024-03-25T00:00:00"/>
    <n v="64598"/>
    <n v="27495"/>
    <n v="52515"/>
    <n v="15234"/>
    <n v="159842"/>
    <n v="0.4041365848775666"/>
    <n v="0.3285431863965666"/>
    <n v="0.17201361344327523"/>
    <n v="9.5306615282591559E-2"/>
    <n v="0.7326797712741332"/>
    <n v="0.2673202287258668"/>
  </r>
  <r>
    <x v="2"/>
    <d v="2024-03-26T00:00:00"/>
    <n v="56007"/>
    <n v="20213"/>
    <n v="32103"/>
    <n v="15116"/>
    <n v="123439"/>
    <n v="0.45372208135192282"/>
    <n v="0.26007177634297102"/>
    <n v="0.16374889621594471"/>
    <n v="0.12245724608916145"/>
    <n v="0.71379385769489379"/>
    <n v="0.28620614230510616"/>
  </r>
  <r>
    <x v="3"/>
    <d v="2024-03-27T00:00:00"/>
    <n v="48298"/>
    <n v="18995"/>
    <n v="26853"/>
    <n v="13073"/>
    <n v="107219"/>
    <n v="0.45046120556990832"/>
    <n v="0.25045001352372248"/>
    <n v="0.17716076441675449"/>
    <n v="0.12192801648961471"/>
    <n v="0.70091121909363074"/>
    <n v="0.2990887809063692"/>
  </r>
  <r>
    <x v="4"/>
    <d v="2024-03-28T00:00:00"/>
    <n v="23352"/>
    <n v="14065"/>
    <n v="17136"/>
    <n v="6502"/>
    <n v="61055"/>
    <n v="0.38247481778724102"/>
    <n v="0.28066497420358694"/>
    <n v="0.23036606338547211"/>
    <n v="0.10649414462369994"/>
    <n v="0.66313979199082795"/>
    <n v="0.33686020800917205"/>
  </r>
  <r>
    <x v="5"/>
    <d v="2024-03-29T00:00:00"/>
    <n v="63809"/>
    <n v="20223"/>
    <n v="31576"/>
    <n v="11986"/>
    <n v="127594"/>
    <n v="0.50009404830948168"/>
    <n v="0.24747245168268101"/>
    <n v="0.15849491355392886"/>
    <n v="9.3938586453908485E-2"/>
    <n v="0.74756649999216263"/>
    <n v="0.25243350000783737"/>
  </r>
  <r>
    <x v="6"/>
    <d v="2024-03-30T00:00:00"/>
    <n v="36495"/>
    <n v="25905"/>
    <n v="26871"/>
    <n v="22930"/>
    <n v="112201"/>
    <n v="0.3252644807087281"/>
    <n v="0.23948984411903637"/>
    <n v="0.2308802951845349"/>
    <n v="0.20436537998770066"/>
    <n v="0.56475432482776444"/>
    <n v="0.43524567517223556"/>
  </r>
  <r>
    <x v="0"/>
    <d v="2024-03-31T00:00:00"/>
    <n v="34949"/>
    <n v="24430"/>
    <n v="48944"/>
    <n v="23277"/>
    <n v="131600"/>
    <n v="0.26556990881458964"/>
    <n v="0.37191489361702129"/>
    <n v="0.18563829787234043"/>
    <n v="0.17687689969604864"/>
    <n v="0.63748480243161099"/>
    <n v="0.36251519756838907"/>
  </r>
  <r>
    <x v="1"/>
    <d v="2024-04-01T00:00:00"/>
    <n v="37470"/>
    <n v="24215"/>
    <n v="45951"/>
    <n v="18681"/>
    <n v="126317"/>
    <n v="0.29663465725120136"/>
    <n v="0.36377526382038838"/>
    <n v="0.19170024620597387"/>
    <n v="0.14788983272243642"/>
    <n v="0.66040992107158969"/>
    <n v="0.33959007892841025"/>
  </r>
  <r>
    <x v="2"/>
    <d v="2024-04-02T00:00:00"/>
    <n v="63068"/>
    <n v="26472"/>
    <n v="25839"/>
    <n v="14546"/>
    <n v="129925"/>
    <n v="0.48541851067923802"/>
    <n v="0.19887627477390801"/>
    <n v="0.20374831633634791"/>
    <n v="0.11195689821050606"/>
    <n v="0.68429478545314604"/>
    <n v="0.31570521454685396"/>
  </r>
  <r>
    <x v="3"/>
    <d v="2024-04-03T00:00:00"/>
    <n v="33388"/>
    <n v="11998"/>
    <n v="22365"/>
    <n v="11804"/>
    <n v="79555"/>
    <n v="0.41968449500345673"/>
    <n v="0.28112626484821823"/>
    <n v="0.15081390233172021"/>
    <n v="0.14837533781660486"/>
    <n v="0.70081075985167496"/>
    <n v="0.29918924014832504"/>
  </r>
  <r>
    <x v="4"/>
    <d v="2024-04-04T00:00:00"/>
    <n v="29857"/>
    <n v="15455"/>
    <n v="29667"/>
    <n v="10064"/>
    <n v="85043"/>
    <n v="0.35108121773690959"/>
    <n v="0.34884705384334985"/>
    <n v="0.18173159460508215"/>
    <n v="0.11834013381465847"/>
    <n v="0.69992827158025939"/>
    <n v="0.30007172841974061"/>
  </r>
  <r>
    <x v="5"/>
    <d v="2024-04-05T00:00:00"/>
    <n v="51819"/>
    <n v="14781"/>
    <n v="41518"/>
    <n v="13556"/>
    <n v="121674"/>
    <n v="0.42588391932541053"/>
    <n v="0.34122326873448722"/>
    <n v="0.12148034912964151"/>
    <n v="0.11141246281046074"/>
    <n v="0.76710718805989775"/>
    <n v="0.23289281194010225"/>
  </r>
  <r>
    <x v="6"/>
    <d v="2024-04-06T00:00:00"/>
    <n v="40656"/>
    <n v="26235"/>
    <n v="52294"/>
    <n v="28649"/>
    <n v="147834"/>
    <n v="0.27501116116725516"/>
    <n v="0.35373459420701597"/>
    <n v="0.17746255935711677"/>
    <n v="0.1937916852686121"/>
    <n v="0.62874575537427113"/>
    <n v="0.37125424462572887"/>
  </r>
  <r>
    <x v="0"/>
    <d v="2024-04-07T00:00:00"/>
    <n v="29463"/>
    <n v="24073"/>
    <n v="55308"/>
    <n v="26844"/>
    <n v="135688"/>
    <n v="0.21713784564589353"/>
    <n v="0.40761157950592536"/>
    <n v="0.17741436236070987"/>
    <n v="0.19783621248747127"/>
    <n v="0.62474942515181886"/>
    <n v="0.37525057484818114"/>
  </r>
  <r>
    <x v="1"/>
    <d v="2024-04-08T00:00:00"/>
    <n v="39490"/>
    <n v="23210"/>
    <n v="45250"/>
    <n v="18847"/>
    <n v="126797"/>
    <n v="0.31144269974841676"/>
    <n v="0.35686964202623089"/>
    <n v="0.18304849483820596"/>
    <n v="0.14863916338714639"/>
    <n v="0.66831234177464771"/>
    <n v="0.33168765822535234"/>
  </r>
  <r>
    <x v="2"/>
    <d v="2024-04-09T00:00:00"/>
    <n v="36479"/>
    <n v="14537"/>
    <n v="34727"/>
    <n v="14202"/>
    <n v="99945"/>
    <n v="0.36499074490970035"/>
    <n v="0.34746110360698385"/>
    <n v="0.14544999749862425"/>
    <n v="0.14209815398469158"/>
    <n v="0.71245184851668419"/>
    <n v="0.28754815148331581"/>
  </r>
  <r>
    <x v="3"/>
    <d v="2024-04-10T00:00:00"/>
    <n v="37422"/>
    <n v="15497"/>
    <n v="33081"/>
    <n v="12022"/>
    <n v="98022"/>
    <n v="0.38177143906469974"/>
    <n v="0.33748546244720573"/>
    <n v="0.1580971618616229"/>
    <n v="0.12264593662647161"/>
    <n v="0.71925690151190547"/>
    <n v="0.28074309848809453"/>
  </r>
  <r>
    <x v="4"/>
    <d v="2024-04-11T00:00:00"/>
    <n v="25407"/>
    <n v="9122"/>
    <n v="25175"/>
    <n v="12433"/>
    <n v="72137"/>
    <n v="0.35220483247154721"/>
    <n v="0.34898872977806117"/>
    <n v="0.12645383090508339"/>
    <n v="0.17235260684530823"/>
    <n v="0.70119356224960838"/>
    <n v="0.29880643775039162"/>
  </r>
  <r>
    <x v="5"/>
    <d v="2024-04-12T00:00:00"/>
    <n v="35742"/>
    <n v="13241"/>
    <n v="44227"/>
    <n v="16621"/>
    <n v="109831"/>
    <n v="0.32542724731633144"/>
    <n v="0.40268230281068185"/>
    <n v="0.12055794812029391"/>
    <n v="0.15133250175269278"/>
    <n v="0.72810955012701328"/>
    <n v="0.27189044987298666"/>
  </r>
  <r>
    <x v="6"/>
    <d v="2024-04-13T00:00:00"/>
    <n v="29947"/>
    <n v="21611"/>
    <n v="41004"/>
    <n v="25029"/>
    <n v="117591"/>
    <n v="0.25467085066033968"/>
    <n v="0.34870015562415491"/>
    <n v="0.18378107168065583"/>
    <n v="0.21284792203484962"/>
    <n v="0.60337100628449458"/>
    <n v="0.39662899371550542"/>
  </r>
  <r>
    <x v="0"/>
    <d v="2024-04-14T00:00:00"/>
    <n v="27038"/>
    <n v="26437"/>
    <n v="44119"/>
    <n v="26062"/>
    <n v="123656"/>
    <n v="0.21865497832697159"/>
    <n v="0.35678818658213107"/>
    <n v="0.21379472083845508"/>
    <n v="0.21076211425244226"/>
    <n v="0.57544316490910263"/>
    <n v="0.42455683509089731"/>
  </r>
  <r>
    <x v="1"/>
    <d v="2024-04-15T00:00:00"/>
    <n v="36554"/>
    <n v="18928"/>
    <n v="44649"/>
    <n v="9866"/>
    <n v="109997"/>
    <n v="0.33231815413147631"/>
    <n v="0.40591107030191731"/>
    <n v="0.17207742029328071"/>
    <n v="8.9693355273325642E-2"/>
    <n v="0.73822922443339367"/>
    <n v="0.26177077556660638"/>
  </r>
  <r>
    <x v="2"/>
    <d v="2024-04-16T00:00:00"/>
    <n v="54381"/>
    <n v="22303"/>
    <n v="29564"/>
    <n v="11373"/>
    <n v="117621"/>
    <n v="0.46234090851123522"/>
    <n v="0.25134967395278052"/>
    <n v="0.18961750027631119"/>
    <n v="9.6691917259673021E-2"/>
    <n v="0.71369058246401573"/>
    <n v="0.28630941753598421"/>
  </r>
  <r>
    <x v="3"/>
    <d v="2024-04-17T00:00:00"/>
    <n v="27883"/>
    <n v="12851"/>
    <n v="29665"/>
    <n v="13037"/>
    <n v="83436"/>
    <n v="0.33418428496092811"/>
    <n v="0.35554197229013856"/>
    <n v="0.15402224459465938"/>
    <n v="0.15625149815427394"/>
    <n v="0.68972625725106673"/>
    <n v="0.31027374274893332"/>
  </r>
  <r>
    <x v="4"/>
    <d v="2024-04-18T00:00:00"/>
    <n v="35796"/>
    <n v="14704"/>
    <n v="28520"/>
    <n v="11516"/>
    <n v="90536"/>
    <n v="0.39537863391358136"/>
    <n v="0.31501281258283997"/>
    <n v="0.16241053282672085"/>
    <n v="0.12719802067685781"/>
    <n v="0.71039144649642127"/>
    <n v="0.28960855350357867"/>
  </r>
  <r>
    <x v="5"/>
    <d v="2024-04-19T00:00:00"/>
    <n v="48465"/>
    <n v="14912"/>
    <n v="36092"/>
    <n v="14240"/>
    <n v="113709"/>
    <n v="0.42621956045695591"/>
    <n v="0.31740671362864858"/>
    <n v="0.13114177417794545"/>
    <n v="0.12523195173645005"/>
    <n v="0.74362627408560444"/>
    <n v="0.2563737259143955"/>
  </r>
  <r>
    <x v="6"/>
    <d v="2024-04-20T00:00:00"/>
    <n v="44066"/>
    <n v="24727"/>
    <n v="57515"/>
    <n v="22004"/>
    <n v="148312"/>
    <n v="0.2971168887210745"/>
    <n v="0.38779734613517447"/>
    <n v="0.16672285452289767"/>
    <n v="0.14836291062085333"/>
    <n v="0.68491423485624903"/>
    <n v="0.31508576514375103"/>
  </r>
  <r>
    <x v="0"/>
    <d v="2024-04-21T00:00:00"/>
    <n v="29692"/>
    <n v="26089"/>
    <n v="63743"/>
    <n v="28805"/>
    <n v="148329"/>
    <n v="0.20017663437358843"/>
    <n v="0.42974064410870427"/>
    <n v="0.17588603712018552"/>
    <n v="0.19419668439752172"/>
    <n v="0.62991727848229273"/>
    <n v="0.37008272151770727"/>
  </r>
  <r>
    <x v="1"/>
    <d v="2024-04-22T00:00:00"/>
    <n v="46799"/>
    <n v="19760"/>
    <n v="39767"/>
    <n v="19902"/>
    <n v="126228"/>
    <n v="0.37074975441265012"/>
    <n v="0.3150410368539468"/>
    <n v="0.15654213011376239"/>
    <n v="0.15766707861964066"/>
    <n v="0.68579079126659692"/>
    <n v="0.31420920873340302"/>
  </r>
  <r>
    <x v="2"/>
    <d v="2024-04-23T00:00:00"/>
    <n v="53695"/>
    <n v="16430"/>
    <n v="19712"/>
    <n v="11335"/>
    <n v="101172"/>
    <n v="0.53072984620250663"/>
    <n v="0.19483651603210375"/>
    <n v="0.16239671055232674"/>
    <n v="0.11203692721306291"/>
    <n v="0.72556636223461035"/>
    <n v="0.27443363776538965"/>
  </r>
  <r>
    <x v="3"/>
    <d v="2024-04-24T00:00:00"/>
    <n v="40513"/>
    <n v="20004"/>
    <n v="29435"/>
    <n v="10086"/>
    <n v="100038"/>
    <n v="0.40497610907855014"/>
    <n v="0.29423818948799457"/>
    <n v="0.19996401367480357"/>
    <n v="0.10082168775865172"/>
    <n v="0.69921429856654471"/>
    <n v="0.30078570143345529"/>
  </r>
  <r>
    <x v="4"/>
    <d v="2024-04-25T00:00:00"/>
    <n v="38050"/>
    <n v="19622"/>
    <n v="21865"/>
    <n v="9363"/>
    <n v="88900"/>
    <n v="0.4280089988751406"/>
    <n v="0.24595050618672665"/>
    <n v="0.2207199100112486"/>
    <n v="0.10532058492688413"/>
    <n v="0.6739595050618673"/>
    <n v="0.32604049493813275"/>
  </r>
  <r>
    <x v="5"/>
    <d v="2024-04-26T00:00:00"/>
    <n v="39596"/>
    <n v="16259"/>
    <n v="42064"/>
    <n v="13791"/>
    <n v="111710"/>
    <n v="0.35445349565840123"/>
    <n v="0.37654641482409812"/>
    <n v="0.14554650434159877"/>
    <n v="0.12345358517590189"/>
    <n v="0.73099991048249935"/>
    <n v="0.26900008951750065"/>
  </r>
  <r>
    <x v="6"/>
    <d v="2024-04-27T00:00:00"/>
    <n v="42786"/>
    <n v="21263"/>
    <n v="47136"/>
    <n v="20020"/>
    <n v="131205"/>
    <n v="0.32610037727220759"/>
    <n v="0.3592546015776838"/>
    <n v="0.16205937273731946"/>
    <n v="0.15258564841278915"/>
    <n v="0.68535497884989138"/>
    <n v="0.31464502115010862"/>
  </r>
  <r>
    <x v="0"/>
    <d v="2024-04-28T00:00:00"/>
    <n v="38409"/>
    <n v="30802"/>
    <n v="53606"/>
    <n v="25418"/>
    <n v="148235"/>
    <n v="0.25910884743818935"/>
    <n v="0.36162849529463353"/>
    <n v="0.20779168212635343"/>
    <n v="0.17147097514082368"/>
    <n v="0.62073734273282288"/>
    <n v="0.37926265726717712"/>
  </r>
  <r>
    <x v="1"/>
    <d v="2024-04-29T00:00:00"/>
    <n v="51784"/>
    <n v="22842"/>
    <n v="52227"/>
    <n v="22787"/>
    <n v="149640"/>
    <n v="0.34605720395616146"/>
    <n v="0.34901764234161986"/>
    <n v="0.15264635124298315"/>
    <n v="0.1522788024592355"/>
    <n v="0.69507484629778138"/>
    <n v="0.30492515370221868"/>
  </r>
  <r>
    <x v="2"/>
    <d v="2024-04-30T00:00:00"/>
    <n v="44547"/>
    <n v="22321"/>
    <n v="43535"/>
    <n v="17937"/>
    <n v="128340"/>
    <n v="0.34710144927536229"/>
    <n v="0.33921614461586413"/>
    <n v="0.1739208352812841"/>
    <n v="0.13976157082748947"/>
    <n v="0.68631759389122649"/>
    <n v="0.31368240610877357"/>
  </r>
  <r>
    <x v="3"/>
    <d v="2024-05-01T00:00:00"/>
    <n v="55729"/>
    <n v="23711"/>
    <n v="23273"/>
    <n v="12659"/>
    <n v="115372"/>
    <n v="0.48303747876434489"/>
    <n v="0.20172138820511043"/>
    <n v="0.20551780327982527"/>
    <n v="0.10972332975071941"/>
    <n v="0.68475886696945532"/>
    <n v="0.31524113303054468"/>
  </r>
  <r>
    <x v="4"/>
    <d v="2024-05-02T00:00:00"/>
    <n v="60278"/>
    <n v="20889"/>
    <n v="37556"/>
    <n v="10986"/>
    <n v="129709"/>
    <n v="0.46471717459852441"/>
    <n v="0.28954043281499359"/>
    <n v="0.1610451086663223"/>
    <n v="8.4697283920159738E-2"/>
    <n v="0.75425760741351799"/>
    <n v="0.24574239258648206"/>
  </r>
  <r>
    <x v="5"/>
    <d v="2024-05-03T00:00:00"/>
    <n v="55933"/>
    <n v="23097"/>
    <n v="48571"/>
    <n v="19936"/>
    <n v="147537"/>
    <n v="0.37911168045981686"/>
    <n v="0.32921233317744025"/>
    <n v="0.1565505601984587"/>
    <n v="0.13512542616428422"/>
    <n v="0.70832401363725706"/>
    <n v="0.29167598636274289"/>
  </r>
  <r>
    <x v="6"/>
    <d v="2024-05-04T00:00:00"/>
    <n v="53136"/>
    <n v="24073"/>
    <n v="58791"/>
    <n v="22898"/>
    <n v="158898"/>
    <n v="0.33440320205414792"/>
    <n v="0.36999207038477516"/>
    <n v="0.15149970421276543"/>
    <n v="0.14410502334831149"/>
    <n v="0.70439527243892308"/>
    <n v="0.29560472756107692"/>
  </r>
  <r>
    <x v="0"/>
    <d v="2024-05-05T00:00:00"/>
    <n v="40069"/>
    <n v="28204"/>
    <n v="59887"/>
    <n v="26309"/>
    <n v="154469"/>
    <n v="0.25939832587768419"/>
    <n v="0.38769591309583151"/>
    <n v="0.18258679735092478"/>
    <n v="0.17031896367555949"/>
    <n v="0.6470942389735157"/>
    <n v="0.3529057610264843"/>
  </r>
  <r>
    <x v="1"/>
    <d v="2024-05-06T00:00:00"/>
    <n v="53785"/>
    <n v="28766"/>
    <n v="41966"/>
    <n v="19779"/>
    <n v="144296"/>
    <n v="0.3727407551144869"/>
    <n v="0.29083273271608362"/>
    <n v="0.19935410544990853"/>
    <n v="0.13707240671952098"/>
    <n v="0.66357348783057046"/>
    <n v="0.33642651216942948"/>
  </r>
  <r>
    <x v="2"/>
    <d v="2024-05-07T00:00:00"/>
    <n v="79867"/>
    <n v="23391"/>
    <n v="27577"/>
    <n v="19004"/>
    <n v="149839"/>
    <n v="0.53301877348353899"/>
    <n v="0.18404420744932895"/>
    <n v="0.15610755544284199"/>
    <n v="0.12682946362429007"/>
    <n v="0.71706298093286791"/>
    <n v="0.28293701906713203"/>
  </r>
  <r>
    <x v="3"/>
    <d v="2024-05-08T00:00:00"/>
    <n v="49462"/>
    <n v="14801"/>
    <n v="31983"/>
    <n v="16768"/>
    <n v="113014"/>
    <n v="0.43766259047551631"/>
    <n v="0.28300033624152759"/>
    <n v="0.13096607499955756"/>
    <n v="0.14837099828339853"/>
    <n v="0.72066292671704391"/>
    <n v="0.27933707328295609"/>
  </r>
  <r>
    <x v="4"/>
    <d v="2024-05-09T00:00:00"/>
    <n v="44134"/>
    <n v="16035"/>
    <n v="28555"/>
    <n v="8820"/>
    <n v="97544"/>
    <n v="0.45245222668744361"/>
    <n v="0.29273968670548678"/>
    <n v="0.16438735339949151"/>
    <n v="9.0420733207578124E-2"/>
    <n v="0.74519191339293034"/>
    <n v="0.25480808660706961"/>
  </r>
  <r>
    <x v="5"/>
    <d v="2024-05-10T00:00:00"/>
    <n v="49598"/>
    <n v="21379"/>
    <n v="39723"/>
    <n v="20515"/>
    <n v="131215"/>
    <n v="0.37799032122851806"/>
    <n v="0.30273215714666768"/>
    <n v="0.16293106733224097"/>
    <n v="0.15634645429257327"/>
    <n v="0.68072247837518574"/>
    <n v="0.31927752162481421"/>
  </r>
  <r>
    <x v="6"/>
    <d v="2024-05-11T00:00:00"/>
    <n v="42259"/>
    <n v="29171"/>
    <n v="69866"/>
    <n v="20334"/>
    <n v="161630"/>
    <n v="0.26145517540060631"/>
    <n v="0.43225886283486975"/>
    <n v="0.18048010889067623"/>
    <n v="0.12580585287384768"/>
    <n v="0.69371403823547606"/>
    <n v="0.30628596176452394"/>
  </r>
  <r>
    <x v="0"/>
    <d v="2024-05-12T00:00:00"/>
    <n v="43673"/>
    <n v="28261"/>
    <n v="64149"/>
    <n v="24864"/>
    <n v="160947"/>
    <n v="0.27135019602726362"/>
    <n v="0.39857220078659433"/>
    <n v="0.17559196505681995"/>
    <n v="0.15448563812932206"/>
    <n v="0.66992239681385801"/>
    <n v="0.33007760318614204"/>
  </r>
  <r>
    <x v="1"/>
    <d v="2024-05-13T00:00:00"/>
    <n v="65235"/>
    <n v="27292"/>
    <n v="49706"/>
    <n v="16280"/>
    <n v="158513"/>
    <n v="0.41154353270709659"/>
    <n v="0.31357680442613539"/>
    <n v="0.17217515282658205"/>
    <n v="0.10270451004018598"/>
    <n v="0.72512033713323198"/>
    <n v="0.27487966286676802"/>
  </r>
  <r>
    <x v="2"/>
    <d v="2024-05-14T00:00:00"/>
    <n v="62594"/>
    <n v="22901"/>
    <n v="39148"/>
    <n v="16910"/>
    <n v="141553"/>
    <n v="0.44219479629538055"/>
    <n v="0.27656072283879535"/>
    <n v="0.16178392545548312"/>
    <n v="0.11946055541034101"/>
    <n v="0.7187555191341759"/>
    <n v="0.2812444808658241"/>
  </r>
  <r>
    <x v="3"/>
    <d v="2024-05-15T00:00:00"/>
    <n v="49911"/>
    <n v="15705"/>
    <n v="27060"/>
    <n v="15330"/>
    <n v="108006"/>
    <n v="0.4621132159324482"/>
    <n v="0.2505416365757458"/>
    <n v="0.14540858841175491"/>
    <n v="0.14193655908005109"/>
    <n v="0.71265485250819394"/>
    <n v="0.28734514749180601"/>
  </r>
  <r>
    <x v="4"/>
    <d v="2024-05-16T00:00:00"/>
    <n v="56627"/>
    <n v="15391"/>
    <n v="41002"/>
    <n v="17972"/>
    <n v="130992"/>
    <n v="0.43229357518016365"/>
    <n v="0.313011481617198"/>
    <n v="0.1174957249297667"/>
    <n v="0.13719921827287163"/>
    <n v="0.7453050567973617"/>
    <n v="0.2546949432026383"/>
  </r>
  <r>
    <x v="5"/>
    <d v="2024-05-17T00:00:00"/>
    <n v="58934"/>
    <n v="19251"/>
    <n v="50215"/>
    <n v="15618"/>
    <n v="144018"/>
    <n v="0.4092127372967268"/>
    <n v="0.34867169381605079"/>
    <n v="0.13367079115110611"/>
    <n v="0.10844477773611631"/>
    <n v="0.75788443111277759"/>
    <n v="0.24211556888722244"/>
  </r>
  <r>
    <x v="6"/>
    <d v="2024-05-18T00:00:00"/>
    <n v="42091"/>
    <n v="20254"/>
    <n v="54810"/>
    <n v="18990"/>
    <n v="136145"/>
    <n v="0.30916302471629514"/>
    <n v="0.4025854787175438"/>
    <n v="0.14876785779867052"/>
    <n v="0.13948363876749054"/>
    <n v="0.71174850343383889"/>
    <n v="0.28825149656616106"/>
  </r>
  <r>
    <x v="0"/>
    <d v="2024-05-19T00:00:00"/>
    <n v="44867"/>
    <n v="28290"/>
    <n v="61364"/>
    <n v="25860"/>
    <n v="160381"/>
    <n v="0.2797525891470935"/>
    <n v="0.38261390064907935"/>
    <n v="0.17639246544166703"/>
    <n v="0.16124104476216011"/>
    <n v="0.66236648979617285"/>
    <n v="0.33763351020382715"/>
  </r>
  <r>
    <x v="1"/>
    <d v="2024-05-20T00:00:00"/>
    <n v="70003"/>
    <n v="22555"/>
    <n v="55706"/>
    <n v="20889"/>
    <n v="169153"/>
    <n v="0.41384427116279343"/>
    <n v="0.32932315714175925"/>
    <n v="0.13334082162302768"/>
    <n v="0.12349175007241964"/>
    <n v="0.74316742830455274"/>
    <n v="0.25683257169544732"/>
  </r>
  <r>
    <x v="2"/>
    <d v="2024-05-21T00:00:00"/>
    <n v="62487"/>
    <n v="24651"/>
    <n v="46845"/>
    <n v="16018"/>
    <n v="150001"/>
    <n v="0.41657722281851456"/>
    <n v="0.3122979180138799"/>
    <n v="0.16433890440730395"/>
    <n v="0.1067859547603016"/>
    <n v="0.72887514083239446"/>
    <n v="0.27112485916760554"/>
  </r>
  <r>
    <x v="3"/>
    <d v="2024-05-22T00:00:00"/>
    <n v="51557"/>
    <n v="20249"/>
    <n v="46835"/>
    <n v="15401"/>
    <n v="134042"/>
    <n v="0.38463317467659391"/>
    <n v="0.34940541024455024"/>
    <n v="0.15106459169514033"/>
    <n v="0.11489682338371555"/>
    <n v="0.73403858492114415"/>
    <n v="0.2659614150788559"/>
  </r>
  <r>
    <x v="4"/>
    <d v="2024-05-23T00:00:00"/>
    <n v="47095"/>
    <n v="23014"/>
    <n v="45019"/>
    <n v="12444"/>
    <n v="127572"/>
    <n v="0.36916407989213934"/>
    <n v="0.35289091650205373"/>
    <n v="0.1804000877935597"/>
    <n v="9.7544915812247196E-2"/>
    <n v="0.72205499639419313"/>
    <n v="0.27794500360580693"/>
  </r>
  <r>
    <x v="5"/>
    <d v="2024-05-24T00:00:00"/>
    <n v="55048"/>
    <n v="24221"/>
    <n v="48470"/>
    <n v="17067"/>
    <n v="144806"/>
    <n v="0.38014999378478792"/>
    <n v="0.33472369929422813"/>
    <n v="0.16726516857036311"/>
    <n v="0.11786113835062083"/>
    <n v="0.71487369307901605"/>
    <n v="0.28512630692098395"/>
  </r>
  <r>
    <x v="6"/>
    <d v="2024-05-25T00:00:00"/>
    <n v="39794"/>
    <n v="26488"/>
    <n v="43606"/>
    <n v="15139"/>
    <n v="125027"/>
    <n v="0.31828325081782333"/>
    <n v="0.34877266510433746"/>
    <n v="0.21185823862045799"/>
    <n v="0.1210858454573812"/>
    <n v="0.66705591592216085"/>
    <n v="0.33294408407783921"/>
  </r>
  <r>
    <x v="0"/>
    <d v="2024-05-26T00:00:00"/>
    <n v="52647"/>
    <n v="23734"/>
    <n v="39346"/>
    <n v="24835"/>
    <n v="140562"/>
    <n v="0.37454646348230675"/>
    <n v="0.27991918157112167"/>
    <n v="0.16885075624991108"/>
    <n v="0.17668359869666056"/>
    <n v="0.65446564505342841"/>
    <n v="0.34553435494657164"/>
  </r>
  <r>
    <x v="1"/>
    <d v="2024-05-27T00:00:00"/>
    <n v="62688"/>
    <n v="22687"/>
    <n v="75718"/>
    <n v="24566"/>
    <n v="185659"/>
    <n v="0.33765128542112149"/>
    <n v="0.40783371665257273"/>
    <n v="0.12219714638126888"/>
    <n v="0.13231785154503686"/>
    <n v="0.74548500207369428"/>
    <n v="0.25451499792630577"/>
  </r>
  <r>
    <x v="2"/>
    <d v="2024-05-28T00:00:00"/>
    <n v="62969"/>
    <n v="26484"/>
    <n v="36968"/>
    <n v="14361"/>
    <n v="140782"/>
    <n v="0.44728019207000896"/>
    <n v="0.26259038797573553"/>
    <n v="0.18812064042278132"/>
    <n v="0.10200877953147419"/>
    <n v="0.70987058004574444"/>
    <n v="0.29012941995425551"/>
  </r>
  <r>
    <x v="3"/>
    <d v="2024-05-29T00:00:00"/>
    <n v="41821"/>
    <n v="24279"/>
    <n v="44579"/>
    <n v="13613"/>
    <n v="124292"/>
    <n v="0.33647378753258456"/>
    <n v="0.35866346989347664"/>
    <n v="0.19533839667878866"/>
    <n v="0.10952434589515013"/>
    <n v="0.69513725742606125"/>
    <n v="0.30486274257393881"/>
  </r>
  <r>
    <x v="4"/>
    <d v="2024-05-30T00:00:00"/>
    <n v="39905"/>
    <n v="20839"/>
    <n v="24847"/>
    <n v="15439"/>
    <n v="101030"/>
    <n v="0.39498168860734434"/>
    <n v="0.24593685044046323"/>
    <n v="0.20626546570325646"/>
    <n v="0.15281599524893597"/>
    <n v="0.6409185390478076"/>
    <n v="0.3590814609521924"/>
  </r>
  <r>
    <x v="5"/>
    <d v="2024-05-31T00:00:00"/>
    <n v="53975"/>
    <n v="17642"/>
    <n v="44559"/>
    <n v="12862"/>
    <n v="129038"/>
    <n v="0.41828763620018911"/>
    <n v="0.34531688339868877"/>
    <n v="0.13671941598598863"/>
    <n v="9.9676064415133533E-2"/>
    <n v="0.76360451959887787"/>
    <n v="0.23639548040112215"/>
  </r>
  <r>
    <x v="6"/>
    <d v="2024-06-01T00:00:00"/>
    <n v="33229"/>
    <n v="21074"/>
    <n v="52468"/>
    <n v="24497"/>
    <n v="131268"/>
    <n v="0.25313861718012004"/>
    <n v="0.39970137428771674"/>
    <n v="0.16054179236371394"/>
    <n v="0.18661821616844929"/>
    <n v="0.65283999146783678"/>
    <n v="0.34716000853216322"/>
  </r>
  <r>
    <x v="0"/>
    <d v="2024-06-02T00:00:00"/>
    <n v="35479"/>
    <n v="25604"/>
    <n v="68915"/>
    <n v="28835"/>
    <n v="158833"/>
    <n v="0.22337297664842948"/>
    <n v="0.43388338695359274"/>
    <n v="0.1612007580288731"/>
    <n v="0.18154287836910465"/>
    <n v="0.65725636360202222"/>
    <n v="0.34274363639797772"/>
  </r>
  <r>
    <x v="1"/>
    <d v="2024-06-03T00:00:00"/>
    <n v="44282"/>
    <n v="19902"/>
    <n v="55825"/>
    <n v="19683"/>
    <n v="139692"/>
    <n v="0.31699739426738827"/>
    <n v="0.39962918420525156"/>
    <n v="0.14247057812902672"/>
    <n v="0.14090284339833348"/>
    <n v="0.71662657847263977"/>
    <n v="0.28337342152736017"/>
  </r>
  <r>
    <x v="2"/>
    <d v="2024-06-04T00:00:00"/>
    <n v="56258"/>
    <n v="24060"/>
    <n v="45247"/>
    <n v="17004"/>
    <n v="142569"/>
    <n v="0.39460191205661821"/>
    <n v="0.31736913354235491"/>
    <n v="0.16876038970603707"/>
    <n v="0.1192685646949898"/>
    <n v="0.71197104559897317"/>
    <n v="0.28802895440102688"/>
  </r>
  <r>
    <x v="3"/>
    <d v="2024-06-05T00:00:00"/>
    <n v="40715"/>
    <n v="15491"/>
    <n v="42455"/>
    <n v="12515"/>
    <n v="111176"/>
    <n v="0.36622112686191266"/>
    <n v="0.38187198675973233"/>
    <n v="0.13933762682593365"/>
    <n v="0.11256925955242139"/>
    <n v="0.74809311362164499"/>
    <n v="0.25190688637835507"/>
  </r>
  <r>
    <x v="4"/>
    <d v="2024-06-06T00:00:00"/>
    <n v="39269"/>
    <n v="20764"/>
    <n v="20227"/>
    <n v="10556"/>
    <n v="90816"/>
    <n v="0.43240177942212826"/>
    <n v="0.2227250704721635"/>
    <n v="0.22863812544045103"/>
    <n v="0.11623502466525722"/>
    <n v="0.65512684989429171"/>
    <n v="0.34487315010570824"/>
  </r>
  <r>
    <x v="5"/>
    <d v="2024-06-07T00:00:00"/>
    <n v="36569"/>
    <n v="18544"/>
    <n v="30149"/>
    <n v="14055"/>
    <n v="99317"/>
    <n v="0.36820483905071638"/>
    <n v="0.30356333759577919"/>
    <n v="0.18671526526173768"/>
    <n v="0.14151655809176678"/>
    <n v="0.67176817664649557"/>
    <n v="0.32823182335350443"/>
  </r>
  <r>
    <x v="6"/>
    <d v="2024-06-08T00:00:00"/>
    <n v="44879"/>
    <n v="23547"/>
    <n v="44673"/>
    <n v="22435"/>
    <n v="135534"/>
    <n v="0.33112724482417694"/>
    <n v="0.32960733100181505"/>
    <n v="0.17373500376289344"/>
    <n v="0.16553042041111454"/>
    <n v="0.66073457582599204"/>
    <n v="0.33926542417400801"/>
  </r>
  <r>
    <x v="0"/>
    <d v="2024-06-09T00:00:00"/>
    <n v="39534"/>
    <n v="23638"/>
    <n v="70827"/>
    <n v="26328"/>
    <n v="160327"/>
    <n v="0.24658354488015119"/>
    <n v="0.44176589096034979"/>
    <n v="0.14743617731261735"/>
    <n v="0.16421438684688169"/>
    <n v="0.68834943584050101"/>
    <n v="0.31165056415949904"/>
  </r>
  <r>
    <x v="1"/>
    <d v="2024-06-10T00:00:00"/>
    <n v="66890"/>
    <n v="19136"/>
    <n v="65335"/>
    <n v="22595"/>
    <n v="173956"/>
    <n v="0.38452252293683459"/>
    <n v="0.37558348088022259"/>
    <n v="0.1100048288072846"/>
    <n v="0.1298891673756582"/>
    <n v="0.76010600381705717"/>
    <n v="0.23989399618294283"/>
  </r>
  <r>
    <x v="2"/>
    <d v="2024-06-11T00:00:00"/>
    <n v="68146"/>
    <n v="26086"/>
    <n v="55954"/>
    <n v="20856"/>
    <n v="171042"/>
    <n v="0.39841676313420094"/>
    <n v="0.32713602506986589"/>
    <n v="0.15251224845359621"/>
    <n v="0.12193496334233697"/>
    <n v="0.72555278820406688"/>
    <n v="0.27444721179593318"/>
  </r>
  <r>
    <x v="3"/>
    <d v="2024-06-12T00:00:00"/>
    <n v="51680"/>
    <n v="18890"/>
    <n v="40173"/>
    <n v="11364"/>
    <n v="122107"/>
    <n v="0.42323535915221894"/>
    <n v="0.32899833752364727"/>
    <n v="0.15470038572727199"/>
    <n v="9.3065917596861766E-2"/>
    <n v="0.75223369667586626"/>
    <n v="0.24776630332413374"/>
  </r>
  <r>
    <x v="4"/>
    <d v="2024-06-13T00:00:00"/>
    <n v="42625"/>
    <n v="17550"/>
    <n v="28478"/>
    <n v="14174"/>
    <n v="102827"/>
    <n v="0.41453120289418149"/>
    <n v="0.27695060635825219"/>
    <n v="0.17067501726200318"/>
    <n v="0.13784317348556313"/>
    <n v="0.69148180925243374"/>
    <n v="0.30851819074756631"/>
  </r>
  <r>
    <x v="5"/>
    <d v="2024-06-14T00:00:00"/>
    <n v="63975"/>
    <n v="14383"/>
    <n v="36776"/>
    <n v="17590"/>
    <n v="132724"/>
    <n v="0.48201530996654712"/>
    <n v="0.2770862843193394"/>
    <n v="0.10836774057442512"/>
    <n v="0.13253066513968836"/>
    <n v="0.75910159428588653"/>
    <n v="0.2408984057141135"/>
  </r>
  <r>
    <x v="6"/>
    <d v="2024-06-15T00:00:00"/>
    <n v="43790"/>
    <n v="26398"/>
    <n v="58484"/>
    <n v="25207"/>
    <n v="153879"/>
    <n v="0.28457424339903431"/>
    <n v="0.38006485615321128"/>
    <n v="0.17155037399515202"/>
    <n v="0.16381052645260236"/>
    <n v="0.66463909955224565"/>
    <n v="0.33536090044775441"/>
  </r>
  <r>
    <x v="0"/>
    <d v="2024-06-16T00:00:00"/>
    <n v="40389"/>
    <n v="16301"/>
    <n v="58932"/>
    <n v="27071"/>
    <n v="142693"/>
    <n v="0.28304822240754629"/>
    <n v="0.41299853531707931"/>
    <n v="0.11423825976046477"/>
    <n v="0.18971498251490962"/>
    <n v="0.69604675772462554"/>
    <n v="0.3039532422753744"/>
  </r>
  <r>
    <x v="1"/>
    <d v="2024-06-17T00:00:00"/>
    <n v="58922"/>
    <n v="19138"/>
    <n v="57654"/>
    <n v="20612"/>
    <n v="156326"/>
    <n v="0.37691746734388393"/>
    <n v="0.36880621265816305"/>
    <n v="0.12242365313511508"/>
    <n v="0.13185266686283792"/>
    <n v="0.74572368000204703"/>
    <n v="0.25427631999795297"/>
  </r>
  <r>
    <x v="2"/>
    <d v="2024-06-18T00:00:00"/>
    <n v="76674"/>
    <n v="23617"/>
    <n v="59033"/>
    <n v="20577"/>
    <n v="179901"/>
    <n v="0.42620107725915918"/>
    <n v="0.32814158898505291"/>
    <n v="0.131277758322633"/>
    <n v="0.1143795754331549"/>
    <n v="0.75434266624421209"/>
    <n v="0.24565733375578791"/>
  </r>
  <r>
    <x v="3"/>
    <d v="2024-06-19T00:00:00"/>
    <n v="55663"/>
    <n v="21508"/>
    <n v="48538"/>
    <n v="17027"/>
    <n v="142736"/>
    <n v="0.38997169599820647"/>
    <n v="0.34005436610245487"/>
    <n v="0.15068377984530881"/>
    <n v="0.11929015805402982"/>
    <n v="0.73002606210066134"/>
    <n v="0.26997393789933866"/>
  </r>
  <r>
    <x v="4"/>
    <d v="2024-06-20T00:00:00"/>
    <n v="47648"/>
    <n v="20836"/>
    <n v="40005"/>
    <n v="10982"/>
    <n v="119471"/>
    <n v="0.39882481941224229"/>
    <n v="0.33485113542198525"/>
    <n v="0.17440215617179064"/>
    <n v="9.1921888993981807E-2"/>
    <n v="0.73367595483422754"/>
    <n v="0.26632404516577246"/>
  </r>
  <r>
    <x v="5"/>
    <d v="2024-06-21T00:00:00"/>
    <n v="59268"/>
    <n v="19428"/>
    <n v="54818"/>
    <n v="14108"/>
    <n v="147622"/>
    <n v="0.40148487352833589"/>
    <n v="0.37134031512918131"/>
    <n v="0.13160640013006192"/>
    <n v="9.5568411212420906E-2"/>
    <n v="0.77282518865751715"/>
    <n v="0.22717481134248282"/>
  </r>
  <r>
    <x v="6"/>
    <d v="2024-06-22T00:00:00"/>
    <n v="49192"/>
    <n v="28823"/>
    <n v="56930"/>
    <n v="18936"/>
    <n v="153881"/>
    <n v="0.31967559347807722"/>
    <n v="0.36996120378734215"/>
    <n v="0.18730707494752438"/>
    <n v="0.12305612778705623"/>
    <n v="0.68963679726541938"/>
    <n v="0.31036320273458062"/>
  </r>
  <r>
    <x v="0"/>
    <d v="2024-06-23T00:00:00"/>
    <n v="58715"/>
    <n v="25907"/>
    <n v="65474"/>
    <n v="23933"/>
    <n v="174029"/>
    <n v="0.33738629768601786"/>
    <n v="0.37622465221313689"/>
    <n v="0.14886599359876801"/>
    <n v="0.13752305650207725"/>
    <n v="0.71361094989915475"/>
    <n v="0.28638905010084525"/>
  </r>
  <r>
    <x v="1"/>
    <d v="2024-06-24T00:00:00"/>
    <n v="69324"/>
    <n v="19880"/>
    <n v="66315"/>
    <n v="12056"/>
    <n v="167575"/>
    <n v="0.41368939280918993"/>
    <n v="0.39573325376696999"/>
    <n v="0.11863344770998061"/>
    <n v="7.194390571385946E-2"/>
    <n v="0.80942264657615992"/>
    <n v="0.19057735342384008"/>
  </r>
  <r>
    <x v="2"/>
    <d v="2024-06-25T00:00:00"/>
    <n v="74632"/>
    <n v="27017"/>
    <n v="50821"/>
    <n v="15642"/>
    <n v="168112"/>
    <n v="0.44394213381555153"/>
    <n v="0.30230441610355002"/>
    <n v="0.16070833729894357"/>
    <n v="9.3045112781954889E-2"/>
    <n v="0.74624654991910155"/>
    <n v="0.25375345008089845"/>
  </r>
  <r>
    <x v="3"/>
    <d v="2024-06-26T00:00:00"/>
    <n v="57066"/>
    <n v="19763"/>
    <n v="51013"/>
    <n v="14843"/>
    <n v="142685"/>
    <n v="0.3999439324385885"/>
    <n v="0.35752181378561165"/>
    <n v="0.13850790202193644"/>
    <n v="0.10402635175386341"/>
    <n v="0.75746574622420015"/>
    <n v="0.24253425377579985"/>
  </r>
  <r>
    <x v="4"/>
    <d v="2024-06-27T00:00:00"/>
    <n v="44295"/>
    <n v="23018"/>
    <n v="36730"/>
    <n v="14766"/>
    <n v="118809"/>
    <n v="0.37282529101330708"/>
    <n v="0.30915166359450885"/>
    <n v="0.19373953151697262"/>
    <n v="0.12428351387521147"/>
    <n v="0.68197695460781593"/>
    <n v="0.31802304539218407"/>
  </r>
  <r>
    <x v="5"/>
    <d v="2024-06-28T00:00:00"/>
    <n v="44135"/>
    <n v="17895"/>
    <n v="45525"/>
    <n v="14447"/>
    <n v="122002"/>
    <n v="0.36175636464975985"/>
    <n v="0.37314962049802464"/>
    <n v="0.14667792331273258"/>
    <n v="0.11841609153948296"/>
    <n v="0.73490598514778449"/>
    <n v="0.26509401485221556"/>
  </r>
  <r>
    <x v="6"/>
    <d v="2024-06-29T00:00:00"/>
    <n v="37143"/>
    <n v="29885"/>
    <n v="51427"/>
    <n v="17927"/>
    <n v="136382"/>
    <n v="0.27234532416301271"/>
    <n v="0.37708055315217548"/>
    <n v="0.21912715754278425"/>
    <n v="0.13144696514202753"/>
    <n v="0.64942587731518819"/>
    <n v="0.35057412268481181"/>
  </r>
  <r>
    <x v="0"/>
    <d v="2024-06-30T00:00:00"/>
    <n v="38408"/>
    <n v="27517"/>
    <n v="69677"/>
    <n v="22821"/>
    <n v="158423"/>
    <n v="0.24243954476307103"/>
    <n v="0.4398161883059909"/>
    <n v="0.17369321373790422"/>
    <n v="0.14405105319303385"/>
    <n v="0.68225573306906195"/>
    <n v="0.31774426693093805"/>
  </r>
  <r>
    <x v="1"/>
    <d v="2024-07-01T00:00:00"/>
    <n v="44916"/>
    <n v="23566"/>
    <n v="52593"/>
    <n v="24148"/>
    <n v="145223"/>
    <n v="0.30928985078121235"/>
    <n v="0.36215337790845803"/>
    <n v="0.1622745708324439"/>
    <n v="0.16628220047788572"/>
    <n v="0.67144322868967032"/>
    <n v="0.32855677131032962"/>
  </r>
  <r>
    <x v="2"/>
    <d v="2024-07-02T00:00:00"/>
    <n v="72196"/>
    <n v="28912"/>
    <n v="45844"/>
    <n v="13479"/>
    <n v="160431"/>
    <n v="0.45001277807904955"/>
    <n v="0.28575524680392195"/>
    <n v="0.18021454706384676"/>
    <n v="8.4017428053181742E-2"/>
    <n v="0.73576802488297155"/>
    <n v="0.26423197511702851"/>
  </r>
  <r>
    <x v="3"/>
    <d v="2024-07-03T00:00:00"/>
    <n v="44897"/>
    <n v="17176"/>
    <n v="31848"/>
    <n v="11409"/>
    <n v="105330"/>
    <n v="0.4262508307224912"/>
    <n v="0.30236399886072346"/>
    <n v="0.16306845153327637"/>
    <n v="0.10831671888350897"/>
    <n v="0.72861482958321466"/>
    <n v="0.27138517041678534"/>
  </r>
  <r>
    <x v="4"/>
    <d v="2024-07-04T00:00:00"/>
    <n v="28086"/>
    <n v="20238"/>
    <n v="11859"/>
    <n v="5991"/>
    <n v="66174"/>
    <n v="0.42442651192311182"/>
    <n v="0.17920935714933359"/>
    <n v="0.30583008432314807"/>
    <n v="9.0534046604406559E-2"/>
    <n v="0.60363586907244537"/>
    <n v="0.39636413092755463"/>
  </r>
  <r>
    <x v="5"/>
    <d v="2024-07-05T00:00:00"/>
    <n v="35056"/>
    <n v="14392"/>
    <n v="52587"/>
    <n v="19863"/>
    <n v="121898"/>
    <n v="0.28758470196393704"/>
    <n v="0.43140166368603261"/>
    <n v="0.11806592396922017"/>
    <n v="0.16294771038081018"/>
    <n v="0.71898636564996965"/>
    <n v="0.28101363435003035"/>
  </r>
  <r>
    <x v="6"/>
    <d v="2024-07-06T00:00:00"/>
    <n v="42862"/>
    <n v="30103"/>
    <n v="39913"/>
    <n v="23681"/>
    <n v="136559"/>
    <n v="0.31387165986862819"/>
    <n v="0.29227659839336845"/>
    <n v="0.22043951698533235"/>
    <n v="0.17341222475267101"/>
    <n v="0.6061482582619967"/>
    <n v="0.39385174173800336"/>
  </r>
  <r>
    <x v="0"/>
    <d v="2024-07-07T00:00:00"/>
    <n v="32297"/>
    <n v="30549"/>
    <n v="53268"/>
    <n v="22430"/>
    <n v="138544"/>
    <n v="0.23311727682180391"/>
    <n v="0.38448435154174848"/>
    <n v="0.22050034646033029"/>
    <n v="0.16189802517611734"/>
    <n v="0.61760162836355237"/>
    <n v="0.38239837163644763"/>
  </r>
  <r>
    <x v="1"/>
    <d v="2024-07-08T00:00:00"/>
    <n v="38840"/>
    <n v="13720"/>
    <n v="43184"/>
    <n v="18389"/>
    <n v="114133"/>
    <n v="0.34030473219840013"/>
    <n v="0.37836559102100181"/>
    <n v="0.12021063145628345"/>
    <n v="0.16111904532431462"/>
    <n v="0.71867032321940194"/>
    <n v="0.28132967678059806"/>
  </r>
  <r>
    <x v="2"/>
    <d v="2024-07-09T00:00:00"/>
    <n v="62527"/>
    <n v="24577"/>
    <n v="39325"/>
    <n v="13451"/>
    <n v="139880"/>
    <n v="0.44700457535030025"/>
    <n v="0.28113382899628253"/>
    <n v="0.17570060051472691"/>
    <n v="9.6160995138690308E-2"/>
    <n v="0.72813840434658283"/>
    <n v="0.27186159565341722"/>
  </r>
  <r>
    <x v="3"/>
    <d v="2024-07-10T00:00:00"/>
    <n v="38941"/>
    <n v="18757"/>
    <n v="28224"/>
    <n v="8540"/>
    <n v="94462"/>
    <n v="0.41223984247633971"/>
    <n v="0.29878681374520971"/>
    <n v="0.19856661938133852"/>
    <n v="9.0406724397112059E-2"/>
    <n v="0.71102665622154937"/>
    <n v="0.28897334377845058"/>
  </r>
  <r>
    <x v="4"/>
    <d v="2024-07-11T00:00:00"/>
    <n v="35082"/>
    <n v="15893"/>
    <n v="36016"/>
    <n v="9732"/>
    <n v="96723"/>
    <n v="0.36270587140597377"/>
    <n v="0.3723623129969087"/>
    <n v="0.16431458908429225"/>
    <n v="0.10061722651282529"/>
    <n v="0.73506818440288246"/>
    <n v="0.26493181559711754"/>
  </r>
  <r>
    <x v="5"/>
    <d v="2024-07-12T00:00:00"/>
    <n v="40204"/>
    <n v="22233"/>
    <n v="34739"/>
    <n v="15366"/>
    <n v="112542"/>
    <n v="0.35723552096106342"/>
    <n v="0.30867587211885339"/>
    <n v="0.19755291357893054"/>
    <n v="0.13653569334115265"/>
    <n v="0.66591139307991687"/>
    <n v="0.33408860692008319"/>
  </r>
  <r>
    <x v="6"/>
    <d v="2024-07-13T00:00:00"/>
    <n v="57931"/>
    <n v="25822"/>
    <n v="30921"/>
    <n v="23616"/>
    <n v="138290"/>
    <n v="0.41890953792754354"/>
    <n v="0.22359534311953141"/>
    <n v="0.18672355195603443"/>
    <n v="0.17077156699689058"/>
    <n v="0.64250488104707504"/>
    <n v="0.35749511895292502"/>
  </r>
  <r>
    <x v="0"/>
    <d v="2024-07-14T00:00:00"/>
    <n v="46026"/>
    <n v="20958"/>
    <n v="64951"/>
    <n v="19458"/>
    <n v="151393"/>
    <n v="0.30401669826213895"/>
    <n v="0.42902247792170045"/>
    <n v="0.13843440581797045"/>
    <n v="0.12852641799819015"/>
    <n v="0.7330391761838394"/>
    <n v="0.2669608238161606"/>
  </r>
  <r>
    <x v="1"/>
    <d v="2024-07-15T00:00:00"/>
    <n v="49227"/>
    <n v="26099"/>
    <n v="71270"/>
    <n v="14608"/>
    <n v="161204"/>
    <n v="0.30537083447060864"/>
    <n v="0.44211061760254089"/>
    <n v="0.16190044912036922"/>
    <n v="9.0618098806481223E-2"/>
    <n v="0.74748145207314953"/>
    <n v="0.25251854792685047"/>
  </r>
  <r>
    <x v="2"/>
    <d v="2024-07-16T00:00:00"/>
    <n v="76499"/>
    <n v="19624"/>
    <n v="54194"/>
    <n v="14098"/>
    <n v="164415"/>
    <n v="0.46527993187969469"/>
    <n v="0.32961712739105314"/>
    <n v="0.11935650640148406"/>
    <n v="8.5746434327768142E-2"/>
    <n v="0.79489705927074783"/>
    <n v="0.2051029407292522"/>
  </r>
  <r>
    <x v="3"/>
    <d v="2024-07-17T00:00:00"/>
    <n v="49542"/>
    <n v="17600"/>
    <n v="40663"/>
    <n v="13977"/>
    <n v="121782"/>
    <n v="0.40680888801300685"/>
    <n v="0.33389991952833753"/>
    <n v="0.14452053669672038"/>
    <n v="0.11477065576193526"/>
    <n v="0.74070880754134438"/>
    <n v="0.25929119245865562"/>
  </r>
  <r>
    <x v="4"/>
    <d v="2024-07-18T00:00:00"/>
    <n v="28244"/>
    <n v="18707"/>
    <n v="30806"/>
    <n v="12718"/>
    <n v="90475"/>
    <n v="0.31217463387676153"/>
    <n v="0.34049184857695497"/>
    <n v="0.20676429953025699"/>
    <n v="0.14056921801602654"/>
    <n v="0.6526664824537165"/>
    <n v="0.3473335175462835"/>
  </r>
  <r>
    <x v="5"/>
    <d v="2024-07-19T00:00:00"/>
    <n v="32788"/>
    <n v="22496"/>
    <n v="47491"/>
    <n v="12863"/>
    <n v="115638"/>
    <n v="0.283540012798561"/>
    <n v="0.41068679845725453"/>
    <n v="0.19453812760511249"/>
    <n v="0.11123506113907193"/>
    <n v="0.69422681125581553"/>
    <n v="0.30577318874418447"/>
  </r>
  <r>
    <x v="6"/>
    <d v="2024-07-20T00:00:00"/>
    <n v="61291"/>
    <n v="21715"/>
    <n v="39633"/>
    <n v="14592"/>
    <n v="137231"/>
    <n v="0.44662649109894992"/>
    <n v="0.28880500761489752"/>
    <n v="0.158236841529975"/>
    <n v="0.10633165975617755"/>
    <n v="0.7354314987138475"/>
    <n v="0.26456850128615256"/>
  </r>
  <r>
    <x v="0"/>
    <d v="2024-07-21T00:00:00"/>
    <n v="38934"/>
    <n v="28648"/>
    <n v="53758"/>
    <n v="22143"/>
    <n v="143483"/>
    <n v="0.27134921907124887"/>
    <n v="0.37466459441188155"/>
    <n v="0.19966128391516766"/>
    <n v="0.15432490260170195"/>
    <n v="0.64601381348313036"/>
    <n v="0.35398618651686958"/>
  </r>
  <r>
    <x v="1"/>
    <d v="2024-07-22T00:00:00"/>
    <n v="66238"/>
    <n v="21828"/>
    <n v="51194"/>
    <n v="20350"/>
    <n v="159610"/>
    <n v="0.41499906020926008"/>
    <n v="0.32074431426602346"/>
    <n v="0.13675834847440638"/>
    <n v="0.12749827705031014"/>
    <n v="0.73574337447528348"/>
    <n v="0.26425662552471652"/>
  </r>
  <r>
    <x v="2"/>
    <d v="2024-07-23T00:00:00"/>
    <n v="61988"/>
    <n v="22118"/>
    <n v="49453"/>
    <n v="20156"/>
    <n v="153715"/>
    <n v="0.403265784080929"/>
    <n v="0.32171876524737336"/>
    <n v="0.14388966594021405"/>
    <n v="0.13112578473148359"/>
    <n v="0.72498454932830236"/>
    <n v="0.27501545067169764"/>
  </r>
  <r>
    <x v="3"/>
    <d v="2024-07-24T00:00:00"/>
    <n v="48021"/>
    <n v="20751"/>
    <n v="47179"/>
    <n v="12550"/>
    <n v="128501"/>
    <n v="0.37370137197375897"/>
    <n v="0.36714889378292775"/>
    <n v="0.16148512462938031"/>
    <n v="9.7664609613932959E-2"/>
    <n v="0.74085026575668667"/>
    <n v="0.25914973424331328"/>
  </r>
  <r>
    <x v="4"/>
    <d v="2024-07-25T00:00:00"/>
    <n v="52320"/>
    <n v="22845"/>
    <n v="35462"/>
    <n v="11497"/>
    <n v="122124"/>
    <n v="0.42841701876780974"/>
    <n v="0.29037699387507782"/>
    <n v="0.1870639677704628"/>
    <n v="9.4142019586649639E-2"/>
    <n v="0.71879401264288756"/>
    <n v="0.28120598735711244"/>
  </r>
  <r>
    <x v="5"/>
    <d v="2024-07-26T00:00:00"/>
    <n v="35605"/>
    <n v="21687"/>
    <n v="40935"/>
    <n v="17956"/>
    <n v="116183"/>
    <n v="0.30645619410757169"/>
    <n v="0.35233209677835831"/>
    <n v="0.18666242049181034"/>
    <n v="0.15454928862225972"/>
    <n v="0.65878829088592994"/>
    <n v="0.34121170911407006"/>
  </r>
  <r>
    <x v="6"/>
    <d v="2024-07-27T00:00:00"/>
    <n v="43177"/>
    <n v="24442"/>
    <n v="52843"/>
    <n v="24911"/>
    <n v="145373"/>
    <n v="0.29700838532602342"/>
    <n v="0.36349941185777274"/>
    <n v="0.16813300956848934"/>
    <n v="0.17135919324771451"/>
    <n v="0.66050779718379615"/>
    <n v="0.33949220281620385"/>
  </r>
  <r>
    <x v="0"/>
    <d v="2024-07-28T00:00:00"/>
    <n v="33809"/>
    <n v="27804"/>
    <n v="58461"/>
    <n v="22880"/>
    <n v="142954"/>
    <n v="0.2365026512024847"/>
    <n v="0.40894973208164864"/>
    <n v="0.19449613162275978"/>
    <n v="0.16005148509310688"/>
    <n v="0.64545238328413335"/>
    <n v="0.35454761671586665"/>
  </r>
  <r>
    <x v="1"/>
    <d v="2024-07-29T00:00:00"/>
    <n v="40277"/>
    <n v="23253"/>
    <n v="49350"/>
    <n v="15199"/>
    <n v="128079"/>
    <n v="0.31446997556195788"/>
    <n v="0.38530906706017382"/>
    <n v="0.18155201086829223"/>
    <n v="0.11866894650957611"/>
    <n v="0.69977904262213164"/>
    <n v="0.30022095737786836"/>
  </r>
  <r>
    <x v="2"/>
    <d v="2024-07-30T00:00:00"/>
    <n v="54774"/>
    <n v="19505"/>
    <n v="31222"/>
    <n v="13596"/>
    <n v="119097"/>
    <n v="0.45991082898813573"/>
    <n v="0.26215605766727962"/>
    <n v="0.16377406651720866"/>
    <n v="0.114159046827376"/>
    <n v="0.7220668866554153"/>
    <n v="0.27793311334458465"/>
  </r>
  <r>
    <x v="3"/>
    <d v="2024-07-31T00:00:00"/>
    <n v="40926"/>
    <n v="16134"/>
    <n v="21198"/>
    <n v="11677"/>
    <n v="89935"/>
    <n v="0.45506198921443264"/>
    <n v="0.23570356368488352"/>
    <n v="0.17939623061099683"/>
    <n v="0.12983821648968699"/>
    <n v="0.69076555289931618"/>
    <n v="0.30923444710068382"/>
  </r>
  <r>
    <x v="4"/>
    <d v="2024-08-01T00:00:00"/>
    <n v="29118"/>
    <n v="14822"/>
    <n v="25021"/>
    <n v="12557"/>
    <n v="81518"/>
    <n v="0.3571971834441473"/>
    <n v="0.30693834490541966"/>
    <n v="0.18182487303417649"/>
    <n v="0.15403959861625655"/>
    <n v="0.66413552834956702"/>
    <n v="0.33586447165043304"/>
  </r>
  <r>
    <x v="5"/>
    <d v="2024-08-02T00:00:00"/>
    <n v="23986"/>
    <n v="11289"/>
    <n v="37921"/>
    <n v="21315"/>
    <n v="94511"/>
    <n v="0.25379056406132622"/>
    <n v="0.40123371882637998"/>
    <n v="0.11944641364497255"/>
    <n v="0.22552930346732125"/>
    <n v="0.6550242828877062"/>
    <n v="0.3449757171122938"/>
  </r>
  <r>
    <x v="6"/>
    <d v="2024-08-03T00:00:00"/>
    <n v="45480"/>
    <n v="24279"/>
    <n v="41660"/>
    <n v="22867"/>
    <n v="134286"/>
    <n v="0.33868013046780754"/>
    <n v="0.31023338248216492"/>
    <n v="0.18080067914749118"/>
    <n v="0.17028580790253639"/>
    <n v="0.64891351294997246"/>
    <n v="0.35108648705002754"/>
  </r>
  <r>
    <x v="0"/>
    <d v="2024-08-04T00:00:00"/>
    <n v="27985"/>
    <n v="26531"/>
    <n v="56398"/>
    <n v="24419"/>
    <n v="135333"/>
    <n v="0.20678622361138821"/>
    <n v="0.41673501658871082"/>
    <n v="0.19604235478412507"/>
    <n v="0.1804364050157759"/>
    <n v="0.62352124020009903"/>
    <n v="0.37647875979990097"/>
  </r>
  <r>
    <x v="1"/>
    <d v="2024-08-05T00:00:00"/>
    <n v="33804"/>
    <n v="24457"/>
    <n v="50901"/>
    <n v="18082"/>
    <n v="127244"/>
    <n v="0.26566282103674832"/>
    <n v="0.40002672031687153"/>
    <n v="0.19220552639024238"/>
    <n v="0.14210493225613782"/>
    <n v="0.6656895413536198"/>
    <n v="0.3343104586463802"/>
  </r>
  <r>
    <x v="2"/>
    <d v="2024-08-06T00:00:00"/>
    <n v="48377"/>
    <n v="24894"/>
    <n v="27682"/>
    <n v="11096"/>
    <n v="112049"/>
    <n v="0.43174860998313236"/>
    <n v="0.2470526287606315"/>
    <n v="0.22217065748020956"/>
    <n v="9.9028103776026555E-2"/>
    <n v="0.67880123874376386"/>
    <n v="0.32119876125623609"/>
  </r>
  <r>
    <x v="3"/>
    <d v="2024-08-07T00:00:00"/>
    <n v="39936"/>
    <n v="14884"/>
    <n v="38587"/>
    <n v="10444"/>
    <n v="103851"/>
    <n v="0.38455094317820726"/>
    <n v="0.371561178996832"/>
    <n v="0.14332071910718241"/>
    <n v="0.10056715871777835"/>
    <n v="0.7561121221750392"/>
    <n v="0.24388787782496077"/>
  </r>
  <r>
    <x v="4"/>
    <d v="2024-08-08T00:00:00"/>
    <n v="38304"/>
    <n v="16571"/>
    <n v="32227"/>
    <n v="15354"/>
    <n v="102456"/>
    <n v="0.37385804638088543"/>
    <n v="0.31454478019832904"/>
    <n v="0.16173772155852267"/>
    <n v="0.14985945186226282"/>
    <n v="0.68840282657921448"/>
    <n v="0.31159717342078552"/>
  </r>
  <r>
    <x v="5"/>
    <d v="2024-08-09T00:00:00"/>
    <n v="51376"/>
    <n v="14302"/>
    <n v="32382"/>
    <n v="17755"/>
    <n v="115815"/>
    <n v="0.44360402365842078"/>
    <n v="0.27960108794197641"/>
    <n v="0.12349004878469974"/>
    <n v="0.15330483961490307"/>
    <n v="0.72320511160039713"/>
    <n v="0.27679488839960281"/>
  </r>
  <r>
    <x v="6"/>
    <d v="2024-08-10T00:00:00"/>
    <n v="47477"/>
    <n v="19726"/>
    <n v="44539"/>
    <n v="20154"/>
    <n v="131896"/>
    <n v="0.35995784557530175"/>
    <n v="0.33768271971856612"/>
    <n v="0.1495572269060472"/>
    <n v="0.15280220780008491"/>
    <n v="0.69764056529386786"/>
    <n v="0.30235943470613208"/>
  </r>
  <r>
    <x v="0"/>
    <d v="2024-08-11T00:00:00"/>
    <n v="41442"/>
    <n v="25340"/>
    <n v="45930"/>
    <n v="22087"/>
    <n v="134799"/>
    <n v="0.3074355151002604"/>
    <n v="0.34072953063450023"/>
    <n v="0.18798359038271797"/>
    <n v="0.16385136388252139"/>
    <n v="0.64816504573476064"/>
    <n v="0.35183495426523936"/>
  </r>
  <r>
    <x v="1"/>
    <d v="2024-08-12T00:00:00"/>
    <n v="54528"/>
    <n v="23691"/>
    <n v="58560"/>
    <n v="15311"/>
    <n v="152090"/>
    <n v="0.35852455782760206"/>
    <n v="0.38503517654020647"/>
    <n v="0.15576961009928331"/>
    <n v="0.10067065553290815"/>
    <n v="0.74355973436780853"/>
    <n v="0.25644026563219147"/>
  </r>
  <r>
    <x v="2"/>
    <d v="2024-08-13T00:00:00"/>
    <n v="58459"/>
    <n v="20573"/>
    <n v="36364"/>
    <n v="10550"/>
    <n v="125946"/>
    <n v="0.46415924285011034"/>
    <n v="0.28872691470947864"/>
    <n v="0.16334778397090816"/>
    <n v="8.3766058469502802E-2"/>
    <n v="0.75288615755958899"/>
    <n v="0.24711384244041096"/>
  </r>
  <r>
    <x v="3"/>
    <d v="2024-08-14T00:00:00"/>
    <n v="57545"/>
    <n v="17908"/>
    <n v="40526"/>
    <n v="18007"/>
    <n v="133986"/>
    <n v="0.42948517009239773"/>
    <n v="0.3024644365829266"/>
    <n v="0.13365575507888883"/>
    <n v="0.13439463824578687"/>
    <n v="0.73194960667532427"/>
    <n v="0.26805039332467573"/>
  </r>
  <r>
    <x v="4"/>
    <d v="2024-08-15T00:00:00"/>
    <n v="42694"/>
    <n v="18435"/>
    <n v="28980"/>
    <n v="17696"/>
    <n v="107805"/>
    <n v="0.39602986874449236"/>
    <n v="0.26881870043133438"/>
    <n v="0.17100320022262419"/>
    <n v="0.16414823060154909"/>
    <n v="0.66484856917582669"/>
    <n v="0.33515143082417326"/>
  </r>
  <r>
    <x v="5"/>
    <d v="2024-08-16T00:00:00"/>
    <n v="43638"/>
    <n v="13887"/>
    <n v="34294"/>
    <n v="18463"/>
    <n v="110282"/>
    <n v="0.3956946736548122"/>
    <n v="0.31096643151194209"/>
    <n v="0.12592263470013237"/>
    <n v="0.16741626013311328"/>
    <n v="0.70666110516675429"/>
    <n v="0.29333889483324566"/>
  </r>
  <r>
    <x v="6"/>
    <d v="2024-08-17T00:00:00"/>
    <n v="34446"/>
    <n v="20312"/>
    <n v="57181"/>
    <n v="23226"/>
    <n v="135165"/>
    <n v="0.25484407945843968"/>
    <n v="0.42304590685458515"/>
    <n v="0.15027558909481004"/>
    <n v="0.17183442459216514"/>
    <n v="0.67788998631302477"/>
    <n v="0.32211001368697517"/>
  </r>
  <r>
    <x v="0"/>
    <d v="2024-08-18T00:00:00"/>
    <n v="52150"/>
    <n v="23282"/>
    <n v="44214"/>
    <n v="26812"/>
    <n v="146458"/>
    <n v="0.35607477911756269"/>
    <n v="0.30188859604801377"/>
    <n v="0.15896707588523673"/>
    <n v="0.18306954894918681"/>
    <n v="0.65796337516557646"/>
    <n v="0.34203662483442354"/>
  </r>
  <r>
    <x v="1"/>
    <d v="2024-08-19T00:00:00"/>
    <n v="59776"/>
    <n v="24270"/>
    <n v="45795"/>
    <n v="16760"/>
    <n v="146601"/>
    <n v="0.40774619545569268"/>
    <n v="0.31237849673603862"/>
    <n v="0.16555139460167392"/>
    <n v="0.11432391320659477"/>
    <n v="0.72012469219173125"/>
    <n v="0.27987530780826869"/>
  </r>
  <r>
    <x v="2"/>
    <d v="2024-08-20T00:00:00"/>
    <n v="49984"/>
    <n v="20998"/>
    <n v="29029"/>
    <n v="14162"/>
    <n v="114173"/>
    <n v="0.43779177213526843"/>
    <n v="0.25425450850901704"/>
    <n v="0.18391388506914944"/>
    <n v="0.12403983428656512"/>
    <n v="0.69204628064428542"/>
    <n v="0.30795371935571458"/>
  </r>
  <r>
    <x v="3"/>
    <d v="2024-08-21T00:00:00"/>
    <n v="40817"/>
    <n v="16128"/>
    <n v="20756"/>
    <n v="16309"/>
    <n v="94010"/>
    <n v="0.4341772151898734"/>
    <n v="0.22078502286990745"/>
    <n v="0.17155621742367833"/>
    <n v="0.1734815445165408"/>
    <n v="0.65496223805978082"/>
    <n v="0.34503776194021912"/>
  </r>
  <r>
    <x v="4"/>
    <d v="2024-08-22T00:00:00"/>
    <n v="29476"/>
    <n v="16464"/>
    <n v="27717"/>
    <n v="13322"/>
    <n v="86979"/>
    <n v="0.3388863978661516"/>
    <n v="0.31866312558203702"/>
    <n v="0.18928706929258787"/>
    <n v="0.15316340725922348"/>
    <n v="0.65754952344818862"/>
    <n v="0.34245047655181138"/>
  </r>
  <r>
    <x v="5"/>
    <d v="2024-08-23T00:00:00"/>
    <n v="44647"/>
    <n v="17289"/>
    <n v="32038"/>
    <n v="16440"/>
    <n v="110414"/>
    <n v="0.4043599543536146"/>
    <n v="0.29016247939572881"/>
    <n v="0.15658340427844294"/>
    <n v="0.14889416197221367"/>
    <n v="0.69452243374934342"/>
    <n v="0.30547756625065664"/>
  </r>
  <r>
    <x v="6"/>
    <d v="2024-08-24T00:00:00"/>
    <n v="29749"/>
    <n v="21743"/>
    <n v="58701"/>
    <n v="24636"/>
    <n v="134829"/>
    <n v="0.22064244339125855"/>
    <n v="0.43537369556994415"/>
    <n v="0.16126352639269001"/>
    <n v="0.18272033464610729"/>
    <n v="0.6560161389612027"/>
    <n v="0.3439838610387973"/>
  </r>
  <r>
    <x v="0"/>
    <d v="2024-08-25T00:00:00"/>
    <n v="46839"/>
    <n v="23320"/>
    <n v="54961"/>
    <n v="19235"/>
    <n v="144355"/>
    <n v="0.32447092237885766"/>
    <n v="0.38073499359218593"/>
    <n v="0.16154618821654948"/>
    <n v="0.13324789581240692"/>
    <n v="0.70520591597104365"/>
    <n v="0.2947940840289564"/>
  </r>
  <r>
    <x v="1"/>
    <d v="2024-08-26T00:00:00"/>
    <n v="56815"/>
    <n v="26604"/>
    <n v="61200"/>
    <n v="12370"/>
    <n v="156989"/>
    <n v="0.36190433724655868"/>
    <n v="0.38983623056392486"/>
    <n v="0.16946410258043557"/>
    <n v="7.8795329609080894E-2"/>
    <n v="0.75174056781048348"/>
    <n v="0.24825943218951646"/>
  </r>
  <r>
    <x v="2"/>
    <d v="2024-08-27T00:00:00"/>
    <n v="44478"/>
    <n v="26294"/>
    <n v="32177"/>
    <n v="17556"/>
    <n v="120505"/>
    <n v="0.36909671797850713"/>
    <n v="0.26701796605949962"/>
    <n v="0.21819841500352682"/>
    <n v="0.14568690095846645"/>
    <n v="0.63611468403800675"/>
    <n v="0.36388531596199331"/>
  </r>
  <r>
    <x v="3"/>
    <d v="2024-08-28T00:00:00"/>
    <n v="35073"/>
    <n v="14935"/>
    <n v="20792"/>
    <n v="13844"/>
    <n v="84644"/>
    <n v="0.41435896224186003"/>
    <n v="0.24564056519068098"/>
    <n v="0.17644487500590708"/>
    <n v="0.16355559756155191"/>
    <n v="0.65999952743254098"/>
    <n v="0.34000047256745902"/>
  </r>
  <r>
    <x v="4"/>
    <d v="2024-08-29T00:00:00"/>
    <n v="32027"/>
    <n v="11670"/>
    <n v="19084"/>
    <n v="13141"/>
    <n v="75922"/>
    <n v="0.42184083664813887"/>
    <n v="0.25136324122125336"/>
    <n v="0.15371038697610706"/>
    <n v="0.17308553515450067"/>
    <n v="0.67320407786939229"/>
    <n v="0.32679592213060771"/>
  </r>
  <r>
    <x v="5"/>
    <d v="2024-08-30T00:00:00"/>
    <n v="41536"/>
    <n v="20782"/>
    <n v="40175"/>
    <n v="10866"/>
    <n v="113359"/>
    <n v="0.36641113630148464"/>
    <n v="0.35440503180162142"/>
    <n v="0.18332906959306275"/>
    <n v="9.5854762303831192E-2"/>
    <n v="0.72081616810310611"/>
    <n v="0.27918383189689394"/>
  </r>
  <r>
    <x v="6"/>
    <d v="2024-08-31T00:00:00"/>
    <n v="43814"/>
    <n v="21585"/>
    <n v="41135"/>
    <n v="14643"/>
    <n v="121177"/>
    <n v="0.36157026498427919"/>
    <n v="0.33946210914612507"/>
    <n v="0.17812786254817334"/>
    <n v="0.12083976332142238"/>
    <n v="0.70103237413040431"/>
    <n v="0.29896762586959569"/>
  </r>
  <r>
    <x v="0"/>
    <d v="2024-09-01T00:00:00"/>
    <n v="27390"/>
    <n v="27133"/>
    <n v="40330"/>
    <n v="23191"/>
    <n v="118044"/>
    <n v="0.23203212361492326"/>
    <n v="0.3416522652570228"/>
    <n v="0.22985496933346888"/>
    <n v="0.19646064179458508"/>
    <n v="0.57368438887194606"/>
    <n v="0.42631561112805394"/>
  </r>
  <r>
    <x v="1"/>
    <d v="2024-09-02T00:00:00"/>
    <n v="39415"/>
    <n v="23020"/>
    <n v="46929"/>
    <n v="19165"/>
    <n v="128529"/>
    <n v="0.30666230967330332"/>
    <n v="0.3651238241953178"/>
    <n v="0.17910354861548755"/>
    <n v="0.14911031751589135"/>
    <n v="0.67178613386862107"/>
    <n v="0.32821386613137893"/>
  </r>
  <r>
    <x v="2"/>
    <d v="2024-09-03T00:00:00"/>
    <n v="47176"/>
    <n v="24461"/>
    <n v="30459"/>
    <n v="12920"/>
    <n v="115016"/>
    <n v="0.41016901996243998"/>
    <n v="0.26482402448355014"/>
    <n v="0.21267475829449817"/>
    <n v="0.11233219725951173"/>
    <n v="0.67499304444599018"/>
    <n v="0.32500695555400988"/>
  </r>
  <r>
    <x v="3"/>
    <d v="2024-09-04T00:00:00"/>
    <n v="31201"/>
    <n v="1159"/>
    <n v="35733"/>
    <n v="10693"/>
    <n v="78786"/>
    <n v="0.39602213591247176"/>
    <n v="0.45354504607417562"/>
    <n v="1.4710735409844388E-2"/>
    <n v="0.13572208260350824"/>
    <n v="0.84956718198664738"/>
    <n v="0.15043281801335262"/>
  </r>
  <r>
    <x v="4"/>
    <d v="2024-09-05T00:00:00"/>
    <n v="19757"/>
    <n v="12738"/>
    <n v="33143"/>
    <n v="12637"/>
    <n v="78275"/>
    <n v="0.25240498243372722"/>
    <n v="0.42341743851804536"/>
    <n v="0.16273395081443628"/>
    <n v="0.16144362823379113"/>
    <n v="0.67582242095177258"/>
    <n v="0.32417757904822742"/>
  </r>
  <r>
    <x v="5"/>
    <d v="2024-09-06T00:00:00"/>
    <n v="39242"/>
    <n v="18424"/>
    <n v="37338"/>
    <n v="14054"/>
    <n v="109058"/>
    <n v="0.35982688110913458"/>
    <n v="0.34236828109813128"/>
    <n v="0.16893762951823801"/>
    <n v="0.12886720827449613"/>
    <n v="0.70219516220726585"/>
    <n v="0.29780483779273415"/>
  </r>
  <r>
    <x v="6"/>
    <d v="2024-09-07T00:00:00"/>
    <n v="48247"/>
    <n v="22635"/>
    <n v="33069"/>
    <n v="18682"/>
    <n v="122633"/>
    <n v="0.39342591309027747"/>
    <n v="0.26965824859540255"/>
    <n v="0.18457511436562751"/>
    <n v="0.15234072394869244"/>
    <n v="0.66308416168568007"/>
    <n v="0.33691583831431998"/>
  </r>
  <r>
    <x v="0"/>
    <d v="2024-09-08T00:00:00"/>
    <n v="40064"/>
    <n v="24344"/>
    <n v="31438"/>
    <n v="23736"/>
    <n v="119582"/>
    <n v="0.33503370072418925"/>
    <n v="0.26289909852653409"/>
    <n v="0.20357578899834422"/>
    <n v="0.19849141175093241"/>
    <n v="0.5979327992507234"/>
    <n v="0.40206720074927665"/>
  </r>
  <r>
    <x v="1"/>
    <d v="2024-09-09T00:00:00"/>
    <n v="43067"/>
    <n v="21236"/>
    <n v="52452"/>
    <n v="13438"/>
    <n v="130193"/>
    <n v="0.33079351424423742"/>
    <n v="0.40287880300784218"/>
    <n v="0.16311168803238268"/>
    <n v="0.1032159947155377"/>
    <n v="0.7336723172520796"/>
    <n v="0.2663276827479204"/>
  </r>
  <r>
    <x v="2"/>
    <d v="2024-09-10T00:00:00"/>
    <n v="50513"/>
    <n v="20984"/>
    <n v="21832"/>
    <n v="15591"/>
    <n v="108920"/>
    <n v="0.46376239441792139"/>
    <n v="0.20044069041498347"/>
    <n v="0.19265515975027545"/>
    <n v="0.14314175541681967"/>
    <n v="0.66420308483290491"/>
    <n v="0.33579691516709509"/>
  </r>
  <r>
    <x v="3"/>
    <d v="2024-09-11T00:00:00"/>
    <n v="29030"/>
    <n v="13264"/>
    <n v="34583"/>
    <n v="11044"/>
    <n v="87921"/>
    <n v="0.33018277772090854"/>
    <n v="0.39334174998009575"/>
    <n v="0.15086270629314955"/>
    <n v="0.12561276600584614"/>
    <n v="0.72352452770100428"/>
    <n v="0.27647547229899572"/>
  </r>
  <r>
    <x v="4"/>
    <d v="2024-09-12T00:00:00"/>
    <n v="33467"/>
    <n v="13335"/>
    <n v="29359"/>
    <n v="6200"/>
    <n v="82361"/>
    <n v="0.4063452362161703"/>
    <n v="0.35646725998955814"/>
    <n v="0.16190915603258824"/>
    <n v="7.5278347761683323E-2"/>
    <n v="0.76281249620572844"/>
    <n v="0.23718750379427156"/>
  </r>
  <r>
    <x v="5"/>
    <d v="2024-09-13T00:00:00"/>
    <n v="33700"/>
    <n v="22431"/>
    <n v="40075"/>
    <n v="14092"/>
    <n v="110298"/>
    <n v="0.30553591180257123"/>
    <n v="0.36333387731418521"/>
    <n v="0.20336724147310015"/>
    <n v="0.12776296941014342"/>
    <n v="0.66886978911675643"/>
    <n v="0.33113021088324357"/>
  </r>
  <r>
    <x v="6"/>
    <d v="2024-09-14T00:00:00"/>
    <n v="42923"/>
    <n v="24605"/>
    <n v="47434"/>
    <n v="18985"/>
    <n v="133947"/>
    <n v="0.32044763973810536"/>
    <n v="0.35412513904753373"/>
    <n v="0.18369205730624799"/>
    <n v="0.14173516390811292"/>
    <n v="0.67457277878563915"/>
    <n v="0.32542722121436091"/>
  </r>
  <r>
    <x v="0"/>
    <d v="2024-09-15T00:00:00"/>
    <n v="37613"/>
    <n v="23523"/>
    <n v="50723"/>
    <n v="16854"/>
    <n v="128713"/>
    <n v="0.29222378469929222"/>
    <n v="0.39407829822939405"/>
    <n v="0.18275543262918276"/>
    <n v="0.13094248444213094"/>
    <n v="0.68630208292868633"/>
    <n v="0.31369791707131373"/>
  </r>
  <r>
    <x v="1"/>
    <d v="2024-09-16T00:00:00"/>
    <n v="44219"/>
    <n v="25397"/>
    <n v="58841"/>
    <n v="16374"/>
    <n v="144831"/>
    <n v="0.30531446996844597"/>
    <n v="0.40627351879086659"/>
    <n v="0.17535610470134155"/>
    <n v="0.11305590653934586"/>
    <n v="0.71158798875931262"/>
    <n v="0.28841201124068744"/>
  </r>
  <r>
    <x v="2"/>
    <d v="2024-09-17T00:00:00"/>
    <n v="56659"/>
    <n v="26283"/>
    <n v="29716"/>
    <n v="14207"/>
    <n v="126865"/>
    <n v="0.44660859969258659"/>
    <n v="0.23423324005832971"/>
    <n v="0.20717297915106608"/>
    <n v="0.11198518109801758"/>
    <n v="0.68084183975091628"/>
    <n v="0.31915816024908367"/>
  </r>
  <r>
    <x v="3"/>
    <d v="2024-09-18T00:00:00"/>
    <n v="46478"/>
    <n v="15351"/>
    <n v="27467"/>
    <n v="16800"/>
    <n v="106096"/>
    <n v="0.43807495098778465"/>
    <n v="0.25888817674558889"/>
    <n v="0.14468971497511687"/>
    <n v="0.15834715729150958"/>
    <n v="0.69696312773337354"/>
    <n v="0.30303687226662646"/>
  </r>
  <r>
    <x v="4"/>
    <d v="2024-09-19T00:00:00"/>
    <n v="42772"/>
    <n v="13265"/>
    <n v="21371"/>
    <n v="11513"/>
    <n v="88921"/>
    <n v="0.48101123469146773"/>
    <n v="0.24033692828465716"/>
    <n v="0.14917735967881604"/>
    <n v="0.1294744773450591"/>
    <n v="0.72134816297612492"/>
    <n v="0.27865183702387514"/>
  </r>
  <r>
    <x v="5"/>
    <d v="2024-09-20T00:00:00"/>
    <n v="38632"/>
    <n v="22966"/>
    <n v="39692"/>
    <n v="13088"/>
    <n v="114378"/>
    <n v="0.33775726101173303"/>
    <n v="0.34702477749217508"/>
    <n v="0.20079036178286033"/>
    <n v="0.11442759971323156"/>
    <n v="0.68478203850390806"/>
    <n v="0.31521796149609188"/>
  </r>
  <r>
    <x v="6"/>
    <d v="2024-09-21T00:00:00"/>
    <n v="35755"/>
    <n v="20493"/>
    <n v="40291"/>
    <n v="21718"/>
    <n v="118257"/>
    <n v="0.30234996659817176"/>
    <n v="0.34070710401921239"/>
    <n v="0.17329206727720134"/>
    <n v="0.18365086210541448"/>
    <n v="0.64305707061738415"/>
    <n v="0.35694292938261585"/>
  </r>
  <r>
    <x v="0"/>
    <d v="2024-09-22T00:00:00"/>
    <n v="32834"/>
    <n v="25549"/>
    <n v="50494"/>
    <n v="17283"/>
    <n v="126160"/>
    <n v="0.26025681674064682"/>
    <n v="0.40023779327837666"/>
    <n v="0.20251268230818009"/>
    <n v="0.13699270767279645"/>
    <n v="0.66049461001902343"/>
    <n v="0.33950538998097651"/>
  </r>
  <r>
    <x v="1"/>
    <d v="2024-09-23T00:00:00"/>
    <n v="47257"/>
    <n v="21375"/>
    <n v="64154"/>
    <n v="16207"/>
    <n v="148993"/>
    <n v="0.3171759747102213"/>
    <n v="0.43058398716718232"/>
    <n v="0.14346311571684575"/>
    <n v="0.10877692240575061"/>
    <n v="0.74775996187740368"/>
    <n v="0.25224003812259638"/>
  </r>
  <r>
    <x v="2"/>
    <d v="2024-09-24T00:00:00"/>
    <n v="53609"/>
    <n v="18316"/>
    <n v="28046"/>
    <n v="12610"/>
    <n v="112581"/>
    <n v="0.4761815936969826"/>
    <n v="0.24911841252076283"/>
    <n v="0.16269175082829251"/>
    <n v="0.11200824295396204"/>
    <n v="0.72530000621774549"/>
    <n v="0.27469999378225457"/>
  </r>
  <r>
    <x v="3"/>
    <d v="2024-09-25T00:00:00"/>
    <n v="32892"/>
    <n v="16033"/>
    <n v="30405"/>
    <n v="12760"/>
    <n v="92090"/>
    <n v="0.35717233141492016"/>
    <n v="0.33016614181778697"/>
    <n v="0.17410142252144642"/>
    <n v="0.13856010424584644"/>
    <n v="0.68733847323270714"/>
    <n v="0.31266152676729286"/>
  </r>
  <r>
    <x v="4"/>
    <d v="2024-09-26T00:00:00"/>
    <n v="22465"/>
    <n v="14172"/>
    <n v="21353"/>
    <n v="11071"/>
    <n v="69061"/>
    <n v="0.3252921330418036"/>
    <n v="0.30919042585540318"/>
    <n v="0.20520988691157094"/>
    <n v="0.16030755419122225"/>
    <n v="0.63448255889720684"/>
    <n v="0.36551744110279316"/>
  </r>
  <r>
    <x v="5"/>
    <d v="2024-09-27T00:00:00"/>
    <n v="43870"/>
    <n v="16582"/>
    <n v="36137"/>
    <n v="13808"/>
    <n v="110397"/>
    <n v="0.39738398688370152"/>
    <n v="0.32733679357228912"/>
    <n v="0.15020335697528012"/>
    <n v="0.12507586256872921"/>
    <n v="0.72472078045599064"/>
    <n v="0.27527921954400936"/>
  </r>
  <r>
    <x v="6"/>
    <d v="2024-09-28T00:00:00"/>
    <n v="53431"/>
    <n v="26652"/>
    <n v="49652"/>
    <n v="18582"/>
    <n v="148317"/>
    <n v="0.36024865659364741"/>
    <n v="0.33476944652332502"/>
    <n v="0.17969619126600458"/>
    <n v="0.12528570561702299"/>
    <n v="0.69501810311697243"/>
    <n v="0.30498189688302757"/>
  </r>
  <r>
    <x v="0"/>
    <d v="2024-09-29T00:00:00"/>
    <n v="50086"/>
    <n v="26806"/>
    <n v="43772"/>
    <n v="22580"/>
    <n v="143244"/>
    <n v="0.34965513389740582"/>
    <n v="0.30557649884113819"/>
    <n v="0.1871352377761023"/>
    <n v="0.15763312948535366"/>
    <n v="0.65523163273854401"/>
    <n v="0.34476836726145599"/>
  </r>
  <r>
    <x v="1"/>
    <d v="2024-09-30T00:00:00"/>
    <n v="50442"/>
    <n v="26419"/>
    <n v="52118"/>
    <n v="20213"/>
    <n v="149192"/>
    <n v="0.3381012386723149"/>
    <n v="0.34933508499115234"/>
    <n v="0.17708054051155558"/>
    <n v="0.1354831358249772"/>
    <n v="0.68743632366346719"/>
    <n v="0.31256367633653281"/>
  </r>
  <r>
    <x v="2"/>
    <d v="2024-10-01T00:00:00"/>
    <n v="51095"/>
    <n v="18726"/>
    <n v="22498"/>
    <n v="12281"/>
    <n v="104600"/>
    <n v="0.48847992351816444"/>
    <n v="0.21508604206500956"/>
    <n v="0.17902485659655831"/>
    <n v="0.11740917782026769"/>
    <n v="0.70356596558317397"/>
    <n v="0.29643403441682603"/>
  </r>
  <r>
    <x v="3"/>
    <d v="2024-10-02T00:00:00"/>
    <n v="38310"/>
    <n v="14477"/>
    <n v="31728"/>
    <n v="15973"/>
    <n v="100488"/>
    <n v="0.38123955099116313"/>
    <n v="0.31573919273943157"/>
    <n v="0.14406695326805191"/>
    <n v="0.15895430300135341"/>
    <n v="0.69697874373059465"/>
    <n v="0.30302125626940529"/>
  </r>
  <r>
    <x v="4"/>
    <d v="2024-10-03T00:00:00"/>
    <n v="32449"/>
    <n v="18462"/>
    <n v="22394"/>
    <n v="11361"/>
    <n v="84666"/>
    <n v="0.38325892329860867"/>
    <n v="0.26449814565469021"/>
    <n v="0.21805683509318971"/>
    <n v="0.13418609595351144"/>
    <n v="0.64775706895329888"/>
    <n v="0.35224293104670118"/>
  </r>
  <r>
    <x v="5"/>
    <d v="2024-10-04T00:00:00"/>
    <n v="46223"/>
    <n v="21580"/>
    <n v="43456"/>
    <n v="15777"/>
    <n v="127036"/>
    <n v="0.36385748921565542"/>
    <n v="0.34207626184703549"/>
    <n v="0.16987310683585755"/>
    <n v="0.12419314210145156"/>
    <n v="0.70593375106269085"/>
    <n v="0.29406624893730909"/>
  </r>
  <r>
    <x v="6"/>
    <d v="2024-10-05T00:00:00"/>
    <n v="39228"/>
    <n v="27797"/>
    <n v="53807"/>
    <n v="22017"/>
    <n v="142849"/>
    <n v="0.27461165286421324"/>
    <n v="0.37667047021680233"/>
    <n v="0.1945900916352232"/>
    <n v="0.15412778528376117"/>
    <n v="0.65128212308101563"/>
    <n v="0.34871787691898437"/>
  </r>
  <r>
    <x v="0"/>
    <d v="2024-10-06T00:00:00"/>
    <n v="50754"/>
    <n v="30439"/>
    <n v="39338"/>
    <n v="26011"/>
    <n v="146542"/>
    <n v="0.34634439273382372"/>
    <n v="0.26844181190375455"/>
    <n v="0.20771519427877333"/>
    <n v="0.17749860108364837"/>
    <n v="0.61478620463757827"/>
    <n v="0.38521379536242167"/>
  </r>
  <r>
    <x v="1"/>
    <d v="2024-10-07T00:00:00"/>
    <n v="51208"/>
    <n v="23928"/>
    <n v="54810"/>
    <n v="8752"/>
    <n v="138698"/>
    <n v="0.36920503540065464"/>
    <n v="0.39517512869688098"/>
    <n v="0.17251870971463179"/>
    <n v="6.3101126187832562E-2"/>
    <n v="0.76438016409753562"/>
    <n v="0.23561983590246435"/>
  </r>
  <r>
    <x v="2"/>
    <d v="2024-10-08T00:00:00"/>
    <n v="36440"/>
    <n v="17865"/>
    <n v="28011"/>
    <n v="10099"/>
    <n v="92415"/>
    <n v="0.39430828328734513"/>
    <n v="0.30310014608018176"/>
    <n v="0.19331277390034085"/>
    <n v="0.10927879673213223"/>
    <n v="0.69740842936752689"/>
    <n v="0.30259157063247311"/>
  </r>
  <r>
    <x v="3"/>
    <d v="2024-10-09T00:00:00"/>
    <n v="28705"/>
    <n v="13614"/>
    <n v="24955"/>
    <n v="11244"/>
    <n v="78518"/>
    <n v="0.36558496141012253"/>
    <n v="0.31782521205328712"/>
    <n v="0.17338699406505514"/>
    <n v="0.1432028324715352"/>
    <n v="0.68341017346340971"/>
    <n v="0.31658982653659035"/>
  </r>
  <r>
    <x v="4"/>
    <d v="2024-10-10T00:00:00"/>
    <n v="28460"/>
    <n v="10579"/>
    <n v="33074"/>
    <n v="11623"/>
    <n v="83736"/>
    <n v="0.33987771090092672"/>
    <n v="0.39497945925289002"/>
    <n v="0.12633753702111397"/>
    <n v="0.13880529282506926"/>
    <n v="0.7348571701538168"/>
    <n v="0.26514282984618326"/>
  </r>
  <r>
    <x v="5"/>
    <d v="2024-10-11T00:00:00"/>
    <n v="27947"/>
    <n v="19450"/>
    <n v="44911"/>
    <n v="14753"/>
    <n v="107061"/>
    <n v="0.26103809977489467"/>
    <n v="0.41948982355853204"/>
    <n v="0.18167213084129608"/>
    <n v="0.13779994582527719"/>
    <n v="0.68052792333342671"/>
    <n v="0.31947207666657323"/>
  </r>
  <r>
    <x v="6"/>
    <d v="2024-10-12T00:00:00"/>
    <n v="39756"/>
    <n v="22728"/>
    <n v="42373"/>
    <n v="19284"/>
    <n v="124141"/>
    <n v="0.32024874940591747"/>
    <n v="0.34132961712890986"/>
    <n v="0.18308214046930507"/>
    <n v="0.15533949299586761"/>
    <n v="0.66157836653482738"/>
    <n v="0.33842163346517268"/>
  </r>
  <r>
    <x v="0"/>
    <d v="2024-10-13T00:00:00"/>
    <n v="37330"/>
    <n v="29355"/>
    <n v="41381"/>
    <n v="26189"/>
    <n v="134255"/>
    <n v="0.27805295892145543"/>
    <n v="0.30822688168038437"/>
    <n v="0.21865107444787904"/>
    <n v="0.19506908495028119"/>
    <n v="0.5862798406018398"/>
    <n v="0.4137201593981602"/>
  </r>
  <r>
    <x v="1"/>
    <d v="2024-10-14T00:00:00"/>
    <n v="48980"/>
    <n v="23468"/>
    <n v="42622"/>
    <n v="19842"/>
    <n v="134912"/>
    <n v="0.36305147058823528"/>
    <n v="0.31592445445920303"/>
    <n v="0.17395042694497154"/>
    <n v="0.14707364800759012"/>
    <n v="0.67897592504743831"/>
    <n v="0.32102407495256169"/>
  </r>
  <r>
    <x v="2"/>
    <d v="2024-10-15T00:00:00"/>
    <n v="53538"/>
    <n v="14136"/>
    <n v="24358"/>
    <n v="16624"/>
    <n v="108656"/>
    <n v="0.49272934766602855"/>
    <n v="0.22417537917832425"/>
    <n v="0.13009865999116477"/>
    <n v="0.1529966131644824"/>
    <n v="0.7169047268443528"/>
    <n v="0.2830952731556472"/>
  </r>
  <r>
    <x v="3"/>
    <d v="2024-10-16T00:00:00"/>
    <n v="49636"/>
    <n v="16367"/>
    <n v="32159"/>
    <n v="14556"/>
    <n v="112718"/>
    <n v="0.4403555776362249"/>
    <n v="0.2853049202434394"/>
    <n v="0.14520307315601766"/>
    <n v="0.12913642896431804"/>
    <n v="0.72566049787966425"/>
    <n v="0.2743395021203357"/>
  </r>
  <r>
    <x v="4"/>
    <d v="2024-10-17T00:00:00"/>
    <n v="29876"/>
    <n v="11480"/>
    <n v="24540"/>
    <n v="9267"/>
    <n v="75163"/>
    <n v="0.39748280403922143"/>
    <n v="0.32649042747096313"/>
    <n v="0.15273472320157525"/>
    <n v="0.12329204528824023"/>
    <n v="0.72397323151018456"/>
    <n v="0.27602676848981544"/>
  </r>
  <r>
    <x v="5"/>
    <d v="2024-10-18T00:00:00"/>
    <n v="38294"/>
    <n v="18670"/>
    <n v="48527"/>
    <n v="16469"/>
    <n v="121960"/>
    <n v="0.31398819285011481"/>
    <n v="0.39789275172187605"/>
    <n v="0.15308297802558216"/>
    <n v="0.13503607740242701"/>
    <n v="0.7118809445719908"/>
    <n v="0.2881190554280092"/>
  </r>
  <r>
    <x v="6"/>
    <d v="2024-10-19T00:00:00"/>
    <n v="39040"/>
    <n v="27793"/>
    <n v="44580"/>
    <n v="22205"/>
    <n v="133618"/>
    <n v="0.29217620380487658"/>
    <n v="0.33363768354563006"/>
    <n v="0.20800341271385592"/>
    <n v="0.16618269993563742"/>
    <n v="0.62581388735050669"/>
    <n v="0.37418611264949331"/>
  </r>
  <r>
    <x v="0"/>
    <d v="2024-10-20T00:00:00"/>
    <n v="36521"/>
    <n v="25272"/>
    <n v="55827"/>
    <n v="26169"/>
    <n v="143789"/>
    <n v="0.25399022178330749"/>
    <n v="0.38825640348009932"/>
    <n v="0.17575753360827323"/>
    <n v="0.18199584112831996"/>
    <n v="0.64224662526340681"/>
    <n v="0.35775337473659319"/>
  </r>
  <r>
    <x v="1"/>
    <d v="2024-10-21T00:00:00"/>
    <n v="47903"/>
    <n v="23055"/>
    <n v="63492"/>
    <n v="22676"/>
    <n v="157126"/>
    <n v="0.30486997696116491"/>
    <n v="0.40408334712269134"/>
    <n v="0.1467293764240164"/>
    <n v="0.14431729949212735"/>
    <n v="0.70895332408385625"/>
    <n v="0.29104667591614375"/>
  </r>
  <r>
    <x v="2"/>
    <d v="2024-10-22T00:00:00"/>
    <n v="55741"/>
    <n v="17261"/>
    <n v="33326"/>
    <n v="14329"/>
    <n v="120657"/>
    <n v="0.4619789983175448"/>
    <n v="0.2762044473176028"/>
    <n v="0.14305842180727185"/>
    <n v="0.11875813255758058"/>
    <n v="0.73818344563514759"/>
    <n v="0.26181655436485241"/>
  </r>
  <r>
    <x v="3"/>
    <d v="2024-10-23T00:00:00"/>
    <n v="40067"/>
    <n v="17516"/>
    <n v="32894"/>
    <n v="12703"/>
    <n v="103180"/>
    <n v="0.3883213801124249"/>
    <n v="0.3188020934289591"/>
    <n v="0.16976158170188022"/>
    <n v="0.1231149447567358"/>
    <n v="0.70712347354138394"/>
    <n v="0.292876526458616"/>
  </r>
  <r>
    <x v="4"/>
    <d v="2024-10-24T00:00:00"/>
    <n v="25384"/>
    <n v="12438"/>
    <n v="31067"/>
    <n v="12942"/>
    <n v="81831"/>
    <n v="0.31020029084332346"/>
    <n v="0.3796482995441825"/>
    <n v="0.1519961872639953"/>
    <n v="0.15815522234849874"/>
    <n v="0.68984859038750601"/>
    <n v="0.31015140961249404"/>
  </r>
  <r>
    <x v="5"/>
    <d v="2024-10-25T00:00:00"/>
    <n v="54720"/>
    <n v="22128"/>
    <n v="30132"/>
    <n v="22572"/>
    <n v="129552"/>
    <n v="0.42237865876250463"/>
    <n v="0.23258614301593183"/>
    <n v="0.17080400148203037"/>
    <n v="0.17423119673953316"/>
    <n v="0.65496480177843641"/>
    <n v="0.34503519822156353"/>
  </r>
  <r>
    <x v="6"/>
    <d v="2024-10-26T00:00:00"/>
    <n v="45200"/>
    <n v="21828"/>
    <n v="52333"/>
    <n v="23833"/>
    <n v="143194"/>
    <n v="0.31565568389736998"/>
    <n v="0.36546922357082001"/>
    <n v="0.15243655460424319"/>
    <n v="0.1664385379275668"/>
    <n v="0.68112490746818999"/>
    <n v="0.31887509253181001"/>
  </r>
  <r>
    <x v="0"/>
    <d v="2024-10-27T00:00:00"/>
    <n v="45200"/>
    <n v="21828"/>
    <n v="52333"/>
    <n v="23833"/>
    <n v="143194"/>
    <n v="0.31565568389736998"/>
    <n v="0.36546922357082001"/>
    <n v="0.15243655460424319"/>
    <n v="0.1664385379275668"/>
    <n v="0.68112490746818999"/>
    <n v="0.31887509253181001"/>
  </r>
  <r>
    <x v="1"/>
    <d v="2024-10-28T00:00:00"/>
    <n v="58013"/>
    <n v="23112"/>
    <n v="63953"/>
    <n v="20110"/>
    <n v="165188"/>
    <n v="0.35119379131656053"/>
    <n v="0.38715281981742017"/>
    <n v="0.13991331089425382"/>
    <n v="0.1217400779717655"/>
    <n v="0.7383466111339807"/>
    <n v="0.2616533888660193"/>
  </r>
  <r>
    <x v="2"/>
    <d v="2024-10-29T00:00:00"/>
    <n v="58641"/>
    <n v="18162"/>
    <n v="46141"/>
    <n v="15442"/>
    <n v="138386"/>
    <n v="0.42374951223389651"/>
    <n v="0.33342245602878906"/>
    <n v="0.13124159958377293"/>
    <n v="0.11158643215354154"/>
    <n v="0.75717196826268551"/>
    <n v="0.24282803173731446"/>
  </r>
  <r>
    <x v="3"/>
    <d v="2024-10-30T00:00:00"/>
    <n v="29984"/>
    <n v="17064"/>
    <n v="37333"/>
    <n v="15998"/>
    <n v="100379"/>
    <n v="0.29870789707010431"/>
    <n v="0.37192042160212796"/>
    <n v="0.16999571623546758"/>
    <n v="0.15937596509230018"/>
    <n v="0.67062831867223227"/>
    <n v="0.32937168132776778"/>
  </r>
  <r>
    <x v="4"/>
    <d v="2024-10-31T00:00:00"/>
    <n v="31907"/>
    <n v="15095"/>
    <n v="34031"/>
    <n v="14617"/>
    <n v="95650"/>
    <n v="0.33358076319916363"/>
    <n v="0.35578672242550968"/>
    <n v="0.15781495033978046"/>
    <n v="0.15281756403554625"/>
    <n v="0.68936748562467332"/>
    <n v="0.31063251437532668"/>
  </r>
  <r>
    <x v="5"/>
    <d v="2024-11-01T00:00:00"/>
    <n v="52405"/>
    <n v="16400"/>
    <n v="43168"/>
    <n v="12616"/>
    <n v="124589"/>
    <n v="0.42062300845178946"/>
    <n v="0.34648323688287086"/>
    <n v="0.13163280867492314"/>
    <n v="0.10126094599041649"/>
    <n v="0.76710624533466032"/>
    <n v="0.23289375466533963"/>
  </r>
  <r>
    <x v="6"/>
    <d v="2024-11-02T00:00:00"/>
    <n v="65063"/>
    <n v="26515"/>
    <n v="55668"/>
    <n v="20684"/>
    <n v="167930"/>
    <n v="0.38744119573631869"/>
    <n v="0.33149526588459477"/>
    <n v="0.15789316977311976"/>
    <n v="0.12317036860596677"/>
    <n v="0.71893646162091351"/>
    <n v="0.28106353837908654"/>
  </r>
  <r>
    <x v="0"/>
    <d v="2024-11-03T00:00:00"/>
    <n v="57891"/>
    <n v="25417"/>
    <n v="63250"/>
    <n v="28129"/>
    <n v="174687"/>
    <n v="0.33139844407425856"/>
    <n v="0.36207617052213387"/>
    <n v="0.14550023756776406"/>
    <n v="0.16102514783584354"/>
    <n v="0.69347461459639237"/>
    <n v="0.30652538540360758"/>
  </r>
  <r>
    <x v="1"/>
    <d v="2024-11-04T00:00:00"/>
    <n v="57818"/>
    <n v="22847"/>
    <n v="63117"/>
    <n v="18123"/>
    <n v="161905"/>
    <n v="0.35711065130786573"/>
    <n v="0.38983972082393997"/>
    <n v="0.14111361600938821"/>
    <n v="0.11193601185880608"/>
    <n v="0.74695037213180571"/>
    <n v="0.25304962786819429"/>
  </r>
  <r>
    <x v="2"/>
    <d v="2024-11-05T00:00:00"/>
    <n v="63863"/>
    <n v="22835"/>
    <n v="52239"/>
    <n v="15192"/>
    <n v="154129"/>
    <n v="0.41434772171362949"/>
    <n v="0.33893037650279961"/>
    <n v="0.14815511681773061"/>
    <n v="9.8566784965840301E-2"/>
    <n v="0.7532780982164291"/>
    <n v="0.2467219017835709"/>
  </r>
  <r>
    <x v="3"/>
    <d v="2024-11-06T00:00:00"/>
    <n v="45816"/>
    <n v="19514"/>
    <n v="36001"/>
    <n v="17461"/>
    <n v="118792"/>
    <n v="0.38568253754461579"/>
    <n v="0.30305912856084583"/>
    <n v="0.16427032123375312"/>
    <n v="0.14698801266078523"/>
    <n v="0.68874166610546161"/>
    <n v="0.31125833389453833"/>
  </r>
  <r>
    <x v="4"/>
    <d v="2024-11-07T00:00:00"/>
    <n v="51677"/>
    <n v="15595"/>
    <n v="28144"/>
    <n v="12522"/>
    <n v="107938"/>
    <n v="0.4787655876521707"/>
    <n v="0.2607422779743927"/>
    <n v="0.14448109099668327"/>
    <n v="0.11601104337675332"/>
    <n v="0.73950786562656334"/>
    <n v="0.2604921343734366"/>
  </r>
  <r>
    <x v="5"/>
    <d v="2024-11-08T00:00:00"/>
    <n v="51416"/>
    <n v="22591"/>
    <n v="63186"/>
    <n v="14339"/>
    <n v="151532"/>
    <n v="0.33930786896497112"/>
    <n v="0.41698123168703638"/>
    <n v="0.14908402185676953"/>
    <n v="9.4626877491222977E-2"/>
    <n v="0.7562891006520075"/>
    <n v="0.2437108993479925"/>
  </r>
  <r>
    <x v="6"/>
    <d v="2024-11-09T00:00:00"/>
    <n v="60144"/>
    <n v="36293"/>
    <n v="56065"/>
    <n v="21696"/>
    <n v="174198"/>
    <n v="0.3452622877415355"/>
    <n v="0.32184640466595482"/>
    <n v="0.20834337937289751"/>
    <n v="0.12454792821961216"/>
    <n v="0.66710869240749038"/>
    <n v="0.33289130759250968"/>
  </r>
  <r>
    <x v="0"/>
    <d v="2024-11-10T00:00:00"/>
    <n v="48896"/>
    <n v="31380"/>
    <n v="52352"/>
    <n v="21019"/>
    <n v="153647"/>
    <n v="0.31823595644561886"/>
    <n v="0.34072907378601602"/>
    <n v="0.204234381406731"/>
    <n v="0.13680058836163414"/>
    <n v="0.65896503023163489"/>
    <n v="0.34103496976836517"/>
  </r>
  <r>
    <x v="1"/>
    <d v="2024-11-11T00:00:00"/>
    <n v="62825"/>
    <n v="23308"/>
    <n v="53296"/>
    <n v="22742"/>
    <n v="162171"/>
    <n v="0.38739972004859069"/>
    <n v="0.32864075574547852"/>
    <n v="0.14372483366323202"/>
    <n v="0.14023469054269877"/>
    <n v="0.71604047579406926"/>
    <n v="0.28395952420593079"/>
  </r>
  <r>
    <x v="2"/>
    <d v="2024-11-12T00:00:00"/>
    <n v="59244"/>
    <n v="18657"/>
    <n v="50497"/>
    <n v="15069"/>
    <n v="143467"/>
    <n v="0.41294513720925369"/>
    <n v="0.35197641269420843"/>
    <n v="0.13004384283493764"/>
    <n v="0.10503460726160023"/>
    <n v="0.76492154990346217"/>
    <n v="0.23507845009653788"/>
  </r>
  <r>
    <x v="3"/>
    <d v="2024-11-13T00:00:00"/>
    <n v="46361"/>
    <n v="20951"/>
    <n v="36599"/>
    <n v="13133"/>
    <n v="117044"/>
    <n v="0.39609890297665834"/>
    <n v="0.31269437134752742"/>
    <n v="0.17900105943064146"/>
    <n v="0.11220566624517275"/>
    <n v="0.70879327432418582"/>
    <n v="0.29120672567581424"/>
  </r>
  <r>
    <x v="4"/>
    <d v="2024-11-14T00:00:00"/>
    <n v="41459"/>
    <n v="13100"/>
    <n v="29443"/>
    <n v="15048"/>
    <n v="99050"/>
    <n v="0.41856638061585055"/>
    <n v="0.29725391216557295"/>
    <n v="0.13225643614336194"/>
    <n v="0.15192327107521453"/>
    <n v="0.71582029278142356"/>
    <n v="0.28417970721857649"/>
  </r>
  <r>
    <x v="5"/>
    <d v="2024-11-15T00:00:00"/>
    <n v="46634"/>
    <n v="24048"/>
    <n v="54433"/>
    <n v="14606"/>
    <n v="139721"/>
    <n v="0.33376514625575254"/>
    <n v="0.38958352717200706"/>
    <n v="0.17211442803873434"/>
    <n v="0.10453689853350606"/>
    <n v="0.72334867342775966"/>
    <n v="0.2766513265722404"/>
  </r>
  <r>
    <x v="6"/>
    <d v="2024-11-16T00:00:00"/>
    <n v="44736"/>
    <n v="30935"/>
    <n v="58476"/>
    <n v="28295"/>
    <n v="162442"/>
    <n v="0.27539675699634331"/>
    <n v="0.35998079314463011"/>
    <n v="0.19043720220140112"/>
    <n v="0.1741852476576255"/>
    <n v="0.63537755014097341"/>
    <n v="0.36462244985902659"/>
  </r>
  <r>
    <x v="0"/>
    <d v="2024-11-17T00:00:00"/>
    <n v="55197"/>
    <n v="23646"/>
    <n v="49036"/>
    <n v="22371"/>
    <n v="150250"/>
    <n v="0.36736772046589017"/>
    <n v="0.32636272878535771"/>
    <n v="0.15737770382695507"/>
    <n v="0.14889184692179699"/>
    <n v="0.69373044925124794"/>
    <n v="0.30626955074875206"/>
  </r>
  <r>
    <x v="1"/>
    <d v="2024-11-18T00:00:00"/>
    <n v="46423"/>
    <n v="20256"/>
    <n v="52900"/>
    <n v="12684"/>
    <n v="132263"/>
    <n v="0.35099007280947808"/>
    <n v="0.39996068439397259"/>
    <n v="0.15314940686359754"/>
    <n v="9.5899835932951774E-2"/>
    <n v="0.75095075720345073"/>
    <n v="0.2490492427965493"/>
  </r>
  <r>
    <x v="2"/>
    <d v="2024-11-19T00:00:00"/>
    <n v="52906"/>
    <n v="22118"/>
    <n v="36888"/>
    <n v="11233"/>
    <n v="123145"/>
    <n v="0.42962361443826386"/>
    <n v="0.29954931178691785"/>
    <n v="0.17960940354866214"/>
    <n v="9.1217670226156164E-2"/>
    <n v="0.72917292622518171"/>
    <n v="0.27082707377481829"/>
  </r>
  <r>
    <x v="3"/>
    <d v="2024-11-20T00:00:00"/>
    <n v="37150"/>
    <n v="16931"/>
    <n v="24948"/>
    <n v="15093"/>
    <n v="94122"/>
    <n v="0.39470049510210153"/>
    <n v="0.26506024096385544"/>
    <n v="0.17988355538556342"/>
    <n v="0.16035570854847964"/>
    <n v="0.65976073606595698"/>
    <n v="0.34023926393404302"/>
  </r>
  <r>
    <x v="4"/>
    <d v="2024-11-21T00:00:00"/>
    <n v="31580"/>
    <n v="11058"/>
    <n v="31671"/>
    <n v="14982"/>
    <n v="89291"/>
    <n v="0.35367506243630376"/>
    <n v="0.35469420210323549"/>
    <n v="0.12384226853770257"/>
    <n v="0.16778846692275817"/>
    <n v="0.7083692645395393"/>
    <n v="0.29163073546046075"/>
  </r>
  <r>
    <x v="5"/>
    <d v="2024-11-22T00:00:00"/>
    <n v="48269"/>
    <n v="20193"/>
    <n v="49682"/>
    <n v="14562"/>
    <n v="132706"/>
    <n v="0.36372884421201757"/>
    <n v="0.37437644115563729"/>
    <n v="0.15216342893313037"/>
    <n v="0.10973128569921481"/>
    <n v="0.73810528536765485"/>
    <n v="0.2618947146323452"/>
  </r>
  <r>
    <x v="6"/>
    <d v="2024-11-23T00:00:00"/>
    <n v="48387"/>
    <n v="25940"/>
    <n v="43106"/>
    <n v="23200"/>
    <n v="140633"/>
    <n v="0.34406575981455279"/>
    <n v="0.30651411830793623"/>
    <n v="0.18445172896830758"/>
    <n v="0.1649683929092034"/>
    <n v="0.65057987812248907"/>
    <n v="0.34942012187751098"/>
  </r>
  <r>
    <x v="0"/>
    <d v="2024-11-24T00:00:00"/>
    <n v="42259"/>
    <n v="25472"/>
    <n v="56307"/>
    <n v="23083"/>
    <n v="147121"/>
    <n v="0.28723975503157267"/>
    <n v="0.38272578353871983"/>
    <n v="0.17313639793095478"/>
    <n v="0.15689806349875274"/>
    <n v="0.66996553857029251"/>
    <n v="0.33003446142970749"/>
  </r>
  <r>
    <x v="1"/>
    <d v="2024-11-25T00:00:00"/>
    <n v="57219"/>
    <n v="24758"/>
    <n v="46946"/>
    <n v="20735"/>
    <n v="149658"/>
    <n v="0.38233171631319407"/>
    <n v="0.31368854321185635"/>
    <n v="0.16543051490732202"/>
    <n v="0.13854922556762753"/>
    <n v="0.69602025952505042"/>
    <n v="0.30397974047494958"/>
  </r>
  <r>
    <x v="2"/>
    <d v="2024-11-26T00:00:00"/>
    <n v="43879"/>
    <n v="20778"/>
    <n v="30861"/>
    <n v="14483"/>
    <n v="110001"/>
    <n v="0.39889637366933028"/>
    <n v="0.28055199498186378"/>
    <n v="0.18888919191643713"/>
    <n v="0.1316624394323688"/>
    <n v="0.67944836865119407"/>
    <n v="0.32055163134880593"/>
  </r>
  <r>
    <x v="3"/>
    <d v="2024-11-27T00:00:00"/>
    <n v="36613"/>
    <n v="11419"/>
    <n v="30477"/>
    <n v="10579"/>
    <n v="89088"/>
    <n v="0.41097566451149425"/>
    <n v="0.34209994612068967"/>
    <n v="0.12817663433908047"/>
    <n v="0.11874775502873564"/>
    <n v="0.75307561063218387"/>
    <n v="0.24692438936781611"/>
  </r>
  <r>
    <x v="4"/>
    <d v="2024-11-28T00:00:00"/>
    <n v="0"/>
    <n v="0"/>
    <n v="0"/>
    <n v="0"/>
    <n v="0"/>
    <n v="0"/>
    <n v="0"/>
    <n v="0"/>
    <n v="0"/>
    <n v="0"/>
    <n v="0"/>
  </r>
  <r>
    <x v="5"/>
    <d v="2024-11-29T00:00:00"/>
    <n v="45505"/>
    <n v="20868"/>
    <n v="62467"/>
    <n v="13784"/>
    <n v="142624"/>
    <n v="0.31905569890060581"/>
    <n v="0.43798378954453671"/>
    <n v="0.14631478573031187"/>
    <n v="9.6645725824545656E-2"/>
    <n v="0.75703948844514246"/>
    <n v="0.24296051155485754"/>
  </r>
  <r>
    <x v="6"/>
    <d v="2024-11-30T00:00:00"/>
    <n v="40611"/>
    <n v="27548"/>
    <n v="67810"/>
    <n v="21551"/>
    <n v="157520"/>
    <n v="0.25781488065007618"/>
    <n v="0.43048501777552056"/>
    <n v="0.17488572879634331"/>
    <n v="0.13681437277805994"/>
    <n v="0.6882998984255968"/>
    <n v="0.31170010157440325"/>
  </r>
  <r>
    <x v="0"/>
    <d v="2024-12-01T00:00:00"/>
    <n v="35170"/>
    <n v="27774"/>
    <n v="53005"/>
    <n v="25451"/>
    <n v="141400"/>
    <n v="0.24872701555869872"/>
    <n v="0.37485855728429984"/>
    <n v="0.19642149929278643"/>
    <n v="0.179992927864215"/>
    <n v="0.62358557284299854"/>
    <n v="0.37641442715700141"/>
  </r>
  <r>
    <x v="1"/>
    <d v="2024-12-02T00:00:00"/>
    <n v="57873"/>
    <n v="24831"/>
    <n v="67404"/>
    <n v="18587"/>
    <n v="168695"/>
    <n v="0.34306292421233586"/>
    <n v="0.39956133851032927"/>
    <n v="0.14719464121639644"/>
    <n v="0.11018109606093839"/>
    <n v="0.74262426272266513"/>
    <n v="0.25737573727733482"/>
  </r>
  <r>
    <x v="2"/>
    <d v="2024-12-03T00:00:00"/>
    <n v="47085"/>
    <n v="21255"/>
    <n v="36730"/>
    <n v="11726"/>
    <n v="116796"/>
    <n v="0.4031388061234974"/>
    <n v="0.31447994794342271"/>
    <n v="0.18198397205383746"/>
    <n v="0.10039727387924244"/>
    <n v="0.71761875406692011"/>
    <n v="0.28238124593307989"/>
  </r>
  <r>
    <x v="3"/>
    <d v="2024-12-04T00:00:00"/>
    <n v="37429"/>
    <n v="21164"/>
    <n v="35168"/>
    <n v="18768"/>
    <n v="112529"/>
    <n v="0.3326164810848759"/>
    <n v="0.31252388273245119"/>
    <n v="0.1880759626407415"/>
    <n v="0.16678367354193141"/>
    <n v="0.64514036381732709"/>
    <n v="0.35485963618267291"/>
  </r>
  <r>
    <x v="4"/>
    <d v="2024-12-05T00:00:00"/>
    <n v="49876"/>
    <n v="15097"/>
    <n v="32681"/>
    <n v="16070"/>
    <n v="113724"/>
    <n v="0.43857057437304353"/>
    <n v="0.28737117934648798"/>
    <n v="0.13275122225739511"/>
    <n v="0.14130702402307341"/>
    <n v="0.72594175371953151"/>
    <n v="0.27405824628046849"/>
  </r>
  <r>
    <x v="5"/>
    <d v="2024-12-06T00:00:00"/>
    <n v="31354"/>
    <n v="21032"/>
    <n v="56481"/>
    <n v="14317"/>
    <n v="123184"/>
    <n v="0.2545298090661125"/>
    <n v="0.4585092219768801"/>
    <n v="0.17073645928042602"/>
    <n v="0.11622450967658138"/>
    <n v="0.7130390310429926"/>
    <n v="0.2869609689570074"/>
  </r>
  <r>
    <x v="6"/>
    <d v="2024-12-07T00:00:00"/>
    <n v="56022"/>
    <n v="30116"/>
    <n v="64774"/>
    <n v="21180"/>
    <n v="172092"/>
    <n v="0.32553517885782024"/>
    <n v="0.37639169746414708"/>
    <n v="0.17499941891546383"/>
    <n v="0.12307370476256886"/>
    <n v="0.70192687632196737"/>
    <n v="0.29807312367803268"/>
  </r>
  <r>
    <x v="0"/>
    <d v="2024-12-08T00:00:00"/>
    <n v="46143"/>
    <n v="25834"/>
    <n v="62514"/>
    <n v="27342"/>
    <n v="161833"/>
    <n v="0.2851272608182509"/>
    <n v="0.38628709842862702"/>
    <n v="0.1596336964648743"/>
    <n v="0.16895194428824775"/>
    <n v="0.67141435924687798"/>
    <n v="0.32858564075312202"/>
  </r>
  <r>
    <x v="1"/>
    <d v="2024-12-09T00:00:00"/>
    <n v="52273"/>
    <n v="23369"/>
    <n v="63755"/>
    <n v="16278"/>
    <n v="155675"/>
    <n v="0.3357828810020877"/>
    <n v="0.4095391039023607"/>
    <n v="0.15011401959209891"/>
    <n v="0.1045639955034527"/>
    <n v="0.74532198490444834"/>
    <n v="0.25467801509555166"/>
  </r>
  <r>
    <x v="2"/>
    <d v="2024-12-10T00:00:00"/>
    <n v="52393"/>
    <n v="17043"/>
    <n v="36790"/>
    <n v="12098"/>
    <n v="118324"/>
    <n v="0.44279267097123154"/>
    <n v="0.31092593218620063"/>
    <n v="0.14403671275480884"/>
    <n v="0.10224468408775904"/>
    <n v="0.75371860315743211"/>
    <n v="0.24628139684256786"/>
  </r>
  <r>
    <x v="3"/>
    <d v="2024-12-11T00:00:00"/>
    <n v="33659"/>
    <n v="15085"/>
    <n v="30117"/>
    <n v="13023"/>
    <n v="91884"/>
    <n v="0.36632057812023855"/>
    <n v="0.32777197335771191"/>
    <n v="0.16417439380087936"/>
    <n v="0.14173305472117018"/>
    <n v="0.69409255147795046"/>
    <n v="0.30590744852204954"/>
  </r>
  <r>
    <x v="4"/>
    <d v="2024-12-12T00:00:00"/>
    <n v="25276"/>
    <n v="12461"/>
    <n v="27267"/>
    <n v="12100"/>
    <n v="77104"/>
    <n v="0.32781697447603236"/>
    <n v="0.35363924050632911"/>
    <n v="0.16161288649097322"/>
    <n v="0.15693089852666528"/>
    <n v="0.68145621498236153"/>
    <n v="0.31854378501763853"/>
  </r>
  <r>
    <x v="5"/>
    <d v="2024-12-13T00:00:00"/>
    <n v="32414"/>
    <n v="13986"/>
    <n v="57433"/>
    <n v="14331"/>
    <n v="118164"/>
    <n v="0.27431366575268273"/>
    <n v="0.48604481906502828"/>
    <n v="0.11836092210825633"/>
    <n v="0.1212805930740327"/>
    <n v="0.76035848481771096"/>
    <n v="0.23964151518228902"/>
  </r>
  <r>
    <x v="6"/>
    <d v="2024-12-14T00:00:00"/>
    <n v="43123"/>
    <n v="26395"/>
    <n v="60748"/>
    <n v="25822"/>
    <n v="156088"/>
    <n v="0.27627364051048126"/>
    <n v="0.38919071293116703"/>
    <n v="0.16910332632873765"/>
    <n v="0.16543232022961407"/>
    <n v="0.66546435344164834"/>
    <n v="0.33453564655835172"/>
  </r>
  <r>
    <x v="0"/>
    <d v="2024-12-15T00:00:00"/>
    <n v="43378"/>
    <n v="26711"/>
    <n v="43861"/>
    <n v="18324"/>
    <n v="132274"/>
    <n v="0.32794048717057017"/>
    <n v="0.33159199842750653"/>
    <n v="0.20193688857976624"/>
    <n v="0.13853062582215703"/>
    <n v="0.65953248559807676"/>
    <n v="0.3404675144019233"/>
  </r>
  <r>
    <x v="1"/>
    <d v="2024-12-16T00:00:00"/>
    <n v="38013"/>
    <n v="18126"/>
    <n v="43788"/>
    <n v="14216"/>
    <n v="114143"/>
    <n v="0.33302962073889769"/>
    <n v="0.38362405053310322"/>
    <n v="0.15880080250212453"/>
    <n v="0.12454552622587456"/>
    <n v="0.71665367127200086"/>
    <n v="0.28334632872799909"/>
  </r>
  <r>
    <x v="2"/>
    <d v="2024-12-17T00:00:00"/>
    <n v="34232"/>
    <n v="17047"/>
    <n v="36751"/>
    <n v="12436"/>
    <n v="100466"/>
    <n v="0.34073218800390181"/>
    <n v="0.3658053470825951"/>
    <n v="0.16967929448768737"/>
    <n v="0.1237831704258157"/>
    <n v="0.70653753508649697"/>
    <n v="0.29346246491350308"/>
  </r>
  <r>
    <x v="3"/>
    <d v="2024-12-18T00:00:00"/>
    <n v="32038"/>
    <n v="14004"/>
    <n v="21599"/>
    <n v="12852"/>
    <n v="80493"/>
    <n v="0.39802218826481806"/>
    <n v="0.26833389238815797"/>
    <n v="0.17397786142894414"/>
    <n v="0.15966605791807983"/>
    <n v="0.66635608065297602"/>
    <n v="0.33364391934702398"/>
  </r>
  <r>
    <x v="4"/>
    <d v="2024-12-19T00:00:00"/>
    <n v="19797"/>
    <n v="11916"/>
    <n v="19665"/>
    <n v="13284"/>
    <n v="64662"/>
    <n v="0.30616126936995453"/>
    <n v="0.3041198849401503"/>
    <n v="0.18428133989050757"/>
    <n v="0.20543750579938758"/>
    <n v="0.61028115431010488"/>
    <n v="0.38971884568989512"/>
  </r>
  <r>
    <x v="5"/>
    <d v="2024-12-20T00:00:00"/>
    <n v="30230"/>
    <n v="20470"/>
    <n v="38134"/>
    <n v="8149"/>
    <n v="96983"/>
    <n v="0.3117041130919852"/>
    <n v="0.39320293247270138"/>
    <n v="0.21106791911984574"/>
    <n v="8.4025035315467664E-2"/>
    <n v="0.70490704556468664"/>
    <n v="0.29509295443531341"/>
  </r>
  <r>
    <x v="6"/>
    <d v="2024-12-21T00:00:00"/>
    <n v="42812"/>
    <n v="24345"/>
    <n v="17074"/>
    <n v="21641"/>
    <n v="105872"/>
    <n v="0.40437509445367992"/>
    <n v="0.16127021308750189"/>
    <n v="0.22994748375396706"/>
    <n v="0.20440720870485113"/>
    <n v="0.56564530754118181"/>
    <n v="0.43435469245881819"/>
  </r>
  <r>
    <x v="0"/>
    <d v="2024-12-22T00:00:00"/>
    <n v="35296"/>
    <n v="18469"/>
    <n v="18442"/>
    <n v="25068"/>
    <n v="97275"/>
    <n v="0.36284759701876124"/>
    <n v="0.18958622462092006"/>
    <n v="0.18986378822924699"/>
    <n v="0.25770239013107171"/>
    <n v="0.55243382163968136"/>
    <n v="0.4475661783603187"/>
  </r>
  <r>
    <x v="1"/>
    <d v="2024-12-23T00:00:00"/>
    <n v="41592"/>
    <n v="20637"/>
    <n v="39622"/>
    <n v="21875"/>
    <n v="123726"/>
    <n v="0.33616216478347316"/>
    <n v="0.32023988490697186"/>
    <n v="0.16679598467581591"/>
    <n v="0.17680196563373907"/>
    <n v="0.65640204969044502"/>
    <n v="0.34359795030955498"/>
  </r>
  <r>
    <x v="2"/>
    <d v="2024-12-24T00:00:00"/>
    <n v="42545"/>
    <n v="15845"/>
    <n v="7721"/>
    <n v="6480"/>
    <n v="72591"/>
    <n v="0.58609193977214802"/>
    <n v="0.10636304776074169"/>
    <n v="0.21827774793018417"/>
    <n v="8.9267264536926072E-2"/>
    <n v="0.6924549875328897"/>
    <n v="0.30754501246711025"/>
  </r>
  <r>
    <x v="3"/>
    <d v="2024-12-25T00:00:00"/>
    <n v="0"/>
    <n v="0"/>
    <n v="0"/>
    <n v="0"/>
    <n v="0"/>
    <n v="0"/>
    <n v="0"/>
    <n v="0"/>
    <n v="0"/>
    <n v="0"/>
    <n v="0"/>
  </r>
  <r>
    <x v="4"/>
    <d v="2024-12-26T00:00:00"/>
    <n v="24309"/>
    <n v="13402"/>
    <n v="20406"/>
    <n v="10373"/>
    <n v="68490"/>
    <n v="0.35492772667542705"/>
    <n v="0.29794130530004381"/>
    <n v="0.19567820119725507"/>
    <n v="0.15145276682727404"/>
    <n v="0.65286903197547086"/>
    <n v="0.34713096802452914"/>
  </r>
  <r>
    <x v="5"/>
    <d v="2024-12-27T00:00:00"/>
    <n v="37536"/>
    <n v="15494"/>
    <n v="32383"/>
    <n v="15835"/>
    <n v="101248"/>
    <n v="0.37073324905183314"/>
    <n v="0.31983841656131479"/>
    <n v="0.15303018331226295"/>
    <n v="0.15639815107458913"/>
    <n v="0.69057166561314787"/>
    <n v="0.30942833438685208"/>
  </r>
  <r>
    <x v="6"/>
    <d v="2024-12-28T00:00:00"/>
    <n v="19086"/>
    <n v="19103"/>
    <n v="40262"/>
    <n v="16798"/>
    <n v="95249"/>
    <n v="0.20038005648353263"/>
    <n v="0.4227026005522368"/>
    <n v="0.20055853604762255"/>
    <n v="0.17635880691660805"/>
    <n v="0.62308265703576937"/>
    <n v="0.37691734296423057"/>
  </r>
  <r>
    <x v="0"/>
    <d v="2024-12-29T00:00:00"/>
    <n v="26267"/>
    <n v="19988"/>
    <n v="35377"/>
    <n v="21130"/>
    <n v="102762"/>
    <n v="0.25561005040773827"/>
    <n v="0.34426149744068818"/>
    <n v="0.1945076973978708"/>
    <n v="0.20562075475370273"/>
    <n v="0.59987154784842645"/>
    <n v="0.40012845215157355"/>
  </r>
  <r>
    <x v="1"/>
    <d v="2024-12-30T00:00:00"/>
    <n v="42067"/>
    <n v="15319"/>
    <n v="47131"/>
    <n v="19225"/>
    <n v="123742"/>
    <n v="0.33995733057490585"/>
    <n v="0.38088118827883821"/>
    <n v="0.12379790208659953"/>
    <n v="0.15536357905965639"/>
    <n v="0.72083851885374406"/>
    <n v="0.27916148114625594"/>
  </r>
  <r>
    <x v="2"/>
    <d v="2024-12-31T00:00:00"/>
    <n v="28294"/>
    <n v="18954"/>
    <n v="0"/>
    <n v="0"/>
    <n v="47248"/>
    <n v="0.5988401625465628"/>
    <n v="0"/>
    <n v="0.4011598374534372"/>
    <n v="0"/>
    <n v="0.5988401625465628"/>
    <n v="0.4011598374534372"/>
  </r>
  <r>
    <x v="3"/>
    <d v="2025-01-01T00:00:00"/>
    <n v="0"/>
    <n v="0"/>
    <n v="46467"/>
    <n v="18103"/>
    <n v="64570"/>
    <n v="0"/>
    <n v="0.71963760260182752"/>
    <n v="0"/>
    <n v="0.28036239739817254"/>
    <n v="0.71963760260182752"/>
    <n v="0.28036239739817254"/>
  </r>
  <r>
    <x v="4"/>
    <d v="2025-01-02T00:00:00"/>
    <n v="19795"/>
    <n v="16936"/>
    <n v="27969"/>
    <n v="10425"/>
    <n v="75125"/>
    <n v="0.26349417637271216"/>
    <n v="0.37229950083194674"/>
    <n v="0.22543760399334442"/>
    <n v="0.13876871880199668"/>
    <n v="0.63579367720465885"/>
    <n v="0.3642063227953411"/>
  </r>
  <r>
    <x v="5"/>
    <d v="2025-01-03T00:00:00"/>
    <n v="46390"/>
    <n v="24195"/>
    <n v="30422"/>
    <n v="11280"/>
    <n v="112287"/>
    <n v="0.41313776305360372"/>
    <n v="0.27093073997880429"/>
    <n v="0.21547463196986294"/>
    <n v="0.10045686499772903"/>
    <n v="0.68406850303240807"/>
    <n v="0.31593149696759198"/>
  </r>
  <r>
    <x v="6"/>
    <d v="2025-01-04T00:00:00"/>
    <n v="40420"/>
    <n v="25376"/>
    <n v="30214"/>
    <n v="17770"/>
    <n v="113780"/>
    <n v="0.35524696783265952"/>
    <n v="0.26554754789945512"/>
    <n v="0.22302689400597644"/>
    <n v="0.15617859026190895"/>
    <n v="0.62079451573211464"/>
    <n v="0.37920548426788542"/>
  </r>
  <r>
    <x v="0"/>
    <d v="2025-01-05T00:00:00"/>
    <n v="14026"/>
    <n v="7641"/>
    <n v="0"/>
    <n v="0"/>
    <n v="21667"/>
    <n v="0.64734388701712287"/>
    <n v="0"/>
    <n v="0.35265611298287719"/>
    <n v="0"/>
    <n v="0.64734388701712287"/>
    <n v="0.35265611298287719"/>
  </r>
  <r>
    <x v="1"/>
    <d v="2025-01-06T00:00:00"/>
    <n v="0"/>
    <n v="0"/>
    <n v="27976"/>
    <n v="18817"/>
    <n v="46793"/>
    <n v="0"/>
    <n v="0.59786720235932722"/>
    <n v="0"/>
    <n v="0.40213279764067272"/>
    <n v="0.59786720235932722"/>
    <n v="0.40213279764067272"/>
  </r>
  <r>
    <x v="2"/>
    <d v="2025-01-07T00:00:00"/>
    <n v="31496"/>
    <n v="17767"/>
    <n v="26430"/>
    <n v="15735"/>
    <n v="91428"/>
    <n v="0.34448965306033164"/>
    <n v="0.28907993174957342"/>
    <n v="0.19432777704860654"/>
    <n v="0.17210263814148838"/>
    <n v="0.63356958480990511"/>
    <n v="0.36643041519009495"/>
  </r>
  <r>
    <x v="3"/>
    <d v="2025-01-08T00:00:00"/>
    <n v="31207"/>
    <n v="22251"/>
    <n v="46690"/>
    <n v="14070"/>
    <n v="114218"/>
    <n v="0.27322313470731407"/>
    <n v="0.40877970197341923"/>
    <n v="0.1948116759179814"/>
    <n v="0.12318548740128527"/>
    <n v="0.68200283668073336"/>
    <n v="0.31799716331926664"/>
  </r>
  <r>
    <x v="4"/>
    <d v="2025-01-09T00:00:00"/>
    <n v="36917"/>
    <n v="17303"/>
    <n v="31802"/>
    <n v="12515"/>
    <n v="98537"/>
    <n v="0.37465114626992907"/>
    <n v="0.32274171123537354"/>
    <n v="0.17559901356850727"/>
    <n v="0.12700812892619015"/>
    <n v="0.69739285750530255"/>
    <n v="0.30260714249469745"/>
  </r>
  <r>
    <x v="5"/>
    <d v="2025-01-10T00:00:00"/>
    <n v="40924"/>
    <n v="17029"/>
    <n v="23226"/>
    <n v="15198"/>
    <n v="96377"/>
    <n v="0.42462413231372631"/>
    <n v="0.24099110783693206"/>
    <n v="0.1766915342872262"/>
    <n v="0.15769322556211543"/>
    <n v="0.66561524015065832"/>
    <n v="0.33438475984934163"/>
  </r>
  <r>
    <x v="6"/>
    <d v="2025-01-11T00:00:00"/>
    <n v="44936"/>
    <n v="24571"/>
    <n v="44724"/>
    <n v="22666"/>
    <n v="136897"/>
    <n v="0.3282467840785408"/>
    <n v="0.32669817453998262"/>
    <n v="0.17948530647128863"/>
    <n v="0.16556973491018795"/>
    <n v="0.65494495861852342"/>
    <n v="0.34505504138147658"/>
  </r>
  <r>
    <x v="0"/>
    <d v="2025-01-12T00:00:00"/>
    <n v="41254"/>
    <n v="23884"/>
    <n v="40660"/>
    <n v="29669"/>
    <n v="135467"/>
    <n v="0.30453173097507141"/>
    <n v="0.30014689924483451"/>
    <n v="0.17630862128784133"/>
    <n v="0.21901274849225272"/>
    <n v="0.60467863021990598"/>
    <n v="0.39532136978009402"/>
  </r>
  <r>
    <x v="1"/>
    <d v="2025-01-13T00:00:00"/>
    <n v="45619"/>
    <n v="19914"/>
    <n v="39832"/>
    <n v="22802"/>
    <n v="128167"/>
    <n v="0.35593405478789392"/>
    <n v="0.31078202657470333"/>
    <n v="0.15537540864653149"/>
    <n v="0.17790850999087129"/>
    <n v="0.66671608136259719"/>
    <n v="0.33328391863740275"/>
  </r>
  <r>
    <x v="2"/>
    <d v="2025-01-14T00:00:00"/>
    <n v="47056"/>
    <n v="23874"/>
    <n v="44177"/>
    <n v="18107"/>
    <n v="133214"/>
    <n v="0.3532361463509841"/>
    <n v="0.33162430375185792"/>
    <n v="0.179215397781014"/>
    <n v="0.13592415211614395"/>
    <n v="0.68486045010284202"/>
    <n v="0.31513954989715798"/>
  </r>
  <r>
    <x v="3"/>
    <d v="2025-01-15T00:00:00"/>
    <n v="34561"/>
    <n v="21246"/>
    <n v="17981"/>
    <n v="11572"/>
    <n v="85360"/>
    <n v="0.40488519212746016"/>
    <n v="0.21064901593252108"/>
    <n v="0.24889878163074039"/>
    <n v="0.13556701030927834"/>
    <n v="0.61553420805998127"/>
    <n v="0.38446579194001873"/>
  </r>
  <r>
    <x v="4"/>
    <d v="2025-01-16T00:00:00"/>
    <n v="25028"/>
    <n v="19944"/>
    <n v="27905"/>
    <n v="9680"/>
    <n v="82557"/>
    <n v="0.30316024080332377"/>
    <n v="0.3380088908269438"/>
    <n v="0.24157854573203968"/>
    <n v="0.11725232263769275"/>
    <n v="0.64116913163026756"/>
    <n v="0.35883086836973244"/>
  </r>
  <r>
    <x v="5"/>
    <d v="2025-01-17T00:00:00"/>
    <n v="35698"/>
    <n v="15099"/>
    <n v="36073"/>
    <n v="15315"/>
    <n v="102185"/>
    <n v="0.34934677300973727"/>
    <n v="0.35301658756177523"/>
    <n v="0.14776141312325683"/>
    <n v="0.1498752263052307"/>
    <n v="0.7023633605715125"/>
    <n v="0.29763663942848756"/>
  </r>
  <r>
    <x v="6"/>
    <d v="2025-01-18T00:00:00"/>
    <n v="46993"/>
    <n v="21712"/>
    <n v="33761"/>
    <n v="19967"/>
    <n v="122433"/>
    <n v="0.38382625599307374"/>
    <n v="0.2757508188151887"/>
    <n v="0.17733780925077389"/>
    <n v="0.16308511594096362"/>
    <n v="0.65957707480826244"/>
    <n v="0.3404229251917375"/>
  </r>
  <r>
    <x v="0"/>
    <d v="2025-01-19T00:00:00"/>
    <n v="36565"/>
    <n v="25117"/>
    <n v="44955"/>
    <n v="24268"/>
    <n v="130905"/>
    <n v="0.27932470111913221"/>
    <n v="0.34341698178068064"/>
    <n v="0.19187196822122912"/>
    <n v="0.18538634887895802"/>
    <n v="0.6227416828998128"/>
    <n v="0.37725831710018715"/>
  </r>
  <r>
    <x v="1"/>
    <d v="2025-01-20T00:00:00"/>
    <n v="41305"/>
    <n v="17831"/>
    <n v="34461"/>
    <n v="19377"/>
    <n v="112974"/>
    <n v="0.36561509727901997"/>
    <n v="0.30503478676509638"/>
    <n v="0.15783277568290049"/>
    <n v="0.17151734027298315"/>
    <n v="0.6706498840441163"/>
    <n v="0.32935011595588365"/>
  </r>
  <r>
    <x v="2"/>
    <d v="2025-01-21T00:00:00"/>
    <n v="29251"/>
    <n v="12807"/>
    <n v="28192"/>
    <n v="12198"/>
    <n v="82448"/>
    <n v="0.35478119542014358"/>
    <n v="0.34193673588201046"/>
    <n v="0.15533427129827285"/>
    <n v="0.14794779739957306"/>
    <n v="0.69671793130215409"/>
    <n v="0.30328206869784591"/>
  </r>
  <r>
    <x v="3"/>
    <d v="2025-01-22T00:00:00"/>
    <n v="39205"/>
    <n v="12940"/>
    <n v="14935"/>
    <n v="10186"/>
    <n v="77266"/>
    <n v="0.50740299743742401"/>
    <n v="0.19329329847539667"/>
    <n v="0.16747340356689877"/>
    <n v="0.13183030052028058"/>
    <n v="0.70069629591282068"/>
    <n v="0.29930370408717938"/>
  </r>
  <r>
    <x v="4"/>
    <d v="2025-01-23T00:00:00"/>
    <n v="30319"/>
    <n v="9223"/>
    <n v="15136"/>
    <n v="11569"/>
    <n v="66247"/>
    <n v="0.45766600751732156"/>
    <n v="0.22847827071414556"/>
    <n v="0.13922139870484701"/>
    <n v="0.1746343230636859"/>
    <n v="0.68614427823146706"/>
    <n v="0.31385572176853294"/>
  </r>
  <r>
    <x v="5"/>
    <d v="2025-01-24T00:00:00"/>
    <n v="31275"/>
    <n v="17084"/>
    <n v="39233"/>
    <n v="12550"/>
    <n v="100142"/>
    <n v="0.31230652473487647"/>
    <n v="0.39177368137245111"/>
    <n v="0.1705977511933055"/>
    <n v="0.12532204269936689"/>
    <n v="0.70408020610732758"/>
    <n v="0.29591979389267242"/>
  </r>
  <r>
    <x v="6"/>
    <d v="2025-01-25T00:00:00"/>
    <n v="37541"/>
    <n v="25670"/>
    <n v="51120"/>
    <n v="24178"/>
    <n v="138509"/>
    <n v="0.27103653914186082"/>
    <n v="0.36907348980932647"/>
    <n v="0.18533091712451899"/>
    <n v="0.17455905392429372"/>
    <n v="0.64011002895118729"/>
    <n v="0.35988997104881271"/>
  </r>
  <r>
    <x v="0"/>
    <d v="2025-01-26T00:00:00"/>
    <n v="28760"/>
    <n v="23680"/>
    <n v="56928"/>
    <n v="20674"/>
    <n v="130042"/>
    <n v="0.2211593177588779"/>
    <n v="0.43776626013134218"/>
    <n v="0.1820950154565448"/>
    <n v="0.15897940665323512"/>
    <n v="0.6589255778902201"/>
    <n v="0.3410744221097799"/>
  </r>
  <r>
    <x v="1"/>
    <d v="2025-01-27T00:00:00"/>
    <n v="33424"/>
    <n v="20989"/>
    <n v="44448"/>
    <n v="16159"/>
    <n v="115020"/>
    <n v="0.29059294035819855"/>
    <n v="0.38643714136671881"/>
    <n v="0.18248130759867848"/>
    <n v="0.14048861067640411"/>
    <n v="0.67703008172491741"/>
    <n v="0.32296991827508259"/>
  </r>
  <r>
    <x v="2"/>
    <d v="2025-01-28T00:00:00"/>
    <n v="48484"/>
    <n v="18832"/>
    <n v="36081"/>
    <n v="17130"/>
    <n v="120527"/>
    <n v="0.40226671202303216"/>
    <n v="0.29936030930828778"/>
    <n v="0.15624714794195491"/>
    <n v="0.14212583072672513"/>
    <n v="0.70162702133131993"/>
    <n v="0.29837297866868007"/>
  </r>
  <r>
    <x v="3"/>
    <d v="2025-01-29T00:00:00"/>
    <n v="41508"/>
    <n v="15480"/>
    <n v="21315"/>
    <n v="13278"/>
    <n v="91581"/>
    <n v="0.45323811707668621"/>
    <n v="0.23274478330658105"/>
    <n v="0.16903069413961411"/>
    <n v="0.14498640547711861"/>
    <n v="0.68598290038326726"/>
    <n v="0.31401709961673274"/>
  </r>
  <r>
    <x v="4"/>
    <d v="2025-01-30T00:00:00"/>
    <n v="29896"/>
    <n v="9854"/>
    <n v="14540"/>
    <n v="9118"/>
    <n v="63408"/>
    <n v="0.47148624779207671"/>
    <n v="0.22930860459248045"/>
    <n v="0.15540625788544032"/>
    <n v="0.14379888973000252"/>
    <n v="0.70079485238455719"/>
    <n v="0.29920514761544287"/>
  </r>
  <r>
    <x v="5"/>
    <d v="2025-01-31T00:00:00"/>
    <n v="43835"/>
    <n v="19683"/>
    <n v="31976"/>
    <n v="14256"/>
    <n v="109750"/>
    <n v="0.39940774487471525"/>
    <n v="0.2913530751708428"/>
    <n v="0.17934396355353074"/>
    <n v="0.12989521640091117"/>
    <n v="0.69076082004555805"/>
    <n v="0.30923917995444189"/>
  </r>
  <r>
    <x v="6"/>
    <d v="2025-02-01T00:00:00"/>
    <n v="47833"/>
    <n v="23366"/>
    <n v="36580"/>
    <n v="23890"/>
    <n v="131669"/>
    <n v="0.36328216968306892"/>
    <n v="0.27781786145561976"/>
    <n v="0.17746014627588877"/>
    <n v="0.18143982258542254"/>
    <n v="0.64110003113868863"/>
    <n v="0.35889996886131131"/>
  </r>
  <r>
    <x v="0"/>
    <d v="2025-02-02T00:00:00"/>
    <n v="52216"/>
    <n v="21923"/>
    <n v="46898"/>
    <n v="24250"/>
    <n v="145287"/>
    <n v="0.35939898270320125"/>
    <n v="0.32279557014736349"/>
    <n v="0.15089443652907694"/>
    <n v="0.16691101062035832"/>
    <n v="0.68219455285056474"/>
    <n v="0.31780544714943526"/>
  </r>
  <r>
    <x v="1"/>
    <d v="2025-02-03T00:00:00"/>
    <n v="34459"/>
    <n v="22309"/>
    <n v="37945"/>
    <n v="15115"/>
    <n v="109828"/>
    <n v="0.31375423389299634"/>
    <n v="0.34549477364606473"/>
    <n v="0.20312670721491788"/>
    <n v="0.13762428524602105"/>
    <n v="0.65924900753906113"/>
    <n v="0.34075099246093893"/>
  </r>
  <r>
    <x v="2"/>
    <d v="2025-02-04T00:00:00"/>
    <n v="40131"/>
    <n v="19188"/>
    <n v="40406"/>
    <n v="14433"/>
    <n v="114158"/>
    <n v="0.35153909493859387"/>
    <n v="0.35394803693127069"/>
    <n v="0.16808283256539183"/>
    <n v="0.12643003556474361"/>
    <n v="0.70548713186986456"/>
    <n v="0.29451286813013544"/>
  </r>
  <r>
    <x v="3"/>
    <d v="2025-02-05T00:00:00"/>
    <n v="38498"/>
    <n v="14604"/>
    <n v="29097"/>
    <n v="13577"/>
    <n v="95776"/>
    <n v="0.40195873705312396"/>
    <n v="0.30380262278650183"/>
    <n v="0.1524807885065152"/>
    <n v="0.14175785165385901"/>
    <n v="0.70576135983962585"/>
    <n v="0.29423864016037421"/>
  </r>
  <r>
    <x v="4"/>
    <d v="2025-02-06T00:00:00"/>
    <n v="24655"/>
    <n v="17145"/>
    <n v="27940"/>
    <n v="8671"/>
    <n v="78411"/>
    <n v="0.31443292395199651"/>
    <n v="0.35632755608269245"/>
    <n v="0.21865554577801585"/>
    <n v="0.11058397418729515"/>
    <n v="0.67076048003468902"/>
    <n v="0.32923951996531098"/>
  </r>
  <r>
    <x v="5"/>
    <d v="2025-02-07T00:00:00"/>
    <n v="31583"/>
    <n v="18796"/>
    <n v="45163"/>
    <n v="10885"/>
    <n v="106427"/>
    <n v="0.2967574017871405"/>
    <n v="0.42435660123840757"/>
    <n v="0.17660931906377142"/>
    <n v="0.10227667791068056"/>
    <n v="0.72111400302554807"/>
    <n v="0.27888599697445199"/>
  </r>
  <r>
    <x v="6"/>
    <d v="2025-02-08T00:00:00"/>
    <n v="30913"/>
    <n v="28743"/>
    <n v="41229"/>
    <n v="21281"/>
    <n v="122166"/>
    <n v="0.25304094428891838"/>
    <n v="0.33748342419331073"/>
    <n v="0.23527822798487305"/>
    <n v="0.17419740353289787"/>
    <n v="0.59052436848222911"/>
    <n v="0.40947563151777089"/>
  </r>
  <r>
    <x v="0"/>
    <d v="2025-02-09T00:00:00"/>
    <n v="43863"/>
    <n v="23313"/>
    <n v="30607"/>
    <n v="14682"/>
    <n v="112465"/>
    <n v="0.39001467123104966"/>
    <n v="0.27214689014360022"/>
    <n v="0.20729115724892189"/>
    <n v="0.13054728137642821"/>
    <n v="0.66216156137464988"/>
    <n v="0.33783843862535012"/>
  </r>
  <r>
    <x v="1"/>
    <d v="2025-02-10T00:00:00"/>
    <n v="39640"/>
    <n v="22153"/>
    <n v="49580"/>
    <n v="21521"/>
    <n v="132894"/>
    <n v="0.29828284196427229"/>
    <n v="0.3730792962812467"/>
    <n v="0.16669676584345419"/>
    <n v="0.16194109591102684"/>
    <n v="0.67136213824551894"/>
    <n v="0.32863786175448101"/>
  </r>
  <r>
    <x v="2"/>
    <d v="2025-02-11T00:00:00"/>
    <n v="43663"/>
    <n v="22260"/>
    <n v="22818"/>
    <n v="17317"/>
    <n v="106058"/>
    <n v="0.411689830092968"/>
    <n v="0.2151464293122631"/>
    <n v="0.20988515717814782"/>
    <n v="0.1632785834166211"/>
    <n v="0.62683625940523113"/>
    <n v="0.37316374059476892"/>
  </r>
  <r>
    <x v="3"/>
    <d v="2025-02-12T00:00:00"/>
    <n v="28436"/>
    <n v="11400"/>
    <n v="21405"/>
    <n v="10278"/>
    <n v="71519"/>
    <n v="0.3976006375928075"/>
    <n v="0.29929109747060223"/>
    <n v="0.15939820187642445"/>
    <n v="0.14371006306016584"/>
    <n v="0.69689173506340973"/>
    <n v="0.30310826493659027"/>
  </r>
  <r>
    <x v="4"/>
    <d v="2025-02-13T00:00:00"/>
    <n v="30062"/>
    <n v="13686"/>
    <n v="15042"/>
    <n v="14353"/>
    <n v="73143"/>
    <n v="0.41100310350956348"/>
    <n v="0.20565194208605062"/>
    <n v="0.18711291579508635"/>
    <n v="0.19623203860929958"/>
    <n v="0.61665504559561413"/>
    <n v="0.38334495440438593"/>
  </r>
  <r>
    <x v="5"/>
    <d v="2025-02-14T00:00:00"/>
    <n v="52139"/>
    <n v="15552"/>
    <n v="14828"/>
    <n v="12374"/>
    <n v="94893"/>
    <n v="0.5494504336463174"/>
    <n v="0.15626020886682895"/>
    <n v="0.16388985488919097"/>
    <n v="0.13039950259766264"/>
    <n v="0.70571064251314641"/>
    <n v="0.29428935748685359"/>
  </r>
  <r>
    <x v="6"/>
    <d v="2025-02-15T00:00:00"/>
    <n v="44650"/>
    <n v="19787"/>
    <n v="34528"/>
    <n v="24547"/>
    <n v="123512"/>
    <n v="0.36150333570827126"/>
    <n v="0.27955178444199752"/>
    <n v="0.16020305719282338"/>
    <n v="0.19874182265690782"/>
    <n v="0.64105512015026878"/>
    <n v="0.35894487984973122"/>
  </r>
  <r>
    <x v="0"/>
    <d v="2025-02-16T00:00:00"/>
    <n v="45304"/>
    <n v="22750"/>
    <n v="55689"/>
    <n v="22875"/>
    <n v="146618"/>
    <n v="0.30899343873194285"/>
    <n v="0.37982375970208299"/>
    <n v="0.15516512297262272"/>
    <n v="0.15601767859335142"/>
    <n v="0.68881719843402589"/>
    <n v="0.31118280156597417"/>
  </r>
  <r>
    <x v="1"/>
    <d v="2025-02-17T00:00:00"/>
    <n v="45743"/>
    <n v="26351"/>
    <n v="37184"/>
    <n v="15864"/>
    <n v="125142"/>
    <n v="0.36552875932940182"/>
    <n v="0.29713445525882598"/>
    <n v="0.21056879385018618"/>
    <n v="0.12676799156158605"/>
    <n v="0.66266321458822774"/>
    <n v="0.3373367854117722"/>
  </r>
  <r>
    <x v="2"/>
    <d v="2025-02-18T00:00:00"/>
    <n v="37516"/>
    <n v="18090"/>
    <n v="36404"/>
    <n v="16616"/>
    <n v="108626"/>
    <n v="0.34536851214258096"/>
    <n v="0.335131552298713"/>
    <n v="0.16653471544565757"/>
    <n v="0.15296522011304844"/>
    <n v="0.68050006444129396"/>
    <n v="0.31949993555870604"/>
  </r>
  <r>
    <x v="3"/>
    <d v="2025-02-19T00:00:00"/>
    <n v="37515"/>
    <n v="12219"/>
    <n v="19625"/>
    <n v="16574"/>
    <n v="85933"/>
    <n v="0.43656104174182214"/>
    <n v="0.22837559494024415"/>
    <n v="0.14219217297196654"/>
    <n v="0.1928711903459672"/>
    <n v="0.66493663668206626"/>
    <n v="0.33506336331793374"/>
  </r>
  <r>
    <x v="4"/>
    <d v="2025-02-20T00:00:00"/>
    <n v="34537"/>
    <n v="13418"/>
    <n v="13329"/>
    <n v="13717"/>
    <n v="75001"/>
    <n v="0.46048719350408662"/>
    <n v="0.17771763043159425"/>
    <n v="0.17890428127624966"/>
    <n v="0.1828908947880695"/>
    <n v="0.6382048239356809"/>
    <n v="0.36179517606431916"/>
  </r>
  <r>
    <x v="5"/>
    <d v="2025-02-21T00:00:00"/>
    <n v="51015"/>
    <n v="20164"/>
    <n v="28922"/>
    <n v="17705"/>
    <n v="117806"/>
    <n v="0.43304245963703036"/>
    <n v="0.24550532230955979"/>
    <n v="0.17116275911243908"/>
    <n v="0.15028945894097076"/>
    <n v="0.67854778194659016"/>
    <n v="0.32145221805340984"/>
  </r>
  <r>
    <x v="6"/>
    <d v="2025-02-22T00:00:00"/>
    <n v="36135"/>
    <n v="19393"/>
    <n v="54380"/>
    <n v="19939"/>
    <n v="129847"/>
    <n v="0.27828906328217057"/>
    <n v="0.41880058838479134"/>
    <n v="0.14935269971581938"/>
    <n v="0.15355764861721874"/>
    <n v="0.69708965166696191"/>
    <n v="0.30291034833303809"/>
  </r>
  <r>
    <x v="0"/>
    <d v="2025-02-23T00:00:00"/>
    <n v="36097"/>
    <n v="24099"/>
    <n v="63418"/>
    <n v="22201"/>
    <n v="145815"/>
    <n v="0.2475534067139869"/>
    <n v="0.43492096149230192"/>
    <n v="0.16527106264787572"/>
    <n v="0.15225456914583549"/>
    <n v="0.68247436820628882"/>
    <n v="0.31752563179371118"/>
  </r>
  <r>
    <x v="1"/>
    <d v="2025-02-24T00:00:00"/>
    <n v="34983"/>
    <n v="18597"/>
    <n v="47931"/>
    <n v="20861"/>
    <n v="122372"/>
    <n v="0.2858742195927173"/>
    <n v="0.39168273788121466"/>
    <n v="0.1519710391265976"/>
    <n v="0.17047200339947047"/>
    <n v="0.67755695747393196"/>
    <n v="0.32244304252606804"/>
  </r>
  <r>
    <x v="2"/>
    <d v="2025-02-25T00:00:00"/>
    <n v="36425"/>
    <n v="14742"/>
    <n v="27313"/>
    <n v="12752"/>
    <n v="91232"/>
    <n v="0.39925683970536652"/>
    <n v="0.29937960364784288"/>
    <n v="0.16158803928446158"/>
    <n v="0.13977551736232902"/>
    <n v="0.6986364433532094"/>
    <n v="0.3013635566467906"/>
  </r>
  <r>
    <x v="3"/>
    <d v="2025-02-26T00:00:00"/>
    <n v="24111"/>
    <n v="12233"/>
    <n v="25803"/>
    <n v="13520"/>
    <n v="75667"/>
    <n v="0.31864617336487505"/>
    <n v="0.34100730833784876"/>
    <n v="0.16166889132646992"/>
    <n v="0.1786776269708063"/>
    <n v="0.65965348170272375"/>
    <n v="0.34034651829727625"/>
  </r>
  <r>
    <x v="4"/>
    <d v="2025-02-27T00:00:00"/>
    <n v="18422"/>
    <n v="8820"/>
    <n v="21792"/>
    <n v="15279"/>
    <n v="64313"/>
    <n v="0.28644286536159097"/>
    <n v="0.33884284670284393"/>
    <n v="0.13714179092873913"/>
    <n v="0.23757249700682598"/>
    <n v="0.62528571206443484"/>
    <n v="0.3747142879355651"/>
  </r>
  <r>
    <x v="5"/>
    <d v="2025-02-28T00:00:00"/>
    <n v="32501"/>
    <n v="19171"/>
    <n v="40728"/>
    <n v="18177"/>
    <n v="110577"/>
    <n v="0.29392188248912521"/>
    <n v="0.3683225263843295"/>
    <n v="0.1733724011322427"/>
    <n v="0.16438318999430263"/>
    <n v="0.6622444088734547"/>
    <n v="0.3377555911265453"/>
  </r>
  <r>
    <x v="6"/>
    <d v="2025-03-01T00:00:00"/>
    <n v="37868"/>
    <n v="21350"/>
    <n v="44608"/>
    <n v="24410"/>
    <n v="128236"/>
    <n v="0.29529929193050314"/>
    <n v="0.34785863564053776"/>
    <n v="0.16648990922985746"/>
    <n v="0.19035216319910164"/>
    <n v="0.64315792757104084"/>
    <n v="0.3568420724289591"/>
  </r>
  <r>
    <x v="0"/>
    <d v="2025-03-02T00:00:00"/>
    <n v="34397"/>
    <n v="26713"/>
    <n v="39535"/>
    <n v="22796"/>
    <n v="123441"/>
    <n v="0.27865133950632287"/>
    <n v="0.32027446310383095"/>
    <n v="0.21640297794087865"/>
    <n v="0.18467121944896753"/>
    <n v="0.59892580261015382"/>
    <n v="0.40107419738984618"/>
  </r>
  <r>
    <x v="1"/>
    <d v="2025-03-03T00:00:00"/>
    <n v="36627"/>
    <n v="14516"/>
    <n v="48470"/>
    <n v="17329"/>
    <n v="116942"/>
    <n v="0.31320654683518323"/>
    <n v="0.41447897248208515"/>
    <n v="0.12412991055394983"/>
    <n v="0.14818457012878178"/>
    <n v="0.72768551931726844"/>
    <n v="0.27231448068273162"/>
  </r>
  <r>
    <x v="2"/>
    <d v="2025-03-04T00:00:00"/>
    <n v="31494"/>
    <n v="15647"/>
    <n v="30414"/>
    <n v="12616"/>
    <n v="90171"/>
    <n v="0.34926972086369235"/>
    <n v="0.33729247762584424"/>
    <n v="0.1735258564283417"/>
    <n v="0.13991194508212174"/>
    <n v="0.68656219848953659"/>
    <n v="0.31343780151046347"/>
  </r>
  <r>
    <x v="3"/>
    <d v="2025-03-05T00:00:00"/>
    <n v="27776"/>
    <n v="8330"/>
    <n v="22974"/>
    <n v="11886"/>
    <n v="70966"/>
    <n v="0.39139869796804105"/>
    <n v="0.32373249161570328"/>
    <n v="0.11738015387650425"/>
    <n v="0.16748865653975142"/>
    <n v="0.71513118958374433"/>
    <n v="0.28486881041625567"/>
  </r>
  <r>
    <x v="4"/>
    <d v="2025-03-06T00:00:00"/>
    <n v="27196"/>
    <n v="12948"/>
    <n v="16515"/>
    <n v="9470"/>
    <n v="66129"/>
    <n v="0.41125678597892001"/>
    <n v="0.24973914621421767"/>
    <n v="0.19579911990200971"/>
    <n v="0.14320494790485264"/>
    <n v="0.66099593219313768"/>
    <n v="0.33900406780686232"/>
  </r>
  <r>
    <x v="5"/>
    <d v="2025-03-07T00:00:00"/>
    <n v="32921"/>
    <n v="15720"/>
    <n v="27204"/>
    <n v="13589"/>
    <n v="89434"/>
    <n v="0.36810385312073707"/>
    <n v="0.30417961848961245"/>
    <n v="0.17577207773330053"/>
    <n v="0.15194445065634993"/>
    <n v="0.67228347161034951"/>
    <n v="0.32771652838965049"/>
  </r>
  <r>
    <x v="6"/>
    <d v="2025-03-08T00:00:00"/>
    <n v="49070"/>
    <n v="21050"/>
    <n v="38730"/>
    <n v="24405"/>
    <n v="133255"/>
    <n v="0.36824134178830065"/>
    <n v="0.29064575438069867"/>
    <n v="0.15796780608607558"/>
    <n v="0.18314509774492516"/>
    <n v="0.65888709616899932"/>
    <n v="0.34111290383100074"/>
  </r>
  <r>
    <x v="0"/>
    <d v="2025-03-09T00:00:00"/>
    <n v="46009"/>
    <n v="21204"/>
    <n v="40686"/>
    <n v="22765"/>
    <n v="130664"/>
    <n v="0.35211687993632523"/>
    <n v="0.31137880364905407"/>
    <n v="0.16227882201677585"/>
    <n v="0.17422549439784485"/>
    <n v="0.66349568358537925"/>
    <n v="0.3365043164146207"/>
  </r>
  <r>
    <x v="1"/>
    <d v="2025-03-10T00:00:00"/>
    <n v="41107"/>
    <n v="19923"/>
    <n v="30701"/>
    <n v="17746"/>
    <n v="109477"/>
    <n v="0.375485261744476"/>
    <n v="0.28043333302885537"/>
    <n v="0.18198343030956274"/>
    <n v="0.16209797491710587"/>
    <n v="0.65591859477333136"/>
    <n v="0.34408140522666864"/>
  </r>
  <r>
    <x v="2"/>
    <d v="2025-03-11T00:00:00"/>
    <n v="50643"/>
    <n v="20104"/>
    <n v="23280"/>
    <n v="13931"/>
    <n v="107958"/>
    <n v="0.46909909409214695"/>
    <n v="0.21563941532818318"/>
    <n v="0.18622056725763722"/>
    <n v="0.12904092332203265"/>
    <n v="0.6847385094203301"/>
    <n v="0.31526149057966985"/>
  </r>
  <r>
    <x v="3"/>
    <d v="2025-03-12T00:00:00"/>
    <n v="42509"/>
    <n v="11068"/>
    <n v="17154"/>
    <n v="16277"/>
    <n v="87008"/>
    <n v="0.48856426995218832"/>
    <n v="0.19715428466347923"/>
    <n v="0.12720669363736667"/>
    <n v="0.18707475174696581"/>
    <n v="0.68571855461566755"/>
    <n v="0.3142814453843325"/>
  </r>
  <r>
    <x v="4"/>
    <d v="2025-03-13T00:00:00"/>
    <n v="25968"/>
    <n v="10364"/>
    <n v="23824"/>
    <n v="13193"/>
    <n v="73349"/>
    <n v="0.35403345648884105"/>
    <n v="0.32480333746881346"/>
    <n v="0.14129708653151371"/>
    <n v="0.17986611951083178"/>
    <n v="0.67883679395765451"/>
    <n v="0.32116320604234549"/>
  </r>
  <r>
    <x v="5"/>
    <d v="2025-03-14T00:00:00"/>
    <n v="41959"/>
    <n v="17067"/>
    <n v="18925"/>
    <n v="19640"/>
    <n v="97591"/>
    <n v="0.42994743367728583"/>
    <n v="0.19392157063663656"/>
    <n v="0.1748829297783607"/>
    <n v="0.20124806590771691"/>
    <n v="0.62386900431392234"/>
    <n v="0.37613099568607761"/>
  </r>
  <r>
    <x v="6"/>
    <d v="2025-03-15T00:00:00"/>
    <n v="47575"/>
    <n v="21337"/>
    <n v="37819"/>
    <n v="21405"/>
    <n v="128136"/>
    <n v="0.37128519697821066"/>
    <n v="0.29514734344758692"/>
    <n v="0.16651838671411626"/>
    <n v="0.16704907286008616"/>
    <n v="0.66643254042579758"/>
    <n v="0.33356745957420242"/>
  </r>
  <r>
    <x v="0"/>
    <d v="2025-03-16T00:00:00"/>
    <n v="39918"/>
    <n v="23224"/>
    <n v="37905"/>
    <n v="26613"/>
    <n v="127660"/>
    <n v="0.31268995770014102"/>
    <n v="0.29692151026163244"/>
    <n v="0.18192072693091024"/>
    <n v="0.2084678051073163"/>
    <n v="0.60961146796177346"/>
    <n v="0.39038853203822654"/>
  </r>
  <r>
    <x v="1"/>
    <d v="2025-03-17T00:00:00"/>
    <n v="43945"/>
    <n v="25302"/>
    <n v="47369"/>
    <n v="21024"/>
    <n v="137640"/>
    <n v="0.3192749200813717"/>
    <n v="0.34415140947399014"/>
    <n v="0.18382737576285962"/>
    <n v="0.15274629468177855"/>
    <n v="0.66342632955536185"/>
    <n v="0.33657367044463821"/>
  </r>
  <r>
    <x v="2"/>
    <d v="2025-03-18T00:00:00"/>
    <n v="50935"/>
    <n v="21967"/>
    <n v="47332"/>
    <n v="19229"/>
    <n v="139463"/>
    <n v="0.36522231703032343"/>
    <n v="0.33938750779776716"/>
    <n v="0.15751131124384246"/>
    <n v="0.13787886392806695"/>
    <n v="0.70460982482809065"/>
    <n v="0.29539017517190941"/>
  </r>
  <r>
    <x v="3"/>
    <d v="2025-03-19T00:00:00"/>
    <n v="32490"/>
    <n v="13898"/>
    <n v="27250"/>
    <n v="11103"/>
    <n v="84741"/>
    <n v="0.3834035472793571"/>
    <n v="0.32156807212565347"/>
    <n v="0.1640056171156819"/>
    <n v="0.13102276347930752"/>
    <n v="0.70497161940501052"/>
    <n v="0.29502838059498943"/>
  </r>
  <r>
    <x v="4"/>
    <d v="2025-03-20T00:00:00"/>
    <n v="31610"/>
    <n v="9052"/>
    <n v="20772"/>
    <n v="13080"/>
    <n v="74514"/>
    <n v="0.42421558364871031"/>
    <n v="0.27876640631290767"/>
    <n v="0.12148052714926054"/>
    <n v="0.17553748288912152"/>
    <n v="0.70298198996161798"/>
    <n v="0.29701801003838207"/>
  </r>
  <r>
    <x v="5"/>
    <d v="2025-03-21T00:00:00"/>
    <n v="41596"/>
    <n v="16999"/>
    <n v="36196"/>
    <n v="15798"/>
    <n v="110589"/>
    <n v="0.37613144164428652"/>
    <n v="0.32730199206069321"/>
    <n v="0.153713298791019"/>
    <n v="0.14285326750400129"/>
    <n v="0.70343343370497968"/>
    <n v="0.29656656629502032"/>
  </r>
  <r>
    <x v="6"/>
    <d v="2025-03-22T00:00:00"/>
    <n v="38939"/>
    <n v="27841"/>
    <n v="54935"/>
    <n v="25970"/>
    <n v="147685"/>
    <n v="0.26366252496868336"/>
    <n v="0.37197413413684532"/>
    <n v="0.18851609845278802"/>
    <n v="0.17584724244168332"/>
    <n v="0.63563665910552869"/>
    <n v="0.36436334089447137"/>
  </r>
  <r>
    <x v="0"/>
    <d v="2025-03-23T00:00:00"/>
    <n v="35348"/>
    <n v="25664"/>
    <n v="49697"/>
    <n v="23701"/>
    <n v="134410"/>
    <n v="0.2629863849415966"/>
    <n v="0.36974183468491928"/>
    <n v="0.19093817424298787"/>
    <n v="0.17633360613049626"/>
    <n v="0.63272821962651593"/>
    <n v="0.36727178037348412"/>
  </r>
  <r>
    <x v="1"/>
    <d v="2025-03-24T00:00:00"/>
    <n v="63471"/>
    <n v="23149"/>
    <n v="49930"/>
    <n v="21087"/>
    <n v="157637"/>
    <n v="0.40264024309013746"/>
    <n v="0.31674035917963422"/>
    <n v="0.14685004155115866"/>
    <n v="0.13376935617906963"/>
    <n v="0.71938060226977174"/>
    <n v="0.28061939773022831"/>
  </r>
  <r>
    <x v="2"/>
    <d v="2025-03-25T00:00:00"/>
    <n v="60199"/>
    <n v="21081"/>
    <n v="24607"/>
    <n v="25245"/>
    <n v="131132"/>
    <n v="0.45907177500533813"/>
    <n v="0.18765061159747429"/>
    <n v="0.16076167525851814"/>
    <n v="0.19251593813866943"/>
    <n v="0.64672238660281245"/>
    <n v="0.35327761339718755"/>
  </r>
  <r>
    <x v="3"/>
    <d v="2025-03-26T00:00:00"/>
    <n v="47641"/>
    <n v="15495"/>
    <n v="35618"/>
    <n v="11481"/>
    <n v="110235"/>
    <n v="0.43217671338504104"/>
    <n v="0.32310972014333017"/>
    <n v="0.14056334195128589"/>
    <n v="0.10415022452034291"/>
    <n v="0.75528643352837121"/>
    <n v="0.24471356647162879"/>
  </r>
  <r>
    <x v="4"/>
    <d v="2025-03-27T00:00:00"/>
    <n v="23969"/>
    <n v="17753"/>
    <n v="30081"/>
    <n v="16672"/>
    <n v="88475"/>
    <n v="0.27091268719977396"/>
    <n v="0.33999434868606954"/>
    <n v="0.20065555241593672"/>
    <n v="0.18843741169821984"/>
    <n v="0.6109070358858435"/>
    <n v="0.38909296411415656"/>
  </r>
  <r>
    <x v="5"/>
    <d v="2025-03-28T00:00:00"/>
    <n v="47177"/>
    <n v="15219"/>
    <n v="34033"/>
    <n v="23404"/>
    <n v="119833"/>
    <n v="0.393689551292215"/>
    <n v="0.28400357163719508"/>
    <n v="0.12700174409386397"/>
    <n v="0.19530513297672594"/>
    <n v="0.67769312292941009"/>
    <n v="0.32230687707058991"/>
  </r>
  <r>
    <x v="6"/>
    <d v="2025-03-29T00:00:00"/>
    <n v="5771"/>
    <n v="6930"/>
    <n v="0"/>
    <n v="0"/>
    <n v="12701"/>
    <n v="0.4543736713644595"/>
    <n v="0"/>
    <n v="0.5456263286355405"/>
    <n v="0"/>
    <n v="0.4543736713644595"/>
    <n v="0.5456263286355405"/>
  </r>
  <r>
    <x v="0"/>
    <d v="2025-03-30T00:00:00"/>
    <n v="13243"/>
    <n v="6517"/>
    <n v="45018"/>
    <n v="22550"/>
    <n v="87328"/>
    <n v="0.15164666544521802"/>
    <n v="0.51550476364968856"/>
    <n v="7.4626694759985346E-2"/>
    <n v="0.25822187614510811"/>
    <n v="0.66715142909490655"/>
    <n v="0.33284857090509345"/>
  </r>
  <r>
    <x v="1"/>
    <d v="2025-03-31T00:00:00"/>
    <n v="53571"/>
    <n v="25098"/>
    <n v="57471"/>
    <n v="20408"/>
    <n v="156548"/>
    <n v="0.34220175281702736"/>
    <n v="0.36711423972200219"/>
    <n v="0.16032143495924572"/>
    <n v="0.1303625725017247"/>
    <n v="0.70931599253902955"/>
    <n v="0.29068400746097045"/>
  </r>
  <r>
    <x v="2"/>
    <d v="2025-04-01T00:00:00"/>
    <n v="67793"/>
    <n v="20064"/>
    <n v="67398"/>
    <n v="15918"/>
    <n v="171173"/>
    <n v="0.39604961062784433"/>
    <n v="0.39374200370385515"/>
    <n v="0.11721474765295929"/>
    <n v="9.2993638015341204E-2"/>
    <n v="0.78979161433169953"/>
    <n v="0.2102083856683005"/>
  </r>
  <r>
    <x v="3"/>
    <d v="2025-04-02T00:00:00"/>
    <n v="52804"/>
    <n v="23837"/>
    <n v="48297"/>
    <n v="13148"/>
    <n v="138086"/>
    <n v="0.38239937430297061"/>
    <n v="0.34976029430934347"/>
    <n v="0.1726243065915444"/>
    <n v="9.5216024796141538E-2"/>
    <n v="0.73215966861231407"/>
    <n v="0.26784033138768593"/>
  </r>
  <r>
    <x v="4"/>
    <d v="2025-04-03T00:00:00"/>
    <n v="59060"/>
    <n v="15520"/>
    <n v="36441"/>
    <n v="15361"/>
    <n v="126382"/>
    <n v="0.46731338323495436"/>
    <n v="0.28834011172477092"/>
    <n v="0.12280229779557215"/>
    <n v="0.12154420724470257"/>
    <n v="0.75565349495972522"/>
    <n v="0.24434650504027472"/>
  </r>
  <r>
    <x v="5"/>
    <d v="2025-04-04T00:00:00"/>
    <n v="54447"/>
    <n v="16760"/>
    <n v="57079"/>
    <n v="19608"/>
    <n v="147894"/>
    <n v="0.36814880928232385"/>
    <n v="0.38594533922944813"/>
    <n v="0.11332440802196167"/>
    <n v="0.13258144346626638"/>
    <n v="0.75409414851177192"/>
    <n v="0.24590585148822805"/>
  </r>
  <r>
    <x v="6"/>
    <d v="2025-04-05T00:00:00"/>
    <n v="64085"/>
    <n v="21355"/>
    <n v="47060"/>
    <n v="28800"/>
    <n v="161300"/>
    <n v="0.39730316181029141"/>
    <n v="0.29175449473031617"/>
    <n v="0.132393056416615"/>
    <n v="0.17854928704277742"/>
    <n v="0.68905765654060758"/>
    <n v="0.31094234345939242"/>
  </r>
  <r>
    <x v="0"/>
    <d v="2025-04-06T00:00:00"/>
    <n v="33344"/>
    <n v="18185"/>
    <n v="62999"/>
    <n v="31149"/>
    <n v="145677"/>
    <n v="0.22888994144580133"/>
    <n v="0.43245673647864796"/>
    <n v="0.12483096164802955"/>
    <n v="0.21382236042752115"/>
    <n v="0.66134667792444934"/>
    <n v="0.33865332207555071"/>
  </r>
  <r>
    <x v="1"/>
    <d v="2025-04-07T00:00:00"/>
    <n v="49384"/>
    <n v="20141"/>
    <n v="64415"/>
    <n v="21582"/>
    <n v="155522"/>
    <n v="0.31753706871053611"/>
    <n v="0.41418577435989762"/>
    <n v="0.12950579339257468"/>
    <n v="0.13877136353699154"/>
    <n v="0.73172284307043378"/>
    <n v="0.26827715692956622"/>
  </r>
  <r>
    <x v="2"/>
    <d v="2025-04-08T00:00:00"/>
    <n v="49965"/>
    <n v="25176"/>
    <n v="59767"/>
    <n v="20333"/>
    <n v="155241"/>
    <n v="0.32185440701876439"/>
    <n v="0.38499494334615209"/>
    <n v="0.16217365257889346"/>
    <n v="0.13097699705619006"/>
    <n v="0.70684935036491647"/>
    <n v="0.29315064963508353"/>
  </r>
  <r>
    <x v="3"/>
    <d v="2025-04-09T00:00:00"/>
    <n v="31277"/>
    <n v="14923"/>
    <n v="44235"/>
    <n v="18020"/>
    <n v="108455"/>
    <n v="0.28838688857129685"/>
    <n v="0.40786501313908996"/>
    <n v="0.13759623807108939"/>
    <n v="0.16615186021852382"/>
    <n v="0.69625190171038676"/>
    <n v="0.30374809828961319"/>
  </r>
  <r>
    <x v="4"/>
    <d v="2025-04-10T00:00:00"/>
    <n v="43918"/>
    <n v="16933"/>
    <n v="35493"/>
    <n v="16903"/>
    <n v="113247"/>
    <n v="0.38780718253022156"/>
    <n v="0.31341227582187609"/>
    <n v="0.14952272466378799"/>
    <n v="0.14925781698411436"/>
    <n v="0.70121945835209765"/>
    <n v="0.29878054164790235"/>
  </r>
  <r>
    <x v="5"/>
    <d v="2025-04-11T00:00:00"/>
    <n v="45176"/>
    <n v="18399"/>
    <n v="39399"/>
    <n v="17914"/>
    <n v="120888"/>
    <n v="0.37370127721527363"/>
    <n v="0.32591324200913241"/>
    <n v="0.15219872940242207"/>
    <n v="0.14818675137317186"/>
    <n v="0.6996145192244061"/>
    <n v="0.30038548077559396"/>
  </r>
  <r>
    <x v="6"/>
    <d v="2025-04-12T00:00:00"/>
    <n v="55369"/>
    <n v="24045"/>
    <n v="37863"/>
    <n v="25311"/>
    <n v="142588"/>
    <n v="0.38831458467753249"/>
    <n v="0.26554127977108871"/>
    <n v="0.16863270401436306"/>
    <n v="0.17751143153701573"/>
    <n v="0.6538558644486212"/>
    <n v="0.3461441355513788"/>
  </r>
  <r>
    <x v="0"/>
    <d v="2025-04-13T00:00:00"/>
    <n v="34124"/>
    <n v="22435"/>
    <n v="58275"/>
    <n v="27542"/>
    <n v="142376"/>
    <n v="0.23967522616171263"/>
    <n v="0.40930353430353428"/>
    <n v="0.15757571500814743"/>
    <n v="0.1934455245266056"/>
    <n v="0.64897876046524694"/>
    <n v="0.35102123953475306"/>
  </r>
  <r>
    <x v="1"/>
    <d v="2025-04-14T00:00:00"/>
    <n v="53826"/>
    <n v="25413"/>
    <n v="60305"/>
    <n v="15776"/>
    <n v="155320"/>
    <n v="0.34654906000515068"/>
    <n v="0.38826294102498071"/>
    <n v="0.16361704867370588"/>
    <n v="0.10157095029616275"/>
    <n v="0.73481200103013133"/>
    <n v="0.26518799896986867"/>
  </r>
  <r>
    <x v="2"/>
    <d v="2025-04-15T00:00:00"/>
    <n v="46049"/>
    <n v="22071"/>
    <n v="38242"/>
    <n v="20166"/>
    <n v="126528"/>
    <n v="0.3639431588265048"/>
    <n v="0.30224140111279718"/>
    <n v="0.17443569802731412"/>
    <n v="0.15937974203338393"/>
    <n v="0.66618455993930192"/>
    <n v="0.33381544006069802"/>
  </r>
  <r>
    <x v="3"/>
    <d v="2025-04-16T00:00:00"/>
    <n v="50754"/>
    <n v="15430"/>
    <n v="18720"/>
    <n v="11639"/>
    <n v="96543"/>
    <n v="0.52571393058015603"/>
    <n v="0.19390323482800409"/>
    <n v="0.15982515563013372"/>
    <n v="0.12055767896170619"/>
    <n v="0.71961716540816012"/>
    <n v="0.28038283459183988"/>
  </r>
  <r>
    <x v="4"/>
    <d v="2025-04-17T00:00:00"/>
    <n v="41772"/>
    <n v="14781"/>
    <n v="28298"/>
    <n v="12906"/>
    <n v="97757"/>
    <n v="0.4273044385568297"/>
    <n v="0.28947287662264592"/>
    <n v="0.15120144848962222"/>
    <n v="0.13202123633090213"/>
    <n v="0.71677731517947563"/>
    <n v="0.28322268482052437"/>
  </r>
  <r>
    <x v="5"/>
    <d v="2025-04-18T00:00:00"/>
    <n v="45228"/>
    <n v="19955"/>
    <n v="38481"/>
    <n v="14230"/>
    <n v="117894"/>
    <n v="0.38363275484757492"/>
    <n v="0.32640337930683494"/>
    <n v="0.16926221860315199"/>
    <n v="0.12070164724243812"/>
    <n v="0.71003613415440991"/>
    <n v="0.28996386584559009"/>
  </r>
  <r>
    <x v="6"/>
    <d v="2025-04-19T00:00:00"/>
    <n v="44651"/>
    <n v="24968"/>
    <n v="40106"/>
    <n v="21257"/>
    <n v="130982"/>
    <n v="0.34089416866439665"/>
    <n v="0.3061947443160129"/>
    <n v="0.19062161212991097"/>
    <n v="0.16228947488967949"/>
    <n v="0.64708891298040949"/>
    <n v="0.35291108701959045"/>
  </r>
  <r>
    <x v="0"/>
    <d v="2025-04-20T00:00:00"/>
    <n v="42973"/>
    <n v="25738"/>
    <n v="40995"/>
    <n v="22365"/>
    <n v="132071"/>
    <n v="0.32537801636998281"/>
    <n v="0.31040122358428424"/>
    <n v="0.19488002665233095"/>
    <n v="0.16934073339340203"/>
    <n v="0.63577923995426699"/>
    <n v="0.36422076004573295"/>
  </r>
  <r>
    <x v="1"/>
    <d v="2025-04-21T00:00:00"/>
    <n v="49069"/>
    <n v="20868"/>
    <n v="53317"/>
    <n v="17024"/>
    <n v="140278"/>
    <n v="0.34979825774533424"/>
    <n v="0.38008098204992941"/>
    <n v="0.14876174453585023"/>
    <n v="0.12135901566888607"/>
    <n v="0.7298792397952637"/>
    <n v="0.2701207602047363"/>
  </r>
  <r>
    <x v="2"/>
    <d v="2025-04-22T00:00:00"/>
    <n v="58524"/>
    <n v="23894"/>
    <n v="33453"/>
    <n v="21455"/>
    <n v="137326"/>
    <n v="0.42616838763234932"/>
    <n v="0.24360281374248138"/>
    <n v="0.17399472787381851"/>
    <n v="0.15623407075135079"/>
    <n v="0.6697712013748307"/>
    <n v="0.3302287986251693"/>
  </r>
  <r>
    <x v="3"/>
    <d v="2025-04-23T00:00:00"/>
    <n v="39602"/>
    <n v="14240"/>
    <n v="29297"/>
    <n v="19308"/>
    <n v="102447"/>
    <n v="0.38656085585717492"/>
    <n v="0.28597225882651517"/>
    <n v="0.13899870176774332"/>
    <n v="0.18846818354856656"/>
    <n v="0.67253311468369015"/>
    <n v="0.32746688531630991"/>
  </r>
  <r>
    <x v="4"/>
    <d v="2025-04-24T00:00:00"/>
    <n v="45966"/>
    <n v="11669"/>
    <n v="43184"/>
    <n v="16372"/>
    <n v="117191"/>
    <n v="0.39223148535297081"/>
    <n v="0.36849246102516403"/>
    <n v="9.9572492768215989E-2"/>
    <n v="0.13970356085364918"/>
    <n v="0.76072394637813479"/>
    <n v="0.23927605362186516"/>
  </r>
  <r>
    <x v="5"/>
    <d v="2025-04-25T00:00:00"/>
    <n v="32845"/>
    <n v="18663"/>
    <n v="42848"/>
    <n v="24740"/>
    <n v="119096"/>
    <n v="0.27578592060186741"/>
    <n v="0.35977698663263252"/>
    <n v="0.15670551487875328"/>
    <n v="0.20773157788674682"/>
    <n v="0.63556290723449993"/>
    <n v="0.36443709276550013"/>
  </r>
  <r>
    <x v="6"/>
    <d v="2025-04-26T00:00:00"/>
    <n v="47269"/>
    <n v="21435"/>
    <n v="42132"/>
    <n v="25559"/>
    <n v="136395"/>
    <n v="0.34655962461967083"/>
    <n v="0.30889695370064885"/>
    <n v="0.15715385461343892"/>
    <n v="0.18738956706624144"/>
    <n v="0.65545657832031967"/>
    <n v="0.34454342167968033"/>
  </r>
  <r>
    <x v="0"/>
    <d v="2025-04-27T00:00:00"/>
    <n v="58688"/>
    <n v="21727"/>
    <n v="48935"/>
    <n v="31018"/>
    <n v="160368"/>
    <n v="0.36595829591938539"/>
    <n v="0.30514192357577574"/>
    <n v="0.13548214107552628"/>
    <n v="0.19341763942931259"/>
    <n v="0.67110021949516108"/>
    <n v="0.32889978050483887"/>
  </r>
  <r>
    <x v="1"/>
    <d v="2025-04-28T00:00:00"/>
    <n v="48846"/>
    <n v="21735"/>
    <n v="59802"/>
    <n v="23088"/>
    <n v="153471"/>
    <n v="0.31827511386516022"/>
    <n v="0.38966319369783214"/>
    <n v="0.14162284731317318"/>
    <n v="0.15043884512383446"/>
    <n v="0.70793830756299236"/>
    <n v="0.29206169243700764"/>
  </r>
  <r>
    <x v="2"/>
    <d v="2025-04-29T00:00:00"/>
    <n v="29486"/>
    <n v="18418"/>
    <n v="44738"/>
    <n v="17935"/>
    <n v="110577"/>
    <n v="0.26665581450030296"/>
    <n v="0.40458684898306158"/>
    <n v="0.16656266673901443"/>
    <n v="0.16219466977762104"/>
    <n v="0.67124266348336459"/>
    <n v="0.32875733651663547"/>
  </r>
  <r>
    <x v="3"/>
    <d v="2025-04-30T00:00:00"/>
    <n v="27203"/>
    <n v="12303"/>
    <n v="35603"/>
    <n v="13184"/>
    <n v="88293"/>
    <n v="0.30809916980961116"/>
    <n v="0.40323694970156182"/>
    <n v="0.13934286976317489"/>
    <n v="0.1493210107256521"/>
    <n v="0.71133611951117304"/>
    <n v="0.28866388048882696"/>
  </r>
  <r>
    <x v="4"/>
    <d v="2025-05-01T00:00:00"/>
    <n v="36585"/>
    <n v="9070"/>
    <n v="43178"/>
    <n v="14892"/>
    <n v="103725"/>
    <n v="0.35271149674620389"/>
    <n v="0.41627380091588334"/>
    <n v="8.744275729091347E-2"/>
    <n v="0.14357194504699927"/>
    <n v="0.76898529766208723"/>
    <n v="0.23101470233791274"/>
  </r>
  <r>
    <x v="5"/>
    <d v="2025-05-02T00:00:00"/>
    <n v="45054"/>
    <n v="18805"/>
    <n v="41119"/>
    <n v="17545"/>
    <n v="122523"/>
    <n v="0.36771871403736439"/>
    <n v="0.33560229507929124"/>
    <n v="0.15348138716812354"/>
    <n v="0.14319760371522081"/>
    <n v="0.70332100911665563"/>
    <n v="0.29667899088334437"/>
  </r>
  <r>
    <x v="6"/>
    <d v="2025-05-03T00:00:00"/>
    <n v="52438"/>
    <n v="23833"/>
    <n v="53767"/>
    <n v="24399"/>
    <n v="154437"/>
    <n v="0.33954298516547199"/>
    <n v="0.34814843593180389"/>
    <n v="0.15432182702331695"/>
    <n v="0.15798675187940714"/>
    <n v="0.68769142109727588"/>
    <n v="0.31230857890272407"/>
  </r>
  <r>
    <x v="0"/>
    <d v="2025-05-04T00:00:00"/>
    <n v="43076"/>
    <n v="22755"/>
    <n v="63099"/>
    <n v="25005"/>
    <n v="153935"/>
    <n v="0.27983239679085326"/>
    <n v="0.40990677883522264"/>
    <n v="0.14782213271835515"/>
    <n v="0.1624386916555689"/>
    <n v="0.6897391756260759"/>
    <n v="0.31026082437392405"/>
  </r>
  <r>
    <x v="1"/>
    <d v="2025-05-05T00:00:00"/>
    <n v="42122"/>
    <n v="27909"/>
    <n v="70986"/>
    <n v="20334"/>
    <n v="161351"/>
    <n v="0.26105818990895624"/>
    <n v="0.4399476916783906"/>
    <n v="0.17297072841197142"/>
    <n v="0.12602339000068175"/>
    <n v="0.70100588158734689"/>
    <n v="0.29899411841265316"/>
  </r>
  <r>
    <x v="2"/>
    <d v="2025-05-06T00:00:00"/>
    <n v="56705"/>
    <n v="20999"/>
    <n v="42606"/>
    <n v="12921"/>
    <n v="133231"/>
    <n v="0.42561415886693038"/>
    <n v="0.31979043916205691"/>
    <n v="0.15761346833694861"/>
    <n v="9.6981933634064141E-2"/>
    <n v="0.74540459802898729"/>
    <n v="0.25459540197101277"/>
  </r>
  <r>
    <x v="3"/>
    <d v="2025-05-07T00:00:00"/>
    <n v="43018"/>
    <n v="13175"/>
    <n v="28649"/>
    <n v="12972"/>
    <n v="97814"/>
    <n v="0.43979389453452472"/>
    <n v="0.29289263295642748"/>
    <n v="0.13469442002167378"/>
    <n v="0.13261905248737399"/>
    <n v="0.7326865274909522"/>
    <n v="0.2673134725090478"/>
  </r>
  <r>
    <x v="4"/>
    <d v="2025-05-08T00:00:00"/>
    <n v="35770"/>
    <n v="14833"/>
    <n v="39309"/>
    <n v="14678"/>
    <n v="104590"/>
    <n v="0.34200210345157278"/>
    <n v="0.37583899034324503"/>
    <n v="0.1418204417248303"/>
    <n v="0.14033846448035184"/>
    <n v="0.71784109379481786"/>
    <n v="0.28215890620518214"/>
  </r>
  <r>
    <x v="5"/>
    <d v="2025-05-09T00:00:00"/>
    <n v="28920"/>
    <n v="13112"/>
    <n v="23986"/>
    <n v="14992"/>
    <n v="81010"/>
    <n v="0.35699296383162571"/>
    <n v="0.2960869028514998"/>
    <n v="0.16185656091840514"/>
    <n v="0.18506357239846932"/>
    <n v="0.65307986668312556"/>
    <n v="0.34692013331687444"/>
  </r>
  <r>
    <x v="6"/>
    <d v="2025-05-10T00:00:00"/>
    <n v="63438"/>
    <n v="24809"/>
    <n v="54625"/>
    <n v="28699"/>
    <n v="171571"/>
    <n v="0.36974780120183481"/>
    <n v="0.31838131152700633"/>
    <n v="0.14459902897342791"/>
    <n v="0.16727185829773097"/>
    <n v="0.68812911272884114"/>
    <n v="0.31187088727115886"/>
  </r>
  <r>
    <x v="0"/>
    <d v="2025-05-11T00:00:00"/>
    <n v="44486"/>
    <n v="25555"/>
    <n v="54589"/>
    <n v="27630"/>
    <n v="152260"/>
    <n v="0.29217128595822933"/>
    <n v="0.35852489163273349"/>
    <n v="0.16783790884014185"/>
    <n v="0.1814659135688953"/>
    <n v="0.65069617759096288"/>
    <n v="0.34930382240903718"/>
  </r>
  <r>
    <x v="1"/>
    <d v="2025-05-12T00:00:00"/>
    <n v="50843"/>
    <n v="22931"/>
    <n v="55802"/>
    <n v="22899"/>
    <n v="152475"/>
    <n v="0.33345138547302838"/>
    <n v="0.36597474995900969"/>
    <n v="0.15039186751926545"/>
    <n v="0.1501819970486965"/>
    <n v="0.69942613543203802"/>
    <n v="0.30057386456796198"/>
  </r>
  <r>
    <x v="2"/>
    <d v="2025-05-13T00:00:00"/>
    <n v="58815"/>
    <n v="13660"/>
    <n v="40395"/>
    <n v="19736"/>
    <n v="132606"/>
    <n v="0.44353196687932672"/>
    <n v="0.30462422514818333"/>
    <n v="0.10301193007857865"/>
    <n v="0.14883187789391128"/>
    <n v="0.74815619202751005"/>
    <n v="0.25184380797248995"/>
  </r>
  <r>
    <x v="3"/>
    <d v="2025-05-14T00:00:00"/>
    <n v="40395"/>
    <n v="14694"/>
    <n v="32506"/>
    <n v="16348"/>
    <n v="103943"/>
    <n v="0.38862645873218976"/>
    <n v="0.31272909190614084"/>
    <n v="0.14136594094840441"/>
    <n v="0.15727850841326496"/>
    <n v="0.70135555063833066"/>
    <n v="0.2986444493616694"/>
  </r>
  <r>
    <x v="4"/>
    <d v="2025-05-15T00:00:00"/>
    <n v="41553"/>
    <n v="12578"/>
    <n v="43681"/>
    <n v="16251"/>
    <n v="114063"/>
    <n v="0.36429867704689511"/>
    <n v="0.38295503362177041"/>
    <n v="0.11027239332649501"/>
    <n v="0.14247389600483942"/>
    <n v="0.74725371066866553"/>
    <n v="0.25274628933133442"/>
  </r>
  <r>
    <x v="5"/>
    <d v="2025-05-16T00:00:00"/>
    <n v="39700"/>
    <n v="20142"/>
    <n v="37766"/>
    <n v="18120"/>
    <n v="115728"/>
    <n v="0.34304576247753354"/>
    <n v="0.32633416286464811"/>
    <n v="0.1740460389879718"/>
    <n v="0.15657403566984654"/>
    <n v="0.66937992534218171"/>
    <n v="0.33062007465781834"/>
  </r>
  <r>
    <x v="6"/>
    <d v="2025-05-17T00:00:00"/>
    <n v="62142"/>
    <n v="22778"/>
    <n v="66568"/>
    <n v="23498"/>
    <n v="174986"/>
    <n v="0.35512555290137499"/>
    <n v="0.38041900494896735"/>
    <n v="0.13017041363309065"/>
    <n v="0.13428502851656704"/>
    <n v="0.73554455785034234"/>
    <n v="0.26445544214965766"/>
  </r>
  <r>
    <x v="0"/>
    <d v="2025-05-18T00:00:00"/>
    <n v="63799"/>
    <n v="24797"/>
    <n v="52282"/>
    <n v="22510"/>
    <n v="163388"/>
    <n v="0.39047543271231672"/>
    <n v="0.31998677993487895"/>
    <n v="0.15176757166989008"/>
    <n v="0.13777021568291428"/>
    <n v="0.71046221264719567"/>
    <n v="0.28953778735280439"/>
  </r>
  <r>
    <x v="1"/>
    <d v="2025-05-19T00:00:00"/>
    <n v="60473"/>
    <n v="20481"/>
    <n v="73991"/>
    <n v="20611"/>
    <n v="175556"/>
    <n v="0.34446558363143387"/>
    <n v="0.4214666545147987"/>
    <n v="0.11666362869967417"/>
    <n v="0.11740413315409329"/>
    <n v="0.76593223814623257"/>
    <n v="0.23406776185376746"/>
  </r>
  <r>
    <x v="2"/>
    <d v="2025-05-20T00:00:00"/>
    <n v="68144"/>
    <n v="18655"/>
    <n v="57484"/>
    <n v="18018"/>
    <n v="162301"/>
    <n v="0.4198618616028244"/>
    <n v="0.35418142833377492"/>
    <n v="0.11494075822083659"/>
    <n v="0.11101595184256413"/>
    <n v="0.77404328993659932"/>
    <n v="0.22595671006340071"/>
  </r>
  <r>
    <x v="3"/>
    <d v="2025-05-21T00:00:00"/>
    <n v="34908"/>
    <n v="23519"/>
    <n v="48596"/>
    <n v="14657"/>
    <n v="121680"/>
    <n v="0.28688362919132149"/>
    <n v="0.39937541091387246"/>
    <n v="0.19328566732412886"/>
    <n v="0.12045529257067719"/>
    <n v="0.6862590401051939"/>
    <n v="0.31374095989480605"/>
  </r>
  <r>
    <x v="4"/>
    <d v="2025-05-22T00:00:00"/>
    <n v="50790"/>
    <n v="16229"/>
    <n v="39344"/>
    <n v="17439"/>
    <n v="123802"/>
    <n v="0.41025185376649814"/>
    <n v="0.31779777386471947"/>
    <n v="0.13108835075362271"/>
    <n v="0.14086202161515968"/>
    <n v="0.72804962763121761"/>
    <n v="0.27195037236878239"/>
  </r>
  <r>
    <x v="5"/>
    <d v="2025-05-23T00:00:00"/>
    <n v="39419"/>
    <n v="15104"/>
    <n v="45107"/>
    <n v="13942"/>
    <n v="113572"/>
    <n v="0.34708378825766917"/>
    <n v="0.39716655513682952"/>
    <n v="0.13299052583383228"/>
    <n v="0.12275913077166907"/>
    <n v="0.74425034339449869"/>
    <n v="0.25574965660550136"/>
  </r>
  <r>
    <x v="6"/>
    <d v="2025-05-24T00:00:00"/>
    <n v="64786"/>
    <n v="24240"/>
    <n v="67787"/>
    <n v="24757"/>
    <n v="181570"/>
    <n v="0.35681004571239744"/>
    <n v="0.37333810651539351"/>
    <n v="0.13350223054469351"/>
    <n v="0.13634961722751557"/>
    <n v="0.73014815222779095"/>
    <n v="0.26985184777220905"/>
  </r>
  <r>
    <x v="0"/>
    <d v="2025-05-25T00:00:00"/>
    <n v="40162"/>
    <n v="28436"/>
    <n v="50673"/>
    <n v="25817"/>
    <n v="145088"/>
    <n v="0.27681131451257168"/>
    <n v="0.34925700264666959"/>
    <n v="0.19599139832377591"/>
    <n v="0.17794028451698279"/>
    <n v="0.62606831715924127"/>
    <n v="0.37393168284075873"/>
  </r>
  <r>
    <x v="1"/>
    <d v="2025-05-26T00:00:00"/>
    <n v="54805"/>
    <n v="27924"/>
    <n v="76836"/>
    <n v="21578"/>
    <n v="181143"/>
    <n v="0.30255102322474509"/>
    <n v="0.42417316705586194"/>
    <n v="0.15415445255957999"/>
    <n v="0.11912135715981297"/>
    <n v="0.72672419028060709"/>
    <n v="0.27327580971939297"/>
  </r>
  <r>
    <x v="2"/>
    <d v="2025-05-27T00:00:00"/>
    <n v="33438"/>
    <n v="19685"/>
    <n v="28313"/>
    <n v="13996"/>
    <n v="95432"/>
    <n v="0.35038561488808784"/>
    <n v="0.29668245452259201"/>
    <n v="0.20627252913068991"/>
    <n v="0.14665940145863024"/>
    <n v="0.64706806941067985"/>
    <n v="0.35293193058932015"/>
  </r>
  <r>
    <x v="3"/>
    <d v="2025-05-28T00:00:00"/>
    <n v="44089"/>
    <n v="17815"/>
    <n v="23156"/>
    <n v="10183"/>
    <n v="95243"/>
    <n v="0.46291066010100479"/>
    <n v="0.24312547903782955"/>
    <n v="0.18704786703484771"/>
    <n v="0.10691599382631795"/>
    <n v="0.70603613913883434"/>
    <n v="0.29396386086116566"/>
  </r>
  <r>
    <x v="4"/>
    <d v="2025-05-29T00:00:00"/>
    <n v="32868"/>
    <n v="13497"/>
    <n v="22280"/>
    <n v="15486"/>
    <n v="84131"/>
    <n v="0.39067644506781091"/>
    <n v="0.26482509419833355"/>
    <n v="0.16042837955093842"/>
    <n v="0.18407008118291712"/>
    <n v="0.65550153926614452"/>
    <n v="0.34449846073385554"/>
  </r>
  <r>
    <x v="5"/>
    <d v="2025-05-30T00:00:00"/>
    <n v="40705"/>
    <n v="17378"/>
    <n v="38385"/>
    <n v="19126"/>
    <n v="115594"/>
    <n v="0.35213765420350535"/>
    <n v="0.33206740834299359"/>
    <n v="0.1503365226568853"/>
    <n v="0.16545841479661574"/>
    <n v="0.68420506254649893"/>
    <n v="0.31579493745350107"/>
  </r>
  <r>
    <x v="6"/>
    <d v="2025-05-31T00:00:00"/>
    <n v="51111"/>
    <n v="24583"/>
    <n v="68685"/>
    <n v="24670"/>
    <n v="169049"/>
    <n v="0.30234429070861113"/>
    <n v="0.40630231471348544"/>
    <n v="0.1454193754473555"/>
    <n v="0.14593401913054796"/>
    <n v="0.70864660542209656"/>
    <n v="0.29135339457790344"/>
  </r>
  <r>
    <x v="0"/>
    <d v="2025-06-01T00:00:00"/>
    <n v="50980"/>
    <n v="23180"/>
    <n v="56531"/>
    <n v="28645"/>
    <n v="159336"/>
    <n v="0.31995280413716926"/>
    <n v="0.3547911332027916"/>
    <n v="0.1454787367575438"/>
    <n v="0.17977732590249534"/>
    <n v="0.67474393733996085"/>
    <n v="0.32525606266003915"/>
  </r>
  <r>
    <x v="1"/>
    <d v="2025-06-02T00:00:00"/>
    <n v="49415"/>
    <n v="14777"/>
    <n v="68478"/>
    <n v="17558"/>
    <n v="150228"/>
    <n v="0.32893335463428919"/>
    <n v="0.4558271427430306"/>
    <n v="9.8363820326437146E-2"/>
    <n v="0.11687568229624304"/>
    <n v="0.78476049737731979"/>
    <n v="0.21523950262268018"/>
  </r>
  <r>
    <x v="2"/>
    <d v="2025-06-03T00:00:00"/>
    <n v="64785"/>
    <n v="21898"/>
    <n v="40775"/>
    <n v="14559"/>
    <n v="142017"/>
    <n v="0.45617778153319671"/>
    <n v="0.2871135145792405"/>
    <n v="0.15419280790327919"/>
    <n v="0.10251589598428357"/>
    <n v="0.74329129611243727"/>
    <n v="0.25670870388756278"/>
  </r>
  <r>
    <x v="3"/>
    <d v="2025-06-04T00:00:00"/>
    <n v="39406"/>
    <n v="14796"/>
    <n v="29612"/>
    <n v="14689"/>
    <n v="98503"/>
    <n v="0.40004872948032039"/>
    <n v="0.30062028567657839"/>
    <n v="0.1502086230876217"/>
    <n v="0.14912236175547952"/>
    <n v="0.70066901515689872"/>
    <n v="0.29933098484310122"/>
  </r>
  <r>
    <x v="4"/>
    <d v="2025-06-05T00:00:00"/>
    <n v="28327"/>
    <n v="16801"/>
    <n v="39588"/>
    <n v="10996"/>
    <n v="95712"/>
    <n v="0.29596079906385825"/>
    <n v="0.41361584754262787"/>
    <n v="0.17553702774991642"/>
    <n v="0.11488632564359746"/>
    <n v="0.70957664660648612"/>
    <n v="0.29042335339351388"/>
  </r>
  <r>
    <x v="5"/>
    <d v="2025-06-06T00:00:00"/>
    <n v="35749"/>
    <n v="13960"/>
    <n v="34216"/>
    <n v="16526"/>
    <n v="100451"/>
    <n v="0.35588495883565119"/>
    <n v="0.34062378672188431"/>
    <n v="0.13897323072941037"/>
    <n v="0.16451802371305413"/>
    <n v="0.6965087455575355"/>
    <n v="0.3034912544424645"/>
  </r>
  <r>
    <x v="6"/>
    <d v="2025-06-07T00:00:00"/>
    <n v="63420"/>
    <n v="22800"/>
    <n v="63433"/>
    <n v="26486"/>
    <n v="176139"/>
    <n v="0.36005654625040451"/>
    <n v="0.36013035159731804"/>
    <n v="0.12944322381755319"/>
    <n v="0.15036987833472429"/>
    <n v="0.7201868978477225"/>
    <n v="0.27981310215227745"/>
  </r>
  <r>
    <x v="0"/>
    <d v="2025-06-08T00:00:00"/>
    <n v="35524"/>
    <n v="24946"/>
    <n v="75007"/>
    <n v="26613"/>
    <n v="162090"/>
    <n v="0.21916219384292676"/>
    <n v="0.46274909001172188"/>
    <n v="0.15390215312480721"/>
    <n v="0.16418656302054413"/>
    <n v="0.68191128385464861"/>
    <n v="0.31808871614535134"/>
  </r>
  <r>
    <x v="1"/>
    <d v="2025-06-09T00:00:00"/>
    <n v="32761"/>
    <n v="22291"/>
    <n v="56454"/>
    <n v="19800"/>
    <n v="131306"/>
    <n v="0.2495011652171264"/>
    <n v="0.4299422722495545"/>
    <n v="0.16976375793946963"/>
    <n v="0.15079280459384947"/>
    <n v="0.6794434374666809"/>
    <n v="0.3205565625333191"/>
  </r>
  <r>
    <x v="2"/>
    <d v="2025-06-10T00:00:00"/>
    <n v="58412"/>
    <n v="19684"/>
    <n v="28901"/>
    <n v="14629"/>
    <n v="121626"/>
    <n v="0.48025915511486034"/>
    <n v="0.23762189005640241"/>
    <n v="0.16184039596796737"/>
    <n v="0.12027855886076991"/>
    <n v="0.71788104517126272"/>
    <n v="0.28211895482873728"/>
  </r>
  <r>
    <x v="3"/>
    <d v="2025-06-11T00:00:00"/>
    <n v="43922"/>
    <n v="12218"/>
    <n v="30691"/>
    <n v="16714"/>
    <n v="103545"/>
    <n v="0.42418272248780725"/>
    <n v="0.29640253030083541"/>
    <n v="0.11799700613259935"/>
    <n v="0.16141774107875803"/>
    <n v="0.72058525278864261"/>
    <n v="0.27941474721135739"/>
  </r>
  <r>
    <x v="4"/>
    <d v="2025-06-12T00:00:00"/>
    <n v="35082"/>
    <n v="11221"/>
    <n v="34073"/>
    <n v="12457"/>
    <n v="92833"/>
    <n v="0.37790440899249189"/>
    <n v="0.36703542921159499"/>
    <n v="0.12087296543255092"/>
    <n v="0.13418719636336215"/>
    <n v="0.74493983820408693"/>
    <n v="0.25506016179591307"/>
  </r>
  <r>
    <x v="5"/>
    <d v="2025-06-13T00:00:00"/>
    <n v="30505"/>
    <n v="15393"/>
    <n v="44153"/>
    <n v="13062"/>
    <n v="103113"/>
    <n v="0.29584048568075799"/>
    <n v="0.4282001299545159"/>
    <n v="0.14928282563789241"/>
    <n v="0.12667655872683367"/>
    <n v="0.72404061563527389"/>
    <n v="0.27595938436472606"/>
  </r>
  <r>
    <x v="6"/>
    <d v="2025-06-14T00:00:00"/>
    <n v="53272"/>
    <n v="26071"/>
    <n v="76845"/>
    <n v="23901"/>
    <n v="180089"/>
    <n v="0.29580929429337716"/>
    <n v="0.42670568441159651"/>
    <n v="0.14476730949697095"/>
    <n v="0.13271771179805542"/>
    <n v="0.72251497870497361"/>
    <n v="0.27748502129502634"/>
  </r>
  <r>
    <x v="0"/>
    <d v="2025-06-15T00:00:00"/>
    <n v="46318"/>
    <n v="25631"/>
    <n v="58526"/>
    <n v="22937"/>
    <n v="153412"/>
    <n v="0.30191901546163274"/>
    <n v="0.38149558052825072"/>
    <n v="0.16707297994941725"/>
    <n v="0.14951242406069928"/>
    <n v="0.68341459598988341"/>
    <n v="0.31658540401011653"/>
  </r>
  <r>
    <x v="1"/>
    <d v="2025-06-16T00:00:00"/>
    <n v="50085"/>
    <n v="18498"/>
    <n v="54129"/>
    <n v="19511"/>
    <n v="142223"/>
    <n v="0.35215823038467758"/>
    <n v="0.38059244988503971"/>
    <n v="0.13006335121604803"/>
    <n v="0.13718596851423467"/>
    <n v="0.73275068026971724"/>
    <n v="0.26724931973028271"/>
  </r>
  <r>
    <x v="2"/>
    <d v="2025-06-17T00:00:00"/>
    <n v="56562"/>
    <n v="17170"/>
    <n v="40720"/>
    <n v="18362"/>
    <n v="132814"/>
    <n v="0.42587377836673845"/>
    <n v="0.30659418434803559"/>
    <n v="0.12927853991296098"/>
    <n v="0.13825349737226497"/>
    <n v="0.73246796271477399"/>
    <n v="0.26753203728522595"/>
  </r>
  <r>
    <x v="3"/>
    <d v="2025-06-18T00:00:00"/>
    <n v="35661"/>
    <n v="19674"/>
    <n v="56768"/>
    <n v="16831"/>
    <n v="128934"/>
    <n v="0.27658336823491086"/>
    <n v="0.44028727876277785"/>
    <n v="0.15258969705430686"/>
    <n v="0.1305396559480044"/>
    <n v="0.71687064699768877"/>
    <n v="0.28312935300231123"/>
  </r>
  <r>
    <x v="4"/>
    <d v="2025-06-19T00:00:00"/>
    <n v="33110"/>
    <n v="16888"/>
    <n v="46183"/>
    <n v="13323"/>
    <n v="109504"/>
    <n v="0.30236338398597312"/>
    <n v="0.42174715078901226"/>
    <n v="0.15422267679719462"/>
    <n v="0.12166678842781999"/>
    <n v="0.72411053477498544"/>
    <n v="0.27588946522501462"/>
  </r>
  <r>
    <x v="5"/>
    <d v="2025-06-20T00:00:00"/>
    <n v="41246"/>
    <n v="13534"/>
    <n v="50044"/>
    <n v="15706"/>
    <n v="120530"/>
    <n v="0.3422052601012196"/>
    <n v="0.41519953538538124"/>
    <n v="0.11228739732846595"/>
    <n v="0.13030780718493321"/>
    <n v="0.75740479548660089"/>
    <n v="0.24259520451339917"/>
  </r>
  <r>
    <x v="6"/>
    <d v="2025-06-21T00:00:00"/>
    <n v="37498"/>
    <n v="20704"/>
    <n v="62285"/>
    <n v="24254"/>
    <n v="144741"/>
    <n v="0.25906964854464182"/>
    <n v="0.430320365342232"/>
    <n v="0.14304170898363283"/>
    <n v="0.16756827712949338"/>
    <n v="0.68939001388687382"/>
    <n v="0.31060998611312618"/>
  </r>
  <r>
    <x v="0"/>
    <d v="2025-06-22T00:00:00"/>
    <n v="51055"/>
    <n v="30755"/>
    <n v="80364"/>
    <n v="26319"/>
    <n v="188493"/>
    <n v="0.2708588647854297"/>
    <n v="0.42635005013448773"/>
    <n v="0.16316255776076566"/>
    <n v="0.13962852731931691"/>
    <n v="0.69720891491991743"/>
    <n v="0.30279108508008257"/>
  </r>
  <r>
    <x v="1"/>
    <d v="2025-06-23T00:00:00"/>
    <n v="55873"/>
    <n v="21011"/>
    <n v="63574"/>
    <n v="22354"/>
    <n v="162812"/>
    <n v="0.34317495024936739"/>
    <n v="0.39047490356976144"/>
    <n v="0.12905068422475002"/>
    <n v="0.13729946195612117"/>
    <n v="0.73364985381912884"/>
    <n v="0.26635014618087116"/>
  </r>
  <r>
    <x v="2"/>
    <d v="2025-06-24T00:00:00"/>
    <n v="59502"/>
    <n v="24028"/>
    <n v="56434"/>
    <n v="18067"/>
    <n v="158031"/>
    <n v="0.37652106232321508"/>
    <n v="0.35710714986300157"/>
    <n v="0.15204611753390157"/>
    <n v="0.11432567027988179"/>
    <n v="0.73362821218621665"/>
    <n v="0.26637178781378335"/>
  </r>
  <r>
    <x v="3"/>
    <d v="2025-06-25T00:00:00"/>
    <n v="63683"/>
    <n v="21661"/>
    <n v="58789"/>
    <n v="14458"/>
    <n v="158591"/>
    <n v="0.40155494321871987"/>
    <n v="0.37069568891046778"/>
    <n v="0.13658404323070036"/>
    <n v="9.1165324640111983E-2"/>
    <n v="0.77225063212918765"/>
    <n v="0.22774936787081235"/>
  </r>
  <r>
    <x v="4"/>
    <d v="2025-06-26T00:00:00"/>
    <n v="49395"/>
    <n v="19169"/>
    <n v="52477"/>
    <n v="13034"/>
    <n v="134075"/>
    <n v="0.36841320156628754"/>
    <n v="0.39140033563304122"/>
    <n v="0.14297221704269999"/>
    <n v="9.7214245757971288E-2"/>
    <n v="0.75981353719932876"/>
    <n v="0.24018646280067127"/>
  </r>
  <r>
    <x v="5"/>
    <d v="2025-06-27T00:00:00"/>
    <n v="58092"/>
    <n v="17919"/>
    <n v="52967"/>
    <n v="17427"/>
    <n v="146405"/>
    <n v="0.39678972712680577"/>
    <n v="0.36178409207335815"/>
    <n v="0.12239336088248352"/>
    <n v="0.11903281991735255"/>
    <n v="0.75857381920016398"/>
    <n v="0.24142618079983608"/>
  </r>
  <r>
    <x v="6"/>
    <d v="2025-06-28T00:00:00"/>
    <n v="52079"/>
    <n v="23147"/>
    <n v="64760"/>
    <n v="29247"/>
    <n v="169233"/>
    <n v="0.30773548894128216"/>
    <n v="0.38266768301690568"/>
    <n v="0.13677592431736127"/>
    <n v="0.17282090372445091"/>
    <n v="0.69040317195818779"/>
    <n v="0.30959682804181216"/>
  </r>
  <r>
    <x v="0"/>
    <d v="2025-06-29T00:00:00"/>
    <n v="40895"/>
    <n v="17962"/>
    <n v="58216"/>
    <n v="26852"/>
    <n v="143925"/>
    <n v="0.28414104568351572"/>
    <n v="0.4044884488448845"/>
    <n v="0.12480111169011639"/>
    <n v="0.18656939378148341"/>
    <n v="0.68862949452840017"/>
    <n v="0.31137050547159978"/>
  </r>
  <r>
    <x v="1"/>
    <d v="2025-06-30T00:00:00"/>
    <n v="43364"/>
    <n v="15694"/>
    <n v="61172"/>
    <n v="24144"/>
    <n v="144374"/>
    <n v="0.30035879036391594"/>
    <n v="0.42370509925609873"/>
    <n v="0.10870378322966739"/>
    <n v="0.16723232715031791"/>
    <n v="0.72406388962001467"/>
    <n v="0.27593611037998533"/>
  </r>
  <r>
    <x v="2"/>
    <d v="2025-07-01T00:00:00"/>
    <n v="42836"/>
    <n v="25593"/>
    <n v="35826"/>
    <n v="16237"/>
    <n v="120492"/>
    <n v="0.35550907944095872"/>
    <n v="0.29733094313315406"/>
    <n v="0.21240414301364405"/>
    <n v="0.13475583441224315"/>
    <n v="0.65284002257411278"/>
    <n v="0.34715997742588722"/>
  </r>
  <r>
    <x v="3"/>
    <d v="2025-07-02T00:00:00"/>
    <n v="55871"/>
    <n v="16528"/>
    <n v="30432"/>
    <n v="15038"/>
    <n v="117869"/>
    <n v="0.47400928149046823"/>
    <n v="0.25818493412177929"/>
    <n v="0.14022346842681283"/>
    <n v="0.12758231596093969"/>
    <n v="0.73219421561224751"/>
    <n v="0.26780578438775249"/>
  </r>
  <r>
    <x v="4"/>
    <d v="2025-07-03T00:00:00"/>
    <n v="31136"/>
    <n v="16186"/>
    <n v="28335"/>
    <n v="12178"/>
    <n v="87835"/>
    <n v="0.3544828371378152"/>
    <n v="0.32259349917458874"/>
    <n v="0.18427733819092618"/>
    <n v="0.13864632549666989"/>
    <n v="0.67707633631240394"/>
    <n v="0.32292366368759606"/>
  </r>
  <r>
    <x v="5"/>
    <d v="2025-07-04T00:00:00"/>
    <n v="46409"/>
    <n v="15463"/>
    <n v="23984"/>
    <n v="7627"/>
    <n v="93483"/>
    <n v="0.49644320357712096"/>
    <n v="0.25656001625964081"/>
    <n v="0.16540975364504776"/>
    <n v="8.158702651819047E-2"/>
    <n v="0.75300321983676177"/>
    <n v="0.24699678016323823"/>
  </r>
  <r>
    <x v="6"/>
    <d v="2025-07-05T00:00:00"/>
    <n v="61117"/>
    <n v="25674"/>
    <n v="58865"/>
    <n v="30950"/>
    <n v="176606"/>
    <n v="0.34606412013181886"/>
    <n v="0.33331257148681243"/>
    <n v="0.14537444933920704"/>
    <n v="0.17524885904216164"/>
    <n v="0.67937669161863135"/>
    <n v="0.32062330838136871"/>
  </r>
  <r>
    <x v="0"/>
    <d v="2025-07-06T00:00:00"/>
    <n v="55020"/>
    <n v="20014"/>
    <n v="45835"/>
    <n v="22834"/>
    <n v="143703"/>
    <n v="0.38287300891421894"/>
    <n v="0.31895645880740137"/>
    <n v="0.13927336242110464"/>
    <n v="0.15889716985727506"/>
    <n v="0.70182946772162025"/>
    <n v="0.2981705322783797"/>
  </r>
  <r>
    <x v="1"/>
    <d v="2025-07-07T00:00:00"/>
    <n v="42990"/>
    <n v="12860"/>
    <n v="48324"/>
    <n v="22908"/>
    <n v="127082"/>
    <n v="0.33828551643820526"/>
    <n v="0.38025841582600212"/>
    <n v="0.1011945043357832"/>
    <n v="0.18026156340000946"/>
    <n v="0.71854393226420732"/>
    <n v="0.28145606773579263"/>
  </r>
  <r>
    <x v="2"/>
    <d v="2025-07-08T00:00:00"/>
    <n v="41661"/>
    <n v="13062"/>
    <n v="40500"/>
    <n v="15321"/>
    <n v="110544"/>
    <n v="0.37687255753365179"/>
    <n v="0.36636995223621366"/>
    <n v="0.11816109422492402"/>
    <n v="0.13859639600521059"/>
    <n v="0.74324250976986539"/>
    <n v="0.25675749023013461"/>
  </r>
  <r>
    <x v="3"/>
    <d v="2025-07-09T00:00:00"/>
    <n v="31745"/>
    <n v="17817"/>
    <n v="31652"/>
    <n v="14415"/>
    <n v="95629"/>
    <n v="0.33195997030189589"/>
    <n v="0.33098746196237544"/>
    <n v="0.18631377511006075"/>
    <n v="0.15073879262566794"/>
    <n v="0.66294743226427133"/>
    <n v="0.33705256773572873"/>
  </r>
  <r>
    <x v="4"/>
    <d v="2025-07-10T00:00:00"/>
    <n v="34395"/>
    <n v="8894"/>
    <n v="32117"/>
    <n v="13961"/>
    <n v="89367"/>
    <n v="0.38487361106448686"/>
    <n v="0.35938321751877089"/>
    <n v="9.9522194993677759E-2"/>
    <n v="0.15622097642306446"/>
    <n v="0.74425682858325781"/>
    <n v="0.25574317141674219"/>
  </r>
  <r>
    <x v="5"/>
    <d v="2025-07-11T00:00:00"/>
    <n v="33755"/>
    <n v="12752"/>
    <n v="36946"/>
    <n v="18286"/>
    <n v="101739"/>
    <n v="0.33178033988932465"/>
    <n v="0.36314491001484189"/>
    <n v="0.12534033163290381"/>
    <n v="0.17973441846292965"/>
    <n v="0.6949252499041666"/>
    <n v="0.30507475009583346"/>
  </r>
  <r>
    <x v="6"/>
    <d v="2025-07-12T00:00:00"/>
    <n v="58727"/>
    <n v="22016"/>
    <n v="58725"/>
    <n v="29235"/>
    <n v="168703"/>
    <n v="0.34810880660094962"/>
    <n v="0.34809695144721792"/>
    <n v="0.13050153227861983"/>
    <n v="0.1732927096732127"/>
    <n v="0.69620575804816753"/>
    <n v="0.30379424195183252"/>
  </r>
  <r>
    <x v="0"/>
    <d v="2025-07-13T00:00:00"/>
    <n v="48531"/>
    <n v="23192"/>
    <n v="60907"/>
    <n v="30501"/>
    <n v="163131"/>
    <n v="0.29749710355481179"/>
    <n v="0.37336251233671097"/>
    <n v="0.14216795091061785"/>
    <n v="0.18697243319785939"/>
    <n v="0.67085961589152276"/>
    <n v="0.32914038410847724"/>
  </r>
  <r>
    <x v="1"/>
    <d v="2025-07-14T00:00:00"/>
    <n v="38940"/>
    <n v="18713"/>
    <n v="53666"/>
    <n v="16704"/>
    <n v="128023"/>
    <n v="0.3041640955140873"/>
    <n v="0.41919030174265559"/>
    <n v="0.14616904774923256"/>
    <n v="0.13047655499402452"/>
    <n v="0.72335439725674289"/>
    <n v="0.27664560274325706"/>
  </r>
  <r>
    <x v="2"/>
    <d v="2025-07-15T00:00:00"/>
    <n v="48119"/>
    <n v="14109"/>
    <n v="49437"/>
    <n v="15688"/>
    <n v="127353"/>
    <n v="0.37783954834201"/>
    <n v="0.38818873524769737"/>
    <n v="0.11078655390921298"/>
    <n v="0.12318516250107968"/>
    <n v="0.76602828358970732"/>
    <n v="0.23397171641029266"/>
  </r>
  <r>
    <x v="3"/>
    <d v="2025-07-16T00:00:00"/>
    <n v="41978"/>
    <n v="15212"/>
    <n v="25187"/>
    <n v="14598"/>
    <n v="96975"/>
    <n v="0.43287445217839648"/>
    <n v="0.25972673369425109"/>
    <n v="0.15686517143593709"/>
    <n v="0.15053364269141531"/>
    <n v="0.69260118587264763"/>
    <n v="0.30739881412735243"/>
  </r>
  <r>
    <x v="4"/>
    <d v="2025-07-17T00:00:00"/>
    <n v="20397"/>
    <n v="10171"/>
    <n v="33342"/>
    <n v="10512"/>
    <n v="74422"/>
    <n v="0.27407218295665259"/>
    <n v="0.44801268442127329"/>
    <n v="0.13666657708742039"/>
    <n v="0.14124855553465374"/>
    <n v="0.72208486737792588"/>
    <n v="0.27791513262207412"/>
  </r>
  <r>
    <x v="5"/>
    <d v="2025-07-18T00:00:00"/>
    <n v="34762"/>
    <n v="14256"/>
    <n v="36096"/>
    <n v="21901"/>
    <n v="107015"/>
    <n v="0.32483296734102696"/>
    <n v="0.33729850955473534"/>
    <n v="0.13321496986403775"/>
    <n v="0.20465355324019996"/>
    <n v="0.66213147689576224"/>
    <n v="0.33786852310423771"/>
  </r>
  <r>
    <x v="6"/>
    <d v="2025-07-19T00:00:00"/>
    <n v="58173"/>
    <n v="21092"/>
    <n v="58739"/>
    <n v="31508"/>
    <n v="169512"/>
    <n v="0.34317924394733118"/>
    <n v="0.34651824059653596"/>
    <n v="0.12442776912548964"/>
    <n v="0.18587474633064327"/>
    <n v="0.68969748454386715"/>
    <n v="0.31030251545613291"/>
  </r>
  <r>
    <x v="0"/>
    <d v="2025-07-20T00:00:00"/>
    <n v="39708"/>
    <n v="24461"/>
    <n v="45105"/>
    <n v="25171"/>
    <n v="134445"/>
    <n v="0.29534753988619883"/>
    <n v="0.33549034921343301"/>
    <n v="0.18194057049351037"/>
    <n v="0.18722154040685782"/>
    <n v="0.63083788909963179"/>
    <n v="0.36916211090036816"/>
  </r>
  <r>
    <x v="1"/>
    <d v="2025-07-21T00:00:00"/>
    <n v="45977"/>
    <n v="18498"/>
    <n v="44164"/>
    <n v="16772"/>
    <n v="125411"/>
    <n v="0.36661058439849775"/>
    <n v="0.35215411726244111"/>
    <n v="0.14749902321167999"/>
    <n v="0.13373627512738118"/>
    <n v="0.71876470166093887"/>
    <n v="0.28123529833906119"/>
  </r>
  <r>
    <x v="2"/>
    <d v="2025-07-22T00:00:00"/>
    <n v="39275"/>
    <n v="18338"/>
    <n v="34032"/>
    <n v="13350"/>
    <n v="104995"/>
    <n v="0.37406543168722323"/>
    <n v="0.32412972046287919"/>
    <n v="0.17465593599695223"/>
    <n v="0.12714891185294538"/>
    <n v="0.69819515215010242"/>
    <n v="0.30180484784989764"/>
  </r>
  <r>
    <x v="3"/>
    <d v="2025-07-23T00:00:00"/>
    <n v="27675"/>
    <n v="17459"/>
    <n v="39192"/>
    <n v="13152"/>
    <n v="97478"/>
    <n v="0.28391021563840046"/>
    <n v="0.40205995198916678"/>
    <n v="0.17910708057202651"/>
    <n v="0.13492275180040625"/>
    <n v="0.68597016762756724"/>
    <n v="0.31402983237243276"/>
  </r>
  <r>
    <x v="4"/>
    <d v="2025-07-24T00:00:00"/>
    <n v="26191"/>
    <n v="14125"/>
    <n v="37268"/>
    <n v="5624"/>
    <n v="83208"/>
    <n v="0.31476540717238727"/>
    <n v="0.44788962599750026"/>
    <n v="0.1697553119892318"/>
    <n v="6.7589654840880684E-2"/>
    <n v="0.76265503316988748"/>
    <n v="0.2373449668301125"/>
  </r>
  <r>
    <x v="5"/>
    <d v="2025-07-25T00:00:00"/>
    <n v="28224"/>
    <n v="21032"/>
    <n v="38731"/>
    <n v="14195"/>
    <n v="102182"/>
    <n v="0.27621303164940986"/>
    <n v="0.37903936113992681"/>
    <n v="0.20582881525121841"/>
    <n v="0.1389187919594449"/>
    <n v="0.65525239278933667"/>
    <n v="0.34474760721066333"/>
  </r>
  <r>
    <x v="6"/>
    <d v="2025-07-26T00:00:00"/>
    <n v="44815"/>
    <n v="27417"/>
    <n v="46858"/>
    <n v="22402"/>
    <n v="141492"/>
    <n v="0.31673168801062956"/>
    <n v="0.33117066689282787"/>
    <n v="0.19377067254685779"/>
    <n v="0.15832697254968478"/>
    <n v="0.64790235490345749"/>
    <n v="0.35209764509654257"/>
  </r>
  <r>
    <x v="0"/>
    <d v="2025-07-27T00:00:00"/>
    <n v="46709"/>
    <n v="17088"/>
    <n v="48811"/>
    <n v="26681"/>
    <n v="139289"/>
    <n v="0.3353387561113943"/>
    <n v="0.35042968217160003"/>
    <n v="0.12268018292901808"/>
    <n v="0.19155137878798756"/>
    <n v="0.68576843828299439"/>
    <n v="0.31423156171700567"/>
  </r>
  <r>
    <x v="1"/>
    <d v="2025-07-28T00:00:00"/>
    <n v="27369"/>
    <n v="17283"/>
    <n v="51049"/>
    <n v="21910"/>
    <n v="117611"/>
    <n v="0.23270782494834666"/>
    <n v="0.43404953618284003"/>
    <n v="0.14695054034061439"/>
    <n v="0.18629209852819889"/>
    <n v="0.66675736113118667"/>
    <n v="0.33324263886881328"/>
  </r>
  <r>
    <x v="2"/>
    <d v="2025-07-29T00:00:00"/>
    <n v="41518"/>
    <n v="16170"/>
    <n v="30633"/>
    <n v="8922"/>
    <n v="97243"/>
    <n v="0.42695104017769919"/>
    <n v="0.31501496251658218"/>
    <n v="0.16628446263484262"/>
    <n v="9.1749534670876057E-2"/>
    <n v="0.74196600269428137"/>
    <n v="0.25803399730571869"/>
  </r>
  <r>
    <x v="3"/>
    <d v="2025-07-30T00:00:00"/>
    <n v="26254"/>
    <n v="11147"/>
    <n v="21490"/>
    <n v="9182"/>
    <n v="68073"/>
    <n v="0.38567420269416658"/>
    <n v="0.31569050871858151"/>
    <n v="0.16375067941768395"/>
    <n v="0.13488460916956796"/>
    <n v="0.70136471141274803"/>
    <n v="0.29863528858725191"/>
  </r>
  <r>
    <x v="4"/>
    <d v="2025-07-31T00:00:00"/>
    <n v="16449"/>
    <n v="12212"/>
    <n v="31402"/>
    <n v="11790"/>
    <n v="71853"/>
    <n v="0.22892572335184336"/>
    <n v="0.43703116084227522"/>
    <n v="0.16995810891681629"/>
    <n v="0.16408500688906519"/>
    <n v="0.66595688419411858"/>
    <n v="0.334043115805881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E2B0AB-20C1-4A62-BD98-B8C82E1D193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4:S12" firstHeaderRow="0" firstDataRow="1" firstDataCol="1"/>
  <pivotFields count="13">
    <pivotField axis="axisRow" showAll="0">
      <items count="8">
        <item x="1"/>
        <item x="0"/>
        <item x="2"/>
        <item x="3"/>
        <item x="4"/>
        <item x="5"/>
        <item x="6"/>
        <item t="default"/>
      </items>
    </pivotField>
    <pivotField numFmtId="16" showAll="0"/>
    <pivotField showAll="0"/>
    <pivotField showAll="0"/>
    <pivotField showAll="0"/>
    <pivotField showAll="0"/>
    <pivotField showAll="0"/>
    <pivotField dataField="1" numFmtId="2" showAll="0"/>
    <pivotField dataField="1" numFmtId="2" showAll="0"/>
    <pivotField dataField="1" numFmtId="2" showAll="0"/>
    <pivotField dataField="1" numFmtId="2" showAll="0"/>
    <pivotField numFmtId="2" showAll="0"/>
    <pivotField numFmtId="2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Pallets 1st" fld="7" subtotal="average" baseField="0" baseItem="0" numFmtId="2"/>
    <dataField name="Average of Cases 1st" fld="9" subtotal="average" baseField="0" baseItem="0" numFmtId="2"/>
    <dataField name="Average of Pallets 2nd" fld="8" subtotal="average" baseField="0" baseItem="0" numFmtId="2"/>
    <dataField name="Average of Cases 2nd" fld="10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31EB663-8209-469F-A374-FDA411014297}" name="Table9" displayName="Table9" ref="E2:G98" totalsRowShown="0" headerRowDxfId="84" headerRowBorderDxfId="83" tableBorderDxfId="82" totalsRowBorderDxfId="81">
  <autoFilter ref="E2:G98" xr:uid="{031EB663-8209-469F-A374-FDA411014297}"/>
  <sortState xmlns:xlrd2="http://schemas.microsoft.com/office/spreadsheetml/2017/richdata2" ref="E3:G98">
    <sortCondition ref="E2:E98"/>
  </sortState>
  <tableColumns count="3">
    <tableColumn id="1" xr3:uid="{E8F55B06-37ED-4F33-84E2-EB91B839BBDC}" name="Name " dataDxfId="80" dataCellStyle="Percent"/>
    <tableColumn id="2" xr3:uid="{CEB23E05-8AA9-4D08-9144-F16759353368}" name="Shift" dataDxfId="79" dataCellStyle="Percent"/>
    <tableColumn id="3" xr3:uid="{E8F584AB-F5F2-48E5-AD15-BEDBFAEBED1C}" name="Present " dataDxfId="7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11F10D-8B19-4A95-B055-F73F56DAC250}" name="Table4" displayName="Table4" ref="Q8:U16" totalsRowShown="0" headerRowDxfId="77" dataDxfId="76" headerRowCellStyle="Normal 2" dataCellStyle="Normal 2">
  <autoFilter ref="Q8:U16" xr:uid="{B211F10D-8B19-4A95-B055-F73F56DAC250}"/>
  <tableColumns count="5">
    <tableColumn id="1" xr3:uid="{30DC1EDA-5C0F-4F5E-9715-3F1FBFA8739D}" name="Expected Volume" dataDxfId="75" dataCellStyle="Normal 2">
      <calculatedColumnFormula>'Staffing Forecast'!AC13/4</calculatedColumnFormula>
    </tableColumn>
    <tableColumn id="2" xr3:uid="{23A260FE-14D0-4C6B-A71D-DF73ED9D6C69}" name="Expected Completed Cases" dataDxfId="74" dataCellStyle="Normal 2">
      <calculatedColumnFormula>44*'Crew Sheet'!I3</calculatedColumnFormula>
    </tableColumn>
    <tableColumn id="3" xr3:uid="{CD0A2822-1C1B-493E-A0E0-CF853FD8B971}" name="Completion % " dataDxfId="73" dataCellStyle="Normal 2">
      <calculatedColumnFormula>Table4[[#This Row],[Expected Completed Cases]]/Table4[[#This Row],[Expected Volume]]</calculatedColumnFormula>
    </tableColumn>
    <tableColumn id="5" xr3:uid="{F9BF79E7-0846-4384-A636-073BE1D4FCC3}" name="Priority" dataDxfId="72" dataCellStyle="Percent">
      <calculatedColumnFormula>IF($H9="Picking","PROTECT - PICKING BOTTLENECK",IF($P9="Understaffed","URGENT - ADD STAFF",IF(AND($P9="Overstaffed",$S9&gt;=100%),"AVAILABLE TO MOVE",IF(AND($P9="Overstaffed",$S9&lt;100%),"HIGH - DO NOT PULL","OK"))))</calculatedColumnFormula>
    </tableColumn>
    <tableColumn id="4" xr3:uid="{3690F81C-480E-48AC-AA32-8BCA323E729F}" name="Recommendation " dataDxfId="71" dataCellStyle="Normal 2">
      <calculatedColumnFormula>IF(N9&lt;0,"Need "&amp;ROUND(ABS(N9),1)&amp;" more worker(s) / "&amp;ROUND(ABS(O9),1)&amp;" labor hrs",IF(N9&gt;0,"Can move "&amp;ROUND(N9,1)&amp;" worker(s) / "&amp;ROUND(O9,1)&amp;" labor hrs","Balanced Staffing"))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99CF4E-0805-4A18-95BC-59A0CDB5ABED}" name="Table5" displayName="Table5" ref="N8:P16" totalsRowShown="0" headerRowDxfId="70" headerRowCellStyle="Normal 2">
  <autoFilter ref="N8:P16" xr:uid="{D699CF4E-0805-4A18-95BC-59A0CDB5ABED}"/>
  <tableColumns count="3">
    <tableColumn id="1" xr3:uid="{73B9821D-E8F2-4CA4-8937-35662A0162B1}" name="Workers Gap" dataDxfId="69" dataCellStyle="Normal 2">
      <calculatedColumnFormula>Table2[[#This Row],[Available Staff ]]-Table2[[#This Row],[Needed ]]</calculatedColumnFormula>
    </tableColumn>
    <tableColumn id="3" xr3:uid="{8226F470-62FB-460F-95CD-48B00B714660}" name="Hours Gap" dataDxfId="68" dataCellStyle="Normal 2">
      <calculatedColumnFormula>Table5[[#This Row],[Workers Gap]]*I3</calculatedColumnFormula>
    </tableColumn>
    <tableColumn id="2" xr3:uid="{178486D8-FB3F-4CAE-ADBE-7A8D77938D5C}" name="Status" dataDxfId="67" dataCellStyle="Normal 2">
      <calculatedColumnFormula>IF(N9&lt;0,"Understaffed",IF(N9=0,"Good","Overstaffed"))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D3F5C5-6765-4B7E-93A3-35A7E0BFEF2C}" name="Table2" displayName="Table2" ref="H8:L17" totalsRowCount="1" headerRowDxfId="66" dataDxfId="65" headerRowCellStyle="Normal 2" dataCellStyle="Normal 2">
  <autoFilter ref="H8:L16" xr:uid="{02D3F5C5-6765-4B7E-93A3-35A7E0BFEF2C}"/>
  <tableColumns count="5">
    <tableColumn id="1" xr3:uid="{BB926FF7-849C-4906-A4BD-F7F42866B088}" name="Task" dataDxfId="64" totalsRowDxfId="63" dataCellStyle="Normal 2 2" totalsRowCellStyle="Normal 2 2"/>
    <tableColumn id="2" xr3:uid="{0A22FFD1-2FA5-450C-A4B5-595ABFB04281}" name="Available Staff " dataDxfId="62" totalsRowDxfId="61" dataCellStyle="Normal 2" totalsRowCellStyle="Normal 2">
      <calculatedColumnFormula>COUNTIF(E1:E48, "Unloading")</calculatedColumnFormula>
    </tableColumn>
    <tableColumn id="3" xr3:uid="{C9F64942-2076-4AEE-8338-AD2243C06434}" name="Column1" dataDxfId="60" totalsRowDxfId="59" dataCellStyle="Normal 2" totalsRowCellStyle="Normal 2"/>
    <tableColumn id="4" xr3:uid="{C8A70DF0-CAA5-44DB-9BCE-B278C766B8F7}" name="Inbound/Outbound" totalsRowFunction="custom" dataDxfId="58" totalsRowDxfId="57" dataCellStyle="Normal 2" totalsRowCellStyle="Normal 2">
      <totalsRowFormula>IF(L16&gt;I16,"UnderStaffed",IF(L16=I16,"Good","Overstaffed"))</totalsRowFormula>
    </tableColumn>
    <tableColumn id="5" xr3:uid="{143AE701-55E6-42BA-B5A6-36AD4CA1B96B}" name="Needed " dataDxfId="56" totalsRowDxfId="55" dataCellStyle="Normal 2" totalsRow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E63B43-55FB-4662-9539-B7A6CCB4934C}" name="Table200" displayName="Table200" ref="A1:E98" totalsRowCount="1" headerRowDxfId="54" dataDxfId="53">
  <autoFilter ref="A1:E97" xr:uid="{09E63B43-55FB-4662-9539-B7A6CCB4934C}"/>
  <sortState xmlns:xlrd2="http://schemas.microsoft.com/office/spreadsheetml/2017/richdata2" ref="A2:E97">
    <sortCondition ref="A1:A97"/>
  </sortState>
  <tableColumns count="5">
    <tableColumn id="1" xr3:uid="{378533D2-B1FD-44C5-B565-7FA9D5600218}" name="Name " dataDxfId="13" totalsRowDxfId="4"/>
    <tableColumn id="2" xr3:uid="{EDDC7BD6-648A-46BE-9513-F98A04682A36}" name="Shift" dataDxfId="12" totalsRowDxfId="3" dataCellStyle="Normal 2"/>
    <tableColumn id="6" xr3:uid="{9D0943E1-8A10-4BC8-BCF0-9A4C12BC91ED}" name="Present" totalsRowFunction="custom" dataDxfId="11" totalsRowDxfId="2" dataCellStyle="Normal 2">
      <calculatedColumnFormula>Inputs!G3</calculatedColumnFormula>
      <totalsRowFormula array="1">COUNTIF(G2:G97,x)</totalsRowFormula>
    </tableColumn>
    <tableColumn id="5" xr3:uid="{1B40A01E-A3F7-4A62-96A5-3CBA1141A8EB}" name="Recommended Task" dataDxfId="10" totalsRowDxfId="1">
      <calculatedColumnFormula>IF($C2&lt;&gt;"x","",IFERROR(_xlfn.XLOOKUP($A2,'Staffing sheet 1ST Shift'!$A:$A,'Staffing sheet 1ST Shift'!$I:$I,""),""))</calculatedColumnFormula>
    </tableColumn>
    <tableColumn id="4" xr3:uid="{88340427-7131-40BD-B9A8-B3A216E8CCAB}" name="Today's Task" dataDxfId="9" totalsRowDxfId="0">
      <calculatedColumnFormula>Table200[[#This Row],[Recommended Task]]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261911-6CDB-44AC-A063-856133E57F71}" name="Table2003" displayName="Table2003" ref="A1:I50" totalsRowShown="0" headerRowDxfId="52" dataDxfId="51">
  <autoFilter ref="A1:I50" xr:uid="{3CEE3844-3856-44FC-88A0-BEEBD1D0651B}"/>
  <sortState xmlns:xlrd2="http://schemas.microsoft.com/office/spreadsheetml/2017/richdata2" ref="A2:I50">
    <sortCondition ref="F1:F50"/>
  </sortState>
  <tableColumns count="9">
    <tableColumn id="1" xr3:uid="{D01D1503-798E-4101-9EF8-FFEEB72BBF24}" name="Name " dataDxfId="50" dataCellStyle="Normal 2"/>
    <tableColumn id="7" xr3:uid="{1B9564C3-606B-44E7-9409-BBBC732828D9}" name="Shift " dataDxfId="49" dataCellStyle="Normal 2"/>
    <tableColumn id="9" xr3:uid="{52A2F257-AC52-42E7-B8AD-26B7C5CDEA18}" name="Weekday/Weekend" dataDxfId="48" dataCellStyle="Normal 2"/>
    <tableColumn id="2" xr3:uid="{4391CAFC-B806-47AE-97BA-FE4348B6BBE4}" name="Skills " dataDxfId="47"/>
    <tableColumn id="8" xr3:uid="{6F9C6788-F5C9-4125-950E-7F5BF4CAF572}" name="Forklift Certified" dataDxfId="46"/>
    <tableColumn id="3" xr3:uid="{F271F169-B8C4-4452-8F33-C7A685EAF739}" name="Best Fit" dataDxfId="45"/>
    <tableColumn id="4" xr3:uid="{CC83BD97-B371-42C0-A23B-0907A68EDCB5}" name="Classification" dataDxfId="44"/>
    <tableColumn id="6" xr3:uid="{75015F24-6915-4715-AEBE-AC40105A73DF}" name="Present" dataDxfId="43">
      <calculatedColumnFormula>IFERROR(VLOOKUP($A2,'Crew Sheet'!#REF!,2,FALSE),"")</calculatedColumnFormula>
    </tableColumn>
    <tableColumn id="12" xr3:uid="{FCA61B40-E6E6-4CAB-8923-1B26B7D7B332}" name="Recommended Task" dataDxfId="42">
      <calculatedColumnFormula>IF($T2&lt;&gt;"x","",
IF(TRIM($D2)="P","Picking",
IF(AND(COUNTIF($F2,"*Unload*"),COUNTIF($D2,"*U*")),"Unloading",
IF(AND(COUNTIF($D2,"*L*"),COUNTIFS($I$1:I1,"Loading",$T$1:T1,"x")&lt;ROUNDUP(_xlfn.XLOOKUP("Loaders",'Crew Sheet'!$H:$H,'Crew Sheet'!$L:$L),0)),"Loading",
IF(AND(COUNTIF($D2,"*R*"),COUNTIFS($I$1:I1,"Receiving",$T$1:T1,"x")&lt;ROUNDUP(SUM('Crew Sheet'!$L$10:$L$11),0)),"Receiving",
IF(AND(COUNTIF($F2,"*Pick*"),COUNTIF($D2,"*P*")),"Picking",
IF(AND(COUNTIF($F2,"*Task*"),COUNTIF($D2,"*T*")),"Replen/Pallets/Putaways",
IF(COUNTIF($D2,"*T*"),"Replen/Pallets/Putaways","Lead/Extra"))))))))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EE6F0C-CE4C-4D11-98FB-5884BAB966E0}" name="Table3" displayName="Table3" ref="N1:O5" totalsRowShown="0" headerRowCellStyle="Normal 2" dataCellStyle="Normal 2">
  <autoFilter ref="N1:O5" xr:uid="{7FEE6F0C-CE4C-4D11-98FB-5884BAB966E0}"/>
  <tableColumns count="2">
    <tableColumn id="1" xr3:uid="{726606FB-E071-4E2B-BE12-020B8EA9826F}" name="Standard " dataCellStyle="Normal 2"/>
    <tableColumn id="2" xr3:uid="{C8C357C2-716C-430C-AAD6-E2021F1B2F6D}" name="Value" dataCellStyle="Normal 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AEE7679-E46B-41EC-946F-0414834C3BF2}" name="Table20039" displayName="Table20039" ref="A1:I51" totalsRowShown="0" headerRowDxfId="41" dataDxfId="40">
  <autoFilter ref="A1:I51" xr:uid="{CAEE7679-E46B-41EC-946F-0414834C3BF2}"/>
  <sortState xmlns:xlrd2="http://schemas.microsoft.com/office/spreadsheetml/2017/richdata2" ref="A2:I51">
    <sortCondition ref="A1:A51"/>
  </sortState>
  <tableColumns count="9">
    <tableColumn id="1" xr3:uid="{0047C0B9-910B-411A-AA90-4049AA6B6E31}" name="Name " dataDxfId="39" dataCellStyle="Normal 2"/>
    <tableColumn id="7" xr3:uid="{9F31F817-5384-4EA3-8CCB-719BFB212D62}" name="Shift " dataDxfId="38" dataCellStyle="Normal 2"/>
    <tableColumn id="9" xr3:uid="{872D6743-106A-4EFA-A85C-0D0F0DD69C29}" name="Weekday/Weekend" dataDxfId="37" dataCellStyle="Normal 2"/>
    <tableColumn id="2" xr3:uid="{F93C46E1-679B-49EE-BF09-DB28F1CB55E4}" name="Skills " dataDxfId="36"/>
    <tableColumn id="8" xr3:uid="{D478939E-F43B-4495-957A-89D310F2057C}" name="Forklift Certified" dataDxfId="35"/>
    <tableColumn id="3" xr3:uid="{DF1EA81B-3A8F-4DC0-B1DD-5EF399424F3C}" name="Best Fit" dataDxfId="34"/>
    <tableColumn id="4" xr3:uid="{B7BE5BE4-3821-4CC8-9BD1-9C75D4BFB9E7}" name="Classification" dataDxfId="33"/>
    <tableColumn id="6" xr3:uid="{2416C68C-97B7-44FC-9013-30D70CF8C9CB}" name="Present" dataDxfId="32">
      <calculatedColumnFormula>IFERROR(VLOOKUP($A2,'Crew Sheet'!#REF!,2,FALSE),"")</calculatedColumnFormula>
    </tableColumn>
    <tableColumn id="12" xr3:uid="{3E60B2E9-94F9-4227-99CF-817F62A8E8EC}" name="Recommended Task" dataDxfId="31">
      <calculatedColumnFormula>IF($T2&lt;&gt;"x","",
IF(TRIM($D2)="P","Picking",
IF(AND(COUNTIF($F2,"*Unload*"),COUNTIF($D2,"*U*")),"Unloading",
IF(AND(COUNTIF($D2,"*L*"),COUNTIFS($I$1:I1,"Loading",$T$1:T1,"x")&lt;ROUNDUP(_xlfn.XLOOKUP("Loaders",'Crew Sheet'!$H:$H,'Crew Sheet'!$L:$L),0)),"Loading",
IF(AND(COUNTIF($D2,"*R*"),COUNTIFS($I$1:I1,"Receiving",$T$1:T1,"x")&lt;ROUNDUP(SUM('Crew Sheet'!$L$10:$L$11),0)),"Receiving",
IF(AND(COUNTIF($F2,"*Pick*"),COUNTIF($D2,"*P*")),"Picking",
IF(AND(COUNTIF($F2,"*Task*"),COUNTIF($D2,"*T*")),"Replen/Pallets/Putaways",
IF(COUNTIF($D2,"*T*"),"Replen/Pallets/Putaways","Lead/Extra"))))))))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440D80-F8E3-4B48-BD38-7861156ED3DE}" name="Table7" displayName="Table7" ref="A3:M946" totalsRowShown="0" headerRowDxfId="30" dataDxfId="28" headerRowBorderDxfId="29" tableBorderDxfId="27">
  <autoFilter ref="A3:M946" xr:uid="{79440D80-F8E3-4B48-BD38-7861156ED3DE}">
    <filterColumn colId="0">
      <filters>
        <filter val="Thursday"/>
      </filters>
    </filterColumn>
  </autoFilter>
  <tableColumns count="13">
    <tableColumn id="1" xr3:uid="{97F94ED2-44B9-4F05-96CA-45D67E7FD6E6}" name="Day" dataDxfId="26"/>
    <tableColumn id="2" xr3:uid="{15BC200D-2A7D-42A9-816F-F61F2B352644}" name="Date" dataDxfId="25"/>
    <tableColumn id="3" xr3:uid="{6E8128F9-ADFB-4EFB-8B49-1C4E71DD7EF0}" name="1st Pallets" dataDxfId="24">
      <calculatedColumnFormula>O29*$P$27</calculatedColumnFormula>
    </tableColumn>
    <tableColumn id="4" xr3:uid="{90F78137-FFC5-41E3-A9D9-5A0EC5FE4975}" name="1st Cases" dataDxfId="23"/>
    <tableColumn id="5" xr3:uid="{8200FF7F-BCF8-48C8-B0CB-303683386417}" name="2nd Pallets" dataDxfId="22">
      <calculatedColumnFormula>R29*$P$27</calculatedColumnFormula>
    </tableColumn>
    <tableColumn id="6" xr3:uid="{02468058-7DEC-41C7-8DCB-CF982D43399D}" name="2nd Cases" dataDxfId="21"/>
    <tableColumn id="7" xr3:uid="{BBC0DD35-D943-46F1-B706-5784D7369796}" name="Total Cases" dataDxfId="20">
      <calculatedColumnFormula>SUM(C4:F4)</calculatedColumnFormula>
    </tableColumn>
    <tableColumn id="8" xr3:uid="{D9CAC310-34BD-45FD-8673-1F1D643911B2}" name="Pallets 1st" dataDxfId="19">
      <calculatedColumnFormula>IFERROR(C4/G4,0)</calculatedColumnFormula>
    </tableColumn>
    <tableColumn id="9" xr3:uid="{A5ECACF9-8EA9-40BA-8495-E5D08AA0FB8C}" name="Pallets 2nd" dataDxfId="18">
      <calculatedColumnFormula>IFERROR(E4/G4,0)</calculatedColumnFormula>
    </tableColumn>
    <tableColumn id="10" xr3:uid="{8DEA38E9-29BD-4BB9-99DC-B451FD1006E7}" name="Cases 1st" dataDxfId="17">
      <calculatedColumnFormula>IFERROR(D4/G4,0)</calculatedColumnFormula>
    </tableColumn>
    <tableColumn id="11" xr3:uid="{6945D6B2-198F-483D-A794-06650B4628CF}" name="Cases 2nd" dataDxfId="16">
      <calculatedColumnFormula>IFERROR(F4/G4,0)</calculatedColumnFormula>
    </tableColumn>
    <tableColumn id="12" xr3:uid="{F0AE8DE5-4171-4614-8CC7-F76DDB35C172}" name="Total Pallets" dataDxfId="15">
      <calculatedColumnFormula>IFERROR((C4+E4)/G4, 0)</calculatedColumnFormula>
    </tableColumn>
    <tableColumn id="13" xr3:uid="{7AFE8EA3-98E3-469A-8F81-658415A70ED8}" name="Total Case Pick" dataDxfId="14">
      <calculatedColumnFormula>IFERROR((D4+F4)/G4,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AA8D1-D58E-4CFF-B352-1EA32E7C8193}">
  <dimension ref="A1:Q98"/>
  <sheetViews>
    <sheetView topLeftCell="A12" workbookViewId="0">
      <selection activeCell="F16" sqref="F16"/>
    </sheetView>
  </sheetViews>
  <sheetFormatPr defaultRowHeight="15" x14ac:dyDescent="0.25"/>
  <cols>
    <col min="1" max="1" width="23.7109375" bestFit="1" customWidth="1"/>
    <col min="2" max="2" width="11.85546875" bestFit="1" customWidth="1"/>
    <col min="5" max="5" width="25.28515625" bestFit="1" customWidth="1"/>
    <col min="6" max="6" width="7.5703125" customWidth="1"/>
    <col min="7" max="7" width="10.5703125" customWidth="1"/>
    <col min="8" max="8" width="21.85546875" hidden="1" customWidth="1"/>
    <col min="9" max="9" width="11.85546875" bestFit="1" customWidth="1"/>
    <col min="10" max="10" width="11.140625" hidden="1" customWidth="1"/>
    <col min="11" max="11" width="9.140625" hidden="1" customWidth="1"/>
    <col min="12" max="12" width="14.140625" bestFit="1" customWidth="1"/>
    <col min="14" max="14" width="12" customWidth="1"/>
    <col min="15" max="15" width="26" bestFit="1" customWidth="1"/>
  </cols>
  <sheetData>
    <row r="1" spans="1:17" ht="15.75" x14ac:dyDescent="0.25">
      <c r="A1" s="90" t="s">
        <v>6</v>
      </c>
      <c r="B1" s="62"/>
      <c r="C1" s="78"/>
      <c r="D1" s="79"/>
      <c r="E1" s="93" t="s">
        <v>211</v>
      </c>
      <c r="F1" s="93"/>
      <c r="G1" s="80"/>
      <c r="H1" s="37" t="s">
        <v>129</v>
      </c>
      <c r="I1" s="76"/>
      <c r="J1" t="s">
        <v>8</v>
      </c>
      <c r="K1">
        <v>1</v>
      </c>
      <c r="L1" s="94" t="s">
        <v>218</v>
      </c>
      <c r="M1" s="88">
        <f>COUNTIF(G3:G52, "x") + COUNTIF(P3:P52, "x")</f>
        <v>0</v>
      </c>
      <c r="O1" s="97"/>
      <c r="P1" s="97"/>
      <c r="Q1" s="96"/>
    </row>
    <row r="2" spans="1:17" ht="15.75" x14ac:dyDescent="0.25">
      <c r="A2" s="90" t="s">
        <v>13</v>
      </c>
      <c r="B2" s="62"/>
      <c r="C2" s="76"/>
      <c r="D2" s="79"/>
      <c r="E2" s="127" t="s">
        <v>0</v>
      </c>
      <c r="F2" s="128" t="s">
        <v>13</v>
      </c>
      <c r="G2" s="129" t="s">
        <v>199</v>
      </c>
      <c r="H2" s="37" t="s">
        <v>210</v>
      </c>
      <c r="I2" s="76"/>
      <c r="J2" t="s">
        <v>210</v>
      </c>
      <c r="K2">
        <v>2</v>
      </c>
      <c r="O2" s="97"/>
      <c r="P2" s="130"/>
    </row>
    <row r="3" spans="1:17" ht="15.75" x14ac:dyDescent="0.25">
      <c r="A3" s="90" t="s">
        <v>20</v>
      </c>
      <c r="B3" s="62"/>
      <c r="C3" s="78"/>
      <c r="D3" s="79"/>
      <c r="E3" s="115" t="s">
        <v>276</v>
      </c>
      <c r="F3" s="81">
        <v>1</v>
      </c>
      <c r="G3" s="123"/>
      <c r="H3" s="37" t="s">
        <v>21</v>
      </c>
      <c r="I3" s="76"/>
      <c r="J3" t="s">
        <v>21</v>
      </c>
      <c r="O3" s="95"/>
      <c r="P3" s="55"/>
    </row>
    <row r="4" spans="1:17" ht="15.75" x14ac:dyDescent="0.25">
      <c r="A4" s="90" t="s">
        <v>209</v>
      </c>
      <c r="B4" s="62">
        <v>9.5</v>
      </c>
      <c r="C4" s="37"/>
      <c r="E4" s="117" t="s">
        <v>223</v>
      </c>
      <c r="F4" s="114">
        <v>2</v>
      </c>
      <c r="G4" s="124"/>
      <c r="H4" s="37" t="s">
        <v>26</v>
      </c>
      <c r="I4" s="76"/>
      <c r="O4" s="95"/>
      <c r="P4" s="55"/>
    </row>
    <row r="5" spans="1:17" ht="15.75" x14ac:dyDescent="0.25">
      <c r="A5" s="91" t="s">
        <v>25</v>
      </c>
      <c r="B5" s="43">
        <f>IF(B2="1st",
IF(B1="Sunday",B3*0.2,
IF(B1="Monday",B3*0.18,
IF(B1="Tuesday",B3*0.18,
IF(B1="Wednesday",B3*0.19,
IF(B1="Thursday",B3*0.19,
IF(B1="Friday",B3*0.18,
IF(B1="Saturday",B3*0.21,0))))))),
IF(B2="2nd",
IF(B1="Sunday",B3*0.19,
IF(B1="Monday",B3*0.15,
IF(B1="Tuesday",B3*0.15,
IF(B1="Wednesday",B3*0.17,
IF(B1="Thursday",B3*0.17,
IF(B1="Friday",B3*0.17,
IF(B1="Saturday",B3*0.19,0))))))),
0))</f>
        <v>0</v>
      </c>
      <c r="C5" s="43"/>
      <c r="E5" s="116" t="s">
        <v>16</v>
      </c>
      <c r="F5" s="81">
        <v>1</v>
      </c>
      <c r="G5" s="124"/>
      <c r="H5" s="37" t="s">
        <v>7</v>
      </c>
      <c r="I5" s="76"/>
      <c r="J5" t="s">
        <v>26</v>
      </c>
      <c r="O5" s="95"/>
      <c r="P5" s="55"/>
    </row>
    <row r="6" spans="1:17" ht="15.75" x14ac:dyDescent="0.25">
      <c r="A6" s="91" t="s">
        <v>208</v>
      </c>
      <c r="B6" s="43">
        <f>IF(AND(B1="Sunday",B2="1st"),B3*0.28,
IF(AND(B1="Monday",B2="1st"),B3*0.32,
IF(AND(B1="Tuesday",B2="1st"),B3*0.4,
IF(AND(B1="Wednesday",B2="1st"),B3*0.35,
IF(AND(B1="Thursday",B2="1st"),B3*0.35,
IF(AND(B1="Friday",B2="1st"),B3*0.36,
IF(AND(B1="Saturday",B2="1st"),B3*0.31,
IF(AND(B1="Sunday",B2="2nd"),B3*0.32,
IF(AND(B1="Monday",B2="2nd"),B3*0.33,
IF(AND(B1="Tuesday",B2="2nd"),B3*0.27,
IF(AND(B1="Wednesday",B2="2nd"),B3*0.29,
IF(AND(B1="Thursday",B2="2nd"),B3*0.28,
IF(AND(B1="Friday",B2="2nd"),B3*0.3,
IF(AND(B1="Saturday",B2="2nd"),B3*0.3,0))))))))))))))/70</f>
        <v>0</v>
      </c>
      <c r="C6" s="43"/>
      <c r="E6" s="115" t="s">
        <v>144</v>
      </c>
      <c r="F6" s="81">
        <v>1</v>
      </c>
      <c r="G6" s="123"/>
      <c r="H6" s="37" t="s">
        <v>30</v>
      </c>
      <c r="I6" s="77"/>
      <c r="J6" t="s">
        <v>7</v>
      </c>
      <c r="O6" s="95"/>
      <c r="P6" s="55"/>
    </row>
    <row r="7" spans="1:17" ht="15.75" x14ac:dyDescent="0.25">
      <c r="A7" s="92" t="s">
        <v>29</v>
      </c>
      <c r="B7" s="83">
        <f>(B3/70) / 25 *0.52</f>
        <v>0</v>
      </c>
      <c r="C7" s="43"/>
      <c r="E7" s="116" t="s">
        <v>190</v>
      </c>
      <c r="F7" s="81">
        <v>1</v>
      </c>
      <c r="G7" s="124"/>
      <c r="H7" s="37" t="s">
        <v>31</v>
      </c>
      <c r="I7" s="77"/>
      <c r="J7" t="s">
        <v>30</v>
      </c>
      <c r="O7" s="95"/>
      <c r="P7" s="55"/>
    </row>
    <row r="8" spans="1:17" ht="15.75" x14ac:dyDescent="0.25">
      <c r="A8" s="89" t="s">
        <v>82</v>
      </c>
      <c r="B8" s="84"/>
      <c r="E8" s="115" t="s">
        <v>188</v>
      </c>
      <c r="F8" s="81">
        <v>1</v>
      </c>
      <c r="G8" s="123"/>
      <c r="H8" s="37"/>
      <c r="I8" s="77"/>
      <c r="J8" t="s">
        <v>31</v>
      </c>
      <c r="O8" s="95"/>
      <c r="P8" s="55"/>
    </row>
    <row r="9" spans="1:17" ht="15.75" x14ac:dyDescent="0.25">
      <c r="A9" s="89" t="s">
        <v>86</v>
      </c>
      <c r="B9" s="84"/>
      <c r="E9" s="118" t="s">
        <v>224</v>
      </c>
      <c r="F9" s="114">
        <v>2</v>
      </c>
      <c r="G9" s="123"/>
      <c r="O9" s="95"/>
      <c r="P9" s="55"/>
    </row>
    <row r="10" spans="1:17" x14ac:dyDescent="0.25">
      <c r="A10" s="89" t="s">
        <v>87</v>
      </c>
      <c r="B10" s="84"/>
      <c r="E10" s="119" t="s">
        <v>225</v>
      </c>
      <c r="F10" s="114">
        <v>2</v>
      </c>
      <c r="G10" s="126"/>
      <c r="O10" s="95"/>
      <c r="P10" s="55"/>
    </row>
    <row r="11" spans="1:17" x14ac:dyDescent="0.25">
      <c r="E11" s="119" t="s">
        <v>226</v>
      </c>
      <c r="F11" s="114">
        <v>2</v>
      </c>
      <c r="G11" s="126"/>
      <c r="O11" s="95"/>
      <c r="P11" s="55"/>
    </row>
    <row r="12" spans="1:17" ht="15.75" x14ac:dyDescent="0.25">
      <c r="E12" s="116" t="s">
        <v>22</v>
      </c>
      <c r="F12" s="81">
        <v>1</v>
      </c>
      <c r="G12" s="124"/>
      <c r="O12" s="95"/>
      <c r="P12" s="55"/>
    </row>
    <row r="13" spans="1:17" ht="15.75" x14ac:dyDescent="0.25">
      <c r="A13" s="86" t="s">
        <v>212</v>
      </c>
      <c r="E13" s="115" t="s">
        <v>27</v>
      </c>
      <c r="F13" s="81">
        <v>1</v>
      </c>
      <c r="G13" s="123"/>
      <c r="O13" s="95"/>
      <c r="P13" s="55"/>
    </row>
    <row r="14" spans="1:17" ht="15.75" x14ac:dyDescent="0.25">
      <c r="A14" s="37" t="s">
        <v>141</v>
      </c>
      <c r="E14" s="120" t="s">
        <v>227</v>
      </c>
      <c r="F14" s="114">
        <v>2</v>
      </c>
      <c r="G14" s="126"/>
      <c r="O14" s="95"/>
      <c r="P14" s="55"/>
    </row>
    <row r="15" spans="1:17" ht="15.75" x14ac:dyDescent="0.25">
      <c r="A15" s="37" t="s">
        <v>170</v>
      </c>
      <c r="E15" s="118" t="s">
        <v>228</v>
      </c>
      <c r="F15" s="114">
        <v>2</v>
      </c>
      <c r="G15" s="126"/>
      <c r="O15" s="95"/>
      <c r="P15" s="55"/>
    </row>
    <row r="16" spans="1:17" x14ac:dyDescent="0.25">
      <c r="E16" s="157" t="s">
        <v>278</v>
      </c>
      <c r="F16" s="158">
        <v>1</v>
      </c>
      <c r="G16" s="126"/>
      <c r="O16" s="95"/>
      <c r="P16" s="55"/>
    </row>
    <row r="17" spans="3:16" x14ac:dyDescent="0.25">
      <c r="E17" s="118" t="s">
        <v>229</v>
      </c>
      <c r="F17" s="114">
        <v>2</v>
      </c>
      <c r="G17" s="126"/>
      <c r="O17" s="95"/>
      <c r="P17" s="55"/>
    </row>
    <row r="18" spans="3:16" x14ac:dyDescent="0.25">
      <c r="E18" s="118" t="s">
        <v>230</v>
      </c>
      <c r="F18" s="114">
        <v>2</v>
      </c>
      <c r="G18" s="126"/>
      <c r="O18" s="95"/>
      <c r="P18" s="55"/>
    </row>
    <row r="19" spans="3:16" x14ac:dyDescent="0.25">
      <c r="C19" s="82"/>
      <c r="E19" s="118" t="s">
        <v>231</v>
      </c>
      <c r="F19" s="114">
        <v>2</v>
      </c>
      <c r="G19" s="126"/>
      <c r="O19" s="95"/>
      <c r="P19" s="55"/>
    </row>
    <row r="20" spans="3:16" ht="15.75" x14ac:dyDescent="0.25">
      <c r="E20" s="115" t="s">
        <v>221</v>
      </c>
      <c r="F20" s="81">
        <v>1</v>
      </c>
      <c r="G20" s="124"/>
      <c r="O20" s="95"/>
      <c r="P20" s="55"/>
    </row>
    <row r="21" spans="3:16" ht="15.75" x14ac:dyDescent="0.25">
      <c r="E21" s="116" t="s">
        <v>46</v>
      </c>
      <c r="F21" s="81">
        <v>1</v>
      </c>
      <c r="G21" s="124"/>
      <c r="O21" s="95"/>
      <c r="P21" s="55"/>
    </row>
    <row r="22" spans="3:16" ht="15.75" x14ac:dyDescent="0.25">
      <c r="E22" s="115" t="s">
        <v>49</v>
      </c>
      <c r="F22" s="81">
        <v>1</v>
      </c>
      <c r="G22" s="123"/>
      <c r="O22" s="95"/>
      <c r="P22" s="55"/>
    </row>
    <row r="23" spans="3:16" ht="15.75" x14ac:dyDescent="0.25">
      <c r="E23" s="116" t="s">
        <v>51</v>
      </c>
      <c r="F23" s="81">
        <v>1</v>
      </c>
      <c r="G23" s="124"/>
      <c r="O23" s="95"/>
      <c r="P23" s="55"/>
    </row>
    <row r="24" spans="3:16" x14ac:dyDescent="0.25">
      <c r="E24" s="119" t="s">
        <v>232</v>
      </c>
      <c r="F24" s="114">
        <v>2</v>
      </c>
      <c r="G24" s="126"/>
      <c r="O24" s="95"/>
      <c r="P24" s="55"/>
    </row>
    <row r="25" spans="3:16" ht="15.75" x14ac:dyDescent="0.25">
      <c r="E25" s="115" t="s">
        <v>53</v>
      </c>
      <c r="F25" s="81">
        <v>1</v>
      </c>
      <c r="G25" s="123"/>
      <c r="O25" s="95"/>
      <c r="P25" s="55"/>
    </row>
    <row r="26" spans="3:16" ht="15.75" x14ac:dyDescent="0.25">
      <c r="E26" s="116" t="s">
        <v>55</v>
      </c>
      <c r="F26" s="81">
        <v>1</v>
      </c>
      <c r="G26" s="124"/>
      <c r="O26" s="95"/>
      <c r="P26" s="55"/>
    </row>
    <row r="27" spans="3:16" x14ac:dyDescent="0.25">
      <c r="E27" s="119" t="s">
        <v>233</v>
      </c>
      <c r="F27" s="114">
        <v>2</v>
      </c>
      <c r="G27" s="126"/>
      <c r="O27" s="95"/>
      <c r="P27" s="55"/>
    </row>
    <row r="28" spans="3:16" x14ac:dyDescent="0.25">
      <c r="E28" s="118" t="s">
        <v>234</v>
      </c>
      <c r="F28" s="114">
        <v>2</v>
      </c>
      <c r="G28" s="126"/>
      <c r="O28" s="95"/>
      <c r="P28" s="55"/>
    </row>
    <row r="29" spans="3:16" x14ac:dyDescent="0.25">
      <c r="E29" s="119" t="s">
        <v>235</v>
      </c>
      <c r="F29" s="114">
        <v>2</v>
      </c>
      <c r="G29" s="126"/>
      <c r="O29" s="95"/>
      <c r="P29" s="55"/>
    </row>
    <row r="30" spans="3:16" ht="15.75" x14ac:dyDescent="0.25">
      <c r="E30" s="115" t="s">
        <v>171</v>
      </c>
      <c r="F30" s="81">
        <v>1</v>
      </c>
      <c r="G30" s="123"/>
      <c r="O30" s="95"/>
      <c r="P30" s="55"/>
    </row>
    <row r="31" spans="3:16" ht="15.75" x14ac:dyDescent="0.25">
      <c r="E31" s="116" t="s">
        <v>56</v>
      </c>
      <c r="F31" s="81">
        <v>1</v>
      </c>
      <c r="G31" s="124"/>
      <c r="O31" s="95"/>
      <c r="P31" s="55"/>
    </row>
    <row r="32" spans="3:16" ht="15.75" x14ac:dyDescent="0.25">
      <c r="E32" s="153" t="s">
        <v>277</v>
      </c>
      <c r="F32" s="154">
        <v>1</v>
      </c>
      <c r="G32" s="123"/>
      <c r="O32" s="95"/>
      <c r="P32" s="55"/>
    </row>
    <row r="33" spans="5:16" x14ac:dyDescent="0.25">
      <c r="E33" s="119" t="s">
        <v>236</v>
      </c>
      <c r="F33" s="114">
        <v>2</v>
      </c>
      <c r="G33" s="126"/>
      <c r="O33" s="95"/>
      <c r="P33" s="55"/>
    </row>
    <row r="34" spans="5:16" x14ac:dyDescent="0.25">
      <c r="E34" s="119" t="s">
        <v>237</v>
      </c>
      <c r="F34" s="114">
        <v>2</v>
      </c>
      <c r="G34" s="126"/>
      <c r="O34" s="95"/>
      <c r="P34" s="55"/>
    </row>
    <row r="35" spans="5:16" ht="15.75" x14ac:dyDescent="0.25">
      <c r="E35" s="115" t="s">
        <v>172</v>
      </c>
      <c r="F35" s="81">
        <v>1</v>
      </c>
      <c r="G35" s="123"/>
      <c r="O35" s="95"/>
      <c r="P35" s="55"/>
    </row>
    <row r="36" spans="5:16" ht="15.75" x14ac:dyDescent="0.25">
      <c r="E36" s="116" t="s">
        <v>173</v>
      </c>
      <c r="F36" s="81">
        <v>1</v>
      </c>
      <c r="G36" s="124"/>
      <c r="O36" s="95"/>
      <c r="P36" s="55"/>
    </row>
    <row r="37" spans="5:16" ht="15.75" x14ac:dyDescent="0.25">
      <c r="E37" s="115" t="s">
        <v>180</v>
      </c>
      <c r="F37" s="81">
        <v>1</v>
      </c>
      <c r="G37" s="123"/>
      <c r="O37" s="95"/>
      <c r="P37" s="55"/>
    </row>
    <row r="38" spans="5:16" x14ac:dyDescent="0.25">
      <c r="E38" s="119" t="s">
        <v>238</v>
      </c>
      <c r="F38" s="114">
        <v>2</v>
      </c>
      <c r="G38" s="126"/>
      <c r="O38" s="95"/>
      <c r="P38" s="55"/>
    </row>
    <row r="39" spans="5:16" x14ac:dyDescent="0.25">
      <c r="E39" s="119" t="s">
        <v>239</v>
      </c>
      <c r="F39" s="114">
        <v>2</v>
      </c>
      <c r="G39" s="126"/>
      <c r="O39" s="95"/>
      <c r="P39" s="55"/>
    </row>
    <row r="40" spans="5:16" ht="15.75" x14ac:dyDescent="0.25">
      <c r="E40" s="116" t="s">
        <v>60</v>
      </c>
      <c r="F40" s="81">
        <v>1</v>
      </c>
      <c r="G40" s="124"/>
      <c r="O40" s="95"/>
      <c r="P40" s="55"/>
    </row>
    <row r="41" spans="5:16" x14ac:dyDescent="0.25">
      <c r="E41" s="119" t="s">
        <v>240</v>
      </c>
      <c r="F41" s="114">
        <v>2</v>
      </c>
      <c r="G41" s="126"/>
      <c r="O41" s="95"/>
      <c r="P41" s="55"/>
    </row>
    <row r="42" spans="5:16" ht="15.75" x14ac:dyDescent="0.25">
      <c r="E42" s="115" t="s">
        <v>61</v>
      </c>
      <c r="F42" s="81">
        <v>1</v>
      </c>
      <c r="G42" s="123"/>
      <c r="O42" s="95"/>
      <c r="P42" s="55"/>
    </row>
    <row r="43" spans="5:16" ht="15.75" x14ac:dyDescent="0.25">
      <c r="E43" s="116" t="s">
        <v>146</v>
      </c>
      <c r="F43" s="81">
        <v>1</v>
      </c>
      <c r="G43" s="124"/>
      <c r="O43" s="95"/>
      <c r="P43" s="55"/>
    </row>
    <row r="44" spans="5:16" ht="15.75" x14ac:dyDescent="0.25">
      <c r="E44" s="115" t="s">
        <v>147</v>
      </c>
      <c r="F44" s="81">
        <v>1</v>
      </c>
      <c r="G44" s="123"/>
      <c r="O44" s="95"/>
      <c r="P44" s="55"/>
    </row>
    <row r="45" spans="5:16" x14ac:dyDescent="0.25">
      <c r="E45" s="118" t="s">
        <v>241</v>
      </c>
      <c r="F45" s="114">
        <v>2</v>
      </c>
      <c r="G45" s="126"/>
      <c r="O45" s="95"/>
      <c r="P45" s="55"/>
    </row>
    <row r="46" spans="5:16" x14ac:dyDescent="0.25">
      <c r="E46" s="118" t="s">
        <v>242</v>
      </c>
      <c r="F46" s="114">
        <v>2</v>
      </c>
      <c r="G46" s="126"/>
      <c r="O46" s="95"/>
      <c r="P46" s="55"/>
    </row>
    <row r="47" spans="5:16" x14ac:dyDescent="0.25">
      <c r="E47" s="119" t="s">
        <v>243</v>
      </c>
      <c r="F47" s="114">
        <v>2</v>
      </c>
      <c r="G47" s="126"/>
      <c r="O47" s="95"/>
      <c r="P47" s="55"/>
    </row>
    <row r="48" spans="5:16" x14ac:dyDescent="0.25">
      <c r="E48" s="118" t="s">
        <v>244</v>
      </c>
      <c r="F48" s="114">
        <v>2</v>
      </c>
      <c r="G48" s="126"/>
      <c r="O48" s="95"/>
      <c r="P48" s="55"/>
    </row>
    <row r="49" spans="5:16" ht="15.75" x14ac:dyDescent="0.25">
      <c r="E49" s="116" t="s">
        <v>203</v>
      </c>
      <c r="F49" s="81">
        <v>1</v>
      </c>
      <c r="G49" s="124"/>
      <c r="O49" s="95"/>
      <c r="P49" s="55"/>
    </row>
    <row r="50" spans="5:16" x14ac:dyDescent="0.25">
      <c r="E50" s="118" t="s">
        <v>245</v>
      </c>
      <c r="F50" s="114">
        <v>2</v>
      </c>
      <c r="G50" s="126"/>
      <c r="O50" s="95"/>
      <c r="P50" s="55"/>
    </row>
    <row r="51" spans="5:16" x14ac:dyDescent="0.25">
      <c r="E51" s="118" t="s">
        <v>246</v>
      </c>
      <c r="F51" s="114">
        <v>2</v>
      </c>
      <c r="G51" s="126"/>
      <c r="O51" s="95"/>
      <c r="P51" s="55"/>
    </row>
    <row r="52" spans="5:16" x14ac:dyDescent="0.25">
      <c r="E52" s="118" t="s">
        <v>247</v>
      </c>
      <c r="F52" s="114">
        <v>2</v>
      </c>
      <c r="G52" s="126"/>
      <c r="O52" s="95"/>
      <c r="P52" s="95"/>
    </row>
    <row r="53" spans="5:16" ht="15.75" x14ac:dyDescent="0.25">
      <c r="E53" s="115" t="s">
        <v>66</v>
      </c>
      <c r="F53" s="81">
        <v>1</v>
      </c>
      <c r="G53" s="123"/>
    </row>
    <row r="54" spans="5:16" ht="15.75" x14ac:dyDescent="0.25">
      <c r="E54" s="116" t="s">
        <v>222</v>
      </c>
      <c r="F54" s="81">
        <v>1</v>
      </c>
      <c r="G54" s="123"/>
    </row>
    <row r="55" spans="5:16" x14ac:dyDescent="0.25">
      <c r="E55" s="119" t="s">
        <v>248</v>
      </c>
      <c r="F55" s="114">
        <v>2</v>
      </c>
      <c r="G55" s="126"/>
    </row>
    <row r="56" spans="5:16" x14ac:dyDescent="0.25">
      <c r="E56" s="117" t="s">
        <v>249</v>
      </c>
      <c r="F56" s="114">
        <v>2</v>
      </c>
      <c r="G56" s="126"/>
    </row>
    <row r="57" spans="5:16" ht="15.75" x14ac:dyDescent="0.25">
      <c r="E57" s="116" t="s">
        <v>174</v>
      </c>
      <c r="F57" s="81">
        <v>1</v>
      </c>
      <c r="G57" s="124"/>
    </row>
    <row r="58" spans="5:16" ht="15.75" x14ac:dyDescent="0.25">
      <c r="E58" s="115" t="s">
        <v>183</v>
      </c>
      <c r="F58" s="81">
        <v>1</v>
      </c>
      <c r="G58" s="123"/>
    </row>
    <row r="59" spans="5:16" ht="15.75" x14ac:dyDescent="0.25">
      <c r="E59" s="116" t="s">
        <v>202</v>
      </c>
      <c r="F59" s="81">
        <v>1</v>
      </c>
      <c r="G59" s="124"/>
    </row>
    <row r="60" spans="5:16" x14ac:dyDescent="0.25">
      <c r="E60" s="117" t="s">
        <v>250</v>
      </c>
      <c r="F60" s="114">
        <v>2</v>
      </c>
      <c r="G60" s="126"/>
    </row>
    <row r="61" spans="5:16" x14ac:dyDescent="0.25">
      <c r="E61" s="119" t="s">
        <v>251</v>
      </c>
      <c r="F61" s="114">
        <v>2</v>
      </c>
      <c r="G61" s="126"/>
    </row>
    <row r="62" spans="5:16" x14ac:dyDescent="0.25">
      <c r="E62" s="118" t="s">
        <v>252</v>
      </c>
      <c r="F62" s="114">
        <v>2</v>
      </c>
      <c r="G62" s="126"/>
    </row>
    <row r="63" spans="5:16" ht="15.75" x14ac:dyDescent="0.25">
      <c r="E63" s="115" t="s">
        <v>181</v>
      </c>
      <c r="F63" s="81">
        <v>1</v>
      </c>
      <c r="G63" s="123"/>
    </row>
    <row r="64" spans="5:16" x14ac:dyDescent="0.25">
      <c r="E64" s="119" t="s">
        <v>253</v>
      </c>
      <c r="F64" s="114">
        <v>2</v>
      </c>
      <c r="G64" s="126"/>
    </row>
    <row r="65" spans="5:7" x14ac:dyDescent="0.25">
      <c r="E65" s="119" t="s">
        <v>254</v>
      </c>
      <c r="F65" s="114">
        <v>2</v>
      </c>
      <c r="G65" s="126"/>
    </row>
    <row r="66" spans="5:7" ht="15.75" x14ac:dyDescent="0.25">
      <c r="E66" s="116" t="s">
        <v>145</v>
      </c>
      <c r="F66" s="81">
        <v>1</v>
      </c>
      <c r="G66" s="124"/>
    </row>
    <row r="67" spans="5:7" x14ac:dyDescent="0.25">
      <c r="E67" s="119" t="s">
        <v>255</v>
      </c>
      <c r="F67" s="114">
        <v>2</v>
      </c>
      <c r="G67" s="126"/>
    </row>
    <row r="68" spans="5:7" x14ac:dyDescent="0.25">
      <c r="E68" s="119" t="s">
        <v>256</v>
      </c>
      <c r="F68" s="114">
        <v>2</v>
      </c>
      <c r="G68" s="126"/>
    </row>
    <row r="69" spans="5:7" x14ac:dyDescent="0.25">
      <c r="E69" s="119" t="s">
        <v>257</v>
      </c>
      <c r="F69" s="114">
        <v>2</v>
      </c>
      <c r="G69" s="126"/>
    </row>
    <row r="70" spans="5:7" ht="15.75" x14ac:dyDescent="0.25">
      <c r="E70" s="115" t="s">
        <v>163</v>
      </c>
      <c r="F70" s="81">
        <v>1</v>
      </c>
      <c r="G70" s="123"/>
    </row>
    <row r="71" spans="5:7" ht="15.75" x14ac:dyDescent="0.25">
      <c r="E71" s="116" t="s">
        <v>67</v>
      </c>
      <c r="F71" s="81">
        <v>1</v>
      </c>
      <c r="G71" s="124"/>
    </row>
    <row r="72" spans="5:7" ht="15.75" x14ac:dyDescent="0.25">
      <c r="E72" s="115" t="s">
        <v>69</v>
      </c>
      <c r="F72" s="81">
        <v>1</v>
      </c>
      <c r="G72" s="123"/>
    </row>
    <row r="73" spans="5:7" ht="15.75" x14ac:dyDescent="0.25">
      <c r="E73" s="116" t="s">
        <v>70</v>
      </c>
      <c r="F73" s="81">
        <v>1</v>
      </c>
      <c r="G73" s="124"/>
    </row>
    <row r="74" spans="5:7" ht="15.75" x14ac:dyDescent="0.25">
      <c r="E74" s="115" t="s">
        <v>71</v>
      </c>
      <c r="F74" s="81">
        <v>1</v>
      </c>
      <c r="G74" s="123"/>
    </row>
    <row r="75" spans="5:7" ht="15.75" x14ac:dyDescent="0.25">
      <c r="E75" s="116" t="s">
        <v>72</v>
      </c>
      <c r="F75" s="81">
        <v>1</v>
      </c>
      <c r="G75" s="124"/>
    </row>
    <row r="76" spans="5:7" ht="15.75" x14ac:dyDescent="0.25">
      <c r="E76" s="115" t="s">
        <v>219</v>
      </c>
      <c r="F76" s="81">
        <v>1</v>
      </c>
      <c r="G76" s="125"/>
    </row>
    <row r="77" spans="5:7" ht="15.75" x14ac:dyDescent="0.25">
      <c r="E77" s="115" t="s">
        <v>143</v>
      </c>
      <c r="F77" s="81">
        <v>1</v>
      </c>
      <c r="G77" s="123"/>
    </row>
    <row r="78" spans="5:7" x14ac:dyDescent="0.25">
      <c r="E78" s="121" t="s">
        <v>258</v>
      </c>
      <c r="F78" s="114">
        <v>2</v>
      </c>
      <c r="G78" s="126"/>
    </row>
    <row r="79" spans="5:7" ht="15.75" x14ac:dyDescent="0.25">
      <c r="E79" s="116" t="s">
        <v>142</v>
      </c>
      <c r="F79" s="81">
        <v>1</v>
      </c>
      <c r="G79" s="124"/>
    </row>
    <row r="80" spans="5:7" x14ac:dyDescent="0.25">
      <c r="E80" s="121" t="s">
        <v>259</v>
      </c>
      <c r="F80" s="114">
        <v>2</v>
      </c>
      <c r="G80" s="126"/>
    </row>
    <row r="81" spans="5:7" x14ac:dyDescent="0.25">
      <c r="E81" s="119" t="s">
        <v>260</v>
      </c>
      <c r="F81" s="114">
        <v>2</v>
      </c>
      <c r="G81" s="126"/>
    </row>
    <row r="82" spans="5:7" ht="15.75" x14ac:dyDescent="0.25">
      <c r="E82" s="115" t="s">
        <v>176</v>
      </c>
      <c r="F82" s="81">
        <v>1</v>
      </c>
      <c r="G82" s="123"/>
    </row>
    <row r="83" spans="5:7" ht="15.75" x14ac:dyDescent="0.25">
      <c r="E83" s="116" t="s">
        <v>177</v>
      </c>
      <c r="F83" s="81">
        <v>1</v>
      </c>
      <c r="G83" s="124"/>
    </row>
    <row r="84" spans="5:7" ht="15.75" x14ac:dyDescent="0.25">
      <c r="E84" s="115" t="s">
        <v>73</v>
      </c>
      <c r="F84" s="81">
        <v>1</v>
      </c>
      <c r="G84" s="123"/>
    </row>
    <row r="85" spans="5:7" x14ac:dyDescent="0.25">
      <c r="E85" s="117" t="s">
        <v>261</v>
      </c>
      <c r="F85" s="114">
        <v>2</v>
      </c>
      <c r="G85" s="126"/>
    </row>
    <row r="86" spans="5:7" ht="15.75" x14ac:dyDescent="0.25">
      <c r="E86" s="116" t="s">
        <v>178</v>
      </c>
      <c r="F86" s="81">
        <v>1</v>
      </c>
      <c r="G86" s="124"/>
    </row>
    <row r="87" spans="5:7" x14ac:dyDescent="0.25">
      <c r="E87" s="117" t="s">
        <v>262</v>
      </c>
      <c r="F87" s="114">
        <v>2</v>
      </c>
      <c r="G87" s="126"/>
    </row>
    <row r="88" spans="5:7" x14ac:dyDescent="0.25">
      <c r="E88" s="121" t="s">
        <v>263</v>
      </c>
      <c r="F88" s="114">
        <v>2</v>
      </c>
      <c r="G88" s="126"/>
    </row>
    <row r="89" spans="5:7" x14ac:dyDescent="0.25">
      <c r="E89" s="117" t="s">
        <v>264</v>
      </c>
      <c r="F89" s="114">
        <v>2</v>
      </c>
      <c r="G89" s="126"/>
    </row>
    <row r="90" spans="5:7" x14ac:dyDescent="0.25">
      <c r="E90" s="121" t="s">
        <v>265</v>
      </c>
      <c r="F90" s="114">
        <v>2</v>
      </c>
      <c r="G90" s="126"/>
    </row>
    <row r="91" spans="5:7" x14ac:dyDescent="0.25">
      <c r="E91" s="121" t="s">
        <v>266</v>
      </c>
      <c r="F91" s="114">
        <v>2</v>
      </c>
      <c r="G91" s="126"/>
    </row>
    <row r="92" spans="5:7" x14ac:dyDescent="0.25">
      <c r="E92" s="121" t="s">
        <v>267</v>
      </c>
      <c r="F92" s="114">
        <v>2</v>
      </c>
      <c r="G92" s="126"/>
    </row>
    <row r="93" spans="5:7" ht="15.75" x14ac:dyDescent="0.25">
      <c r="E93" s="115" t="s">
        <v>74</v>
      </c>
      <c r="F93" s="81">
        <v>1</v>
      </c>
      <c r="G93" s="123"/>
    </row>
    <row r="94" spans="5:7" x14ac:dyDescent="0.25">
      <c r="E94" s="122" t="s">
        <v>268</v>
      </c>
      <c r="F94" s="114">
        <v>2</v>
      </c>
      <c r="G94" s="126"/>
    </row>
    <row r="95" spans="5:7" x14ac:dyDescent="0.25">
      <c r="E95" s="121" t="s">
        <v>269</v>
      </c>
      <c r="F95" s="114">
        <v>2</v>
      </c>
      <c r="G95" s="126"/>
    </row>
    <row r="96" spans="5:7" ht="15.75" x14ac:dyDescent="0.25">
      <c r="E96" s="116" t="s">
        <v>179</v>
      </c>
      <c r="F96" s="81">
        <v>1</v>
      </c>
      <c r="G96" s="124"/>
    </row>
    <row r="97" spans="5:7" ht="15.75" x14ac:dyDescent="0.25">
      <c r="E97" s="152" t="s">
        <v>220</v>
      </c>
      <c r="F97" s="164">
        <v>1</v>
      </c>
      <c r="G97" s="165"/>
    </row>
    <row r="98" spans="5:7" ht="15.75" x14ac:dyDescent="0.25">
      <c r="E98" s="163" t="s">
        <v>205</v>
      </c>
      <c r="F98" s="164">
        <v>1</v>
      </c>
      <c r="G98" s="165"/>
    </row>
  </sheetData>
  <dataValidations count="3">
    <dataValidation type="list" allowBlank="1" showInputMessage="1" showErrorMessage="1" sqref="I1" xr:uid="{B4653624-4885-4E91-915C-57ECB404D619}">
      <formula1>$J$1:$J$8</formula1>
    </dataValidation>
    <dataValidation type="list" allowBlank="1" showInputMessage="1" showErrorMessage="1" sqref="I2 B2" xr:uid="{E00B6CBC-98A2-4722-9A38-29B1620F9E44}">
      <formula1>$K$1:$K$2</formula1>
    </dataValidation>
    <dataValidation type="list" allowBlank="1" showInputMessage="1" showErrorMessage="1" sqref="B1" xr:uid="{E89A674E-24A6-48AC-A1B4-69D06394EA28}">
      <formula1>$H$1:$H$7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109923-BA26-4FB8-93A1-640EF069D017}">
          <x14:formula1>
            <xm:f>'Percentage Data'!$P$18:$P$19</xm:f>
          </x14:formula1>
          <xm:sqref>B8:B10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AA291-7410-43C9-B12D-9EDE8F6483F2}">
  <sheetPr>
    <tabColor theme="6"/>
  </sheetPr>
  <dimension ref="A1:BC148"/>
  <sheetViews>
    <sheetView tabSelected="1" topLeftCell="A12" zoomScale="80" zoomScaleNormal="80" workbookViewId="0">
      <selection activeCell="C15" sqref="C15"/>
    </sheetView>
  </sheetViews>
  <sheetFormatPr defaultRowHeight="15.75" x14ac:dyDescent="0.2"/>
  <cols>
    <col min="1" max="3" width="21.42578125" style="37" customWidth="1"/>
    <col min="4" max="4" width="28.42578125" style="37" bestFit="1" customWidth="1"/>
    <col min="5" max="5" width="28.42578125" style="44" bestFit="1" customWidth="1"/>
    <col min="6" max="6" width="21.42578125" style="37" hidden="1" customWidth="1"/>
    <col min="7" max="7" width="21.42578125" style="37" customWidth="1"/>
    <col min="8" max="8" width="27.7109375" style="37" bestFit="1" customWidth="1"/>
    <col min="9" max="9" width="21.42578125" style="37" customWidth="1"/>
    <col min="10" max="10" width="21.42578125" style="37" hidden="1" customWidth="1"/>
    <col min="11" max="11" width="25.28515625" style="37" bestFit="1" customWidth="1"/>
    <col min="12" max="12" width="25.5703125" style="37" bestFit="1" customWidth="1"/>
    <col min="13" max="13" width="21.42578125" style="37" hidden="1" customWidth="1"/>
    <col min="14" max="14" width="17" style="37" customWidth="1"/>
    <col min="15" max="15" width="38.140625" style="37" bestFit="1" customWidth="1"/>
    <col min="16" max="17" width="21.42578125" style="37" customWidth="1"/>
    <col min="18" max="18" width="28.85546875" style="37" customWidth="1"/>
    <col min="19" max="19" width="21.42578125" style="37" customWidth="1"/>
    <col min="20" max="20" width="21.42578125" style="37" hidden="1" customWidth="1"/>
    <col min="21" max="21" width="39.5703125" style="37" bestFit="1" customWidth="1"/>
    <col min="22" max="55" width="21.42578125" style="37" customWidth="1"/>
    <col min="56" max="258" width="9.140625" style="38"/>
    <col min="259" max="259" width="21.42578125" style="38" customWidth="1"/>
    <col min="260" max="262" width="0" style="38" hidden="1" customWidth="1"/>
    <col min="263" max="311" width="21.42578125" style="38" customWidth="1"/>
    <col min="312" max="514" width="9.140625" style="38"/>
    <col min="515" max="515" width="21.42578125" style="38" customWidth="1"/>
    <col min="516" max="518" width="0" style="38" hidden="1" customWidth="1"/>
    <col min="519" max="567" width="21.42578125" style="38" customWidth="1"/>
    <col min="568" max="770" width="9.140625" style="38"/>
    <col min="771" max="771" width="21.42578125" style="38" customWidth="1"/>
    <col min="772" max="774" width="0" style="38" hidden="1" customWidth="1"/>
    <col min="775" max="823" width="21.42578125" style="38" customWidth="1"/>
    <col min="824" max="1026" width="9.140625" style="38"/>
    <col min="1027" max="1027" width="21.42578125" style="38" customWidth="1"/>
    <col min="1028" max="1030" width="0" style="38" hidden="1" customWidth="1"/>
    <col min="1031" max="1079" width="21.42578125" style="38" customWidth="1"/>
    <col min="1080" max="1282" width="9.140625" style="38"/>
    <col min="1283" max="1283" width="21.42578125" style="38" customWidth="1"/>
    <col min="1284" max="1286" width="0" style="38" hidden="1" customWidth="1"/>
    <col min="1287" max="1335" width="21.42578125" style="38" customWidth="1"/>
    <col min="1336" max="1538" width="9.140625" style="38"/>
    <col min="1539" max="1539" width="21.42578125" style="38" customWidth="1"/>
    <col min="1540" max="1542" width="0" style="38" hidden="1" customWidth="1"/>
    <col min="1543" max="1591" width="21.42578125" style="38" customWidth="1"/>
    <col min="1592" max="1794" width="9.140625" style="38"/>
    <col min="1795" max="1795" width="21.42578125" style="38" customWidth="1"/>
    <col min="1796" max="1798" width="0" style="38" hidden="1" customWidth="1"/>
    <col min="1799" max="1847" width="21.42578125" style="38" customWidth="1"/>
    <col min="1848" max="2050" width="9.140625" style="38"/>
    <col min="2051" max="2051" width="21.42578125" style="38" customWidth="1"/>
    <col min="2052" max="2054" width="0" style="38" hidden="1" customWidth="1"/>
    <col min="2055" max="2103" width="21.42578125" style="38" customWidth="1"/>
    <col min="2104" max="2306" width="9.140625" style="38"/>
    <col min="2307" max="2307" width="21.42578125" style="38" customWidth="1"/>
    <col min="2308" max="2310" width="0" style="38" hidden="1" customWidth="1"/>
    <col min="2311" max="2359" width="21.42578125" style="38" customWidth="1"/>
    <col min="2360" max="2562" width="9.140625" style="38"/>
    <col min="2563" max="2563" width="21.42578125" style="38" customWidth="1"/>
    <col min="2564" max="2566" width="0" style="38" hidden="1" customWidth="1"/>
    <col min="2567" max="2615" width="21.42578125" style="38" customWidth="1"/>
    <col min="2616" max="2818" width="9.140625" style="38"/>
    <col min="2819" max="2819" width="21.42578125" style="38" customWidth="1"/>
    <col min="2820" max="2822" width="0" style="38" hidden="1" customWidth="1"/>
    <col min="2823" max="2871" width="21.42578125" style="38" customWidth="1"/>
    <col min="2872" max="3074" width="9.140625" style="38"/>
    <col min="3075" max="3075" width="21.42578125" style="38" customWidth="1"/>
    <col min="3076" max="3078" width="0" style="38" hidden="1" customWidth="1"/>
    <col min="3079" max="3127" width="21.42578125" style="38" customWidth="1"/>
    <col min="3128" max="3330" width="9.140625" style="38"/>
    <col min="3331" max="3331" width="21.42578125" style="38" customWidth="1"/>
    <col min="3332" max="3334" width="0" style="38" hidden="1" customWidth="1"/>
    <col min="3335" max="3383" width="21.42578125" style="38" customWidth="1"/>
    <col min="3384" max="3586" width="9.140625" style="38"/>
    <col min="3587" max="3587" width="21.42578125" style="38" customWidth="1"/>
    <col min="3588" max="3590" width="0" style="38" hidden="1" customWidth="1"/>
    <col min="3591" max="3639" width="21.42578125" style="38" customWidth="1"/>
    <col min="3640" max="3842" width="9.140625" style="38"/>
    <col min="3843" max="3843" width="21.42578125" style="38" customWidth="1"/>
    <col min="3844" max="3846" width="0" style="38" hidden="1" customWidth="1"/>
    <col min="3847" max="3895" width="21.42578125" style="38" customWidth="1"/>
    <col min="3896" max="4098" width="9.140625" style="38"/>
    <col min="4099" max="4099" width="21.42578125" style="38" customWidth="1"/>
    <col min="4100" max="4102" width="0" style="38" hidden="1" customWidth="1"/>
    <col min="4103" max="4151" width="21.42578125" style="38" customWidth="1"/>
    <col min="4152" max="4354" width="9.140625" style="38"/>
    <col min="4355" max="4355" width="21.42578125" style="38" customWidth="1"/>
    <col min="4356" max="4358" width="0" style="38" hidden="1" customWidth="1"/>
    <col min="4359" max="4407" width="21.42578125" style="38" customWidth="1"/>
    <col min="4408" max="4610" width="9.140625" style="38"/>
    <col min="4611" max="4611" width="21.42578125" style="38" customWidth="1"/>
    <col min="4612" max="4614" width="0" style="38" hidden="1" customWidth="1"/>
    <col min="4615" max="4663" width="21.42578125" style="38" customWidth="1"/>
    <col min="4664" max="4866" width="9.140625" style="38"/>
    <col min="4867" max="4867" width="21.42578125" style="38" customWidth="1"/>
    <col min="4868" max="4870" width="0" style="38" hidden="1" customWidth="1"/>
    <col min="4871" max="4919" width="21.42578125" style="38" customWidth="1"/>
    <col min="4920" max="5122" width="9.140625" style="38"/>
    <col min="5123" max="5123" width="21.42578125" style="38" customWidth="1"/>
    <col min="5124" max="5126" width="0" style="38" hidden="1" customWidth="1"/>
    <col min="5127" max="5175" width="21.42578125" style="38" customWidth="1"/>
    <col min="5176" max="5378" width="9.140625" style="38"/>
    <col min="5379" max="5379" width="21.42578125" style="38" customWidth="1"/>
    <col min="5380" max="5382" width="0" style="38" hidden="1" customWidth="1"/>
    <col min="5383" max="5431" width="21.42578125" style="38" customWidth="1"/>
    <col min="5432" max="5634" width="9.140625" style="38"/>
    <col min="5635" max="5635" width="21.42578125" style="38" customWidth="1"/>
    <col min="5636" max="5638" width="0" style="38" hidden="1" customWidth="1"/>
    <col min="5639" max="5687" width="21.42578125" style="38" customWidth="1"/>
    <col min="5688" max="5890" width="9.140625" style="38"/>
    <col min="5891" max="5891" width="21.42578125" style="38" customWidth="1"/>
    <col min="5892" max="5894" width="0" style="38" hidden="1" customWidth="1"/>
    <col min="5895" max="5943" width="21.42578125" style="38" customWidth="1"/>
    <col min="5944" max="6146" width="9.140625" style="38"/>
    <col min="6147" max="6147" width="21.42578125" style="38" customWidth="1"/>
    <col min="6148" max="6150" width="0" style="38" hidden="1" customWidth="1"/>
    <col min="6151" max="6199" width="21.42578125" style="38" customWidth="1"/>
    <col min="6200" max="6402" width="9.140625" style="38"/>
    <col min="6403" max="6403" width="21.42578125" style="38" customWidth="1"/>
    <col min="6404" max="6406" width="0" style="38" hidden="1" customWidth="1"/>
    <col min="6407" max="6455" width="21.42578125" style="38" customWidth="1"/>
    <col min="6456" max="6658" width="9.140625" style="38"/>
    <col min="6659" max="6659" width="21.42578125" style="38" customWidth="1"/>
    <col min="6660" max="6662" width="0" style="38" hidden="1" customWidth="1"/>
    <col min="6663" max="6711" width="21.42578125" style="38" customWidth="1"/>
    <col min="6712" max="6914" width="9.140625" style="38"/>
    <col min="6915" max="6915" width="21.42578125" style="38" customWidth="1"/>
    <col min="6916" max="6918" width="0" style="38" hidden="1" customWidth="1"/>
    <col min="6919" max="6967" width="21.42578125" style="38" customWidth="1"/>
    <col min="6968" max="7170" width="9.140625" style="38"/>
    <col min="7171" max="7171" width="21.42578125" style="38" customWidth="1"/>
    <col min="7172" max="7174" width="0" style="38" hidden="1" customWidth="1"/>
    <col min="7175" max="7223" width="21.42578125" style="38" customWidth="1"/>
    <col min="7224" max="7426" width="9.140625" style="38"/>
    <col min="7427" max="7427" width="21.42578125" style="38" customWidth="1"/>
    <col min="7428" max="7430" width="0" style="38" hidden="1" customWidth="1"/>
    <col min="7431" max="7479" width="21.42578125" style="38" customWidth="1"/>
    <col min="7480" max="7682" width="9.140625" style="38"/>
    <col min="7683" max="7683" width="21.42578125" style="38" customWidth="1"/>
    <col min="7684" max="7686" width="0" style="38" hidden="1" customWidth="1"/>
    <col min="7687" max="7735" width="21.42578125" style="38" customWidth="1"/>
    <col min="7736" max="7938" width="9.140625" style="38"/>
    <col min="7939" max="7939" width="21.42578125" style="38" customWidth="1"/>
    <col min="7940" max="7942" width="0" style="38" hidden="1" customWidth="1"/>
    <col min="7943" max="7991" width="21.42578125" style="38" customWidth="1"/>
    <col min="7992" max="8194" width="9.140625" style="38"/>
    <col min="8195" max="8195" width="21.42578125" style="38" customWidth="1"/>
    <col min="8196" max="8198" width="0" style="38" hidden="1" customWidth="1"/>
    <col min="8199" max="8247" width="21.42578125" style="38" customWidth="1"/>
    <col min="8248" max="8450" width="9.140625" style="38"/>
    <col min="8451" max="8451" width="21.42578125" style="38" customWidth="1"/>
    <col min="8452" max="8454" width="0" style="38" hidden="1" customWidth="1"/>
    <col min="8455" max="8503" width="21.42578125" style="38" customWidth="1"/>
    <col min="8504" max="8706" width="9.140625" style="38"/>
    <col min="8707" max="8707" width="21.42578125" style="38" customWidth="1"/>
    <col min="8708" max="8710" width="0" style="38" hidden="1" customWidth="1"/>
    <col min="8711" max="8759" width="21.42578125" style="38" customWidth="1"/>
    <col min="8760" max="8962" width="9.140625" style="38"/>
    <col min="8963" max="8963" width="21.42578125" style="38" customWidth="1"/>
    <col min="8964" max="8966" width="0" style="38" hidden="1" customWidth="1"/>
    <col min="8967" max="9015" width="21.42578125" style="38" customWidth="1"/>
    <col min="9016" max="9218" width="9.140625" style="38"/>
    <col min="9219" max="9219" width="21.42578125" style="38" customWidth="1"/>
    <col min="9220" max="9222" width="0" style="38" hidden="1" customWidth="1"/>
    <col min="9223" max="9271" width="21.42578125" style="38" customWidth="1"/>
    <col min="9272" max="9474" width="9.140625" style="38"/>
    <col min="9475" max="9475" width="21.42578125" style="38" customWidth="1"/>
    <col min="9476" max="9478" width="0" style="38" hidden="1" customWidth="1"/>
    <col min="9479" max="9527" width="21.42578125" style="38" customWidth="1"/>
    <col min="9528" max="9730" width="9.140625" style="38"/>
    <col min="9731" max="9731" width="21.42578125" style="38" customWidth="1"/>
    <col min="9732" max="9734" width="0" style="38" hidden="1" customWidth="1"/>
    <col min="9735" max="9783" width="21.42578125" style="38" customWidth="1"/>
    <col min="9784" max="9986" width="9.140625" style="38"/>
    <col min="9987" max="9987" width="21.42578125" style="38" customWidth="1"/>
    <col min="9988" max="9990" width="0" style="38" hidden="1" customWidth="1"/>
    <col min="9991" max="10039" width="21.42578125" style="38" customWidth="1"/>
    <col min="10040" max="10242" width="9.140625" style="38"/>
    <col min="10243" max="10243" width="21.42578125" style="38" customWidth="1"/>
    <col min="10244" max="10246" width="0" style="38" hidden="1" customWidth="1"/>
    <col min="10247" max="10295" width="21.42578125" style="38" customWidth="1"/>
    <col min="10296" max="10498" width="9.140625" style="38"/>
    <col min="10499" max="10499" width="21.42578125" style="38" customWidth="1"/>
    <col min="10500" max="10502" width="0" style="38" hidden="1" customWidth="1"/>
    <col min="10503" max="10551" width="21.42578125" style="38" customWidth="1"/>
    <col min="10552" max="10754" width="9.140625" style="38"/>
    <col min="10755" max="10755" width="21.42578125" style="38" customWidth="1"/>
    <col min="10756" max="10758" width="0" style="38" hidden="1" customWidth="1"/>
    <col min="10759" max="10807" width="21.42578125" style="38" customWidth="1"/>
    <col min="10808" max="11010" width="9.140625" style="38"/>
    <col min="11011" max="11011" width="21.42578125" style="38" customWidth="1"/>
    <col min="11012" max="11014" width="0" style="38" hidden="1" customWidth="1"/>
    <col min="11015" max="11063" width="21.42578125" style="38" customWidth="1"/>
    <col min="11064" max="11266" width="9.140625" style="38"/>
    <col min="11267" max="11267" width="21.42578125" style="38" customWidth="1"/>
    <col min="11268" max="11270" width="0" style="38" hidden="1" customWidth="1"/>
    <col min="11271" max="11319" width="21.42578125" style="38" customWidth="1"/>
    <col min="11320" max="11522" width="9.140625" style="38"/>
    <col min="11523" max="11523" width="21.42578125" style="38" customWidth="1"/>
    <col min="11524" max="11526" width="0" style="38" hidden="1" customWidth="1"/>
    <col min="11527" max="11575" width="21.42578125" style="38" customWidth="1"/>
    <col min="11576" max="11778" width="9.140625" style="38"/>
    <col min="11779" max="11779" width="21.42578125" style="38" customWidth="1"/>
    <col min="11780" max="11782" width="0" style="38" hidden="1" customWidth="1"/>
    <col min="11783" max="11831" width="21.42578125" style="38" customWidth="1"/>
    <col min="11832" max="12034" width="9.140625" style="38"/>
    <col min="12035" max="12035" width="21.42578125" style="38" customWidth="1"/>
    <col min="12036" max="12038" width="0" style="38" hidden="1" customWidth="1"/>
    <col min="12039" max="12087" width="21.42578125" style="38" customWidth="1"/>
    <col min="12088" max="12290" width="9.140625" style="38"/>
    <col min="12291" max="12291" width="21.42578125" style="38" customWidth="1"/>
    <col min="12292" max="12294" width="0" style="38" hidden="1" customWidth="1"/>
    <col min="12295" max="12343" width="21.42578125" style="38" customWidth="1"/>
    <col min="12344" max="12546" width="9.140625" style="38"/>
    <col min="12547" max="12547" width="21.42578125" style="38" customWidth="1"/>
    <col min="12548" max="12550" width="0" style="38" hidden="1" customWidth="1"/>
    <col min="12551" max="12599" width="21.42578125" style="38" customWidth="1"/>
    <col min="12600" max="12802" width="9.140625" style="38"/>
    <col min="12803" max="12803" width="21.42578125" style="38" customWidth="1"/>
    <col min="12804" max="12806" width="0" style="38" hidden="1" customWidth="1"/>
    <col min="12807" max="12855" width="21.42578125" style="38" customWidth="1"/>
    <col min="12856" max="13058" width="9.140625" style="38"/>
    <col min="13059" max="13059" width="21.42578125" style="38" customWidth="1"/>
    <col min="13060" max="13062" width="0" style="38" hidden="1" customWidth="1"/>
    <col min="13063" max="13111" width="21.42578125" style="38" customWidth="1"/>
    <col min="13112" max="13314" width="9.140625" style="38"/>
    <col min="13315" max="13315" width="21.42578125" style="38" customWidth="1"/>
    <col min="13316" max="13318" width="0" style="38" hidden="1" customWidth="1"/>
    <col min="13319" max="13367" width="21.42578125" style="38" customWidth="1"/>
    <col min="13368" max="13570" width="9.140625" style="38"/>
    <col min="13571" max="13571" width="21.42578125" style="38" customWidth="1"/>
    <col min="13572" max="13574" width="0" style="38" hidden="1" customWidth="1"/>
    <col min="13575" max="13623" width="21.42578125" style="38" customWidth="1"/>
    <col min="13624" max="13826" width="9.140625" style="38"/>
    <col min="13827" max="13827" width="21.42578125" style="38" customWidth="1"/>
    <col min="13828" max="13830" width="0" style="38" hidden="1" customWidth="1"/>
    <col min="13831" max="13879" width="21.42578125" style="38" customWidth="1"/>
    <col min="13880" max="14082" width="9.140625" style="38"/>
    <col min="14083" max="14083" width="21.42578125" style="38" customWidth="1"/>
    <col min="14084" max="14086" width="0" style="38" hidden="1" customWidth="1"/>
    <col min="14087" max="14135" width="21.42578125" style="38" customWidth="1"/>
    <col min="14136" max="14338" width="9.140625" style="38"/>
    <col min="14339" max="14339" width="21.42578125" style="38" customWidth="1"/>
    <col min="14340" max="14342" width="0" style="38" hidden="1" customWidth="1"/>
    <col min="14343" max="14391" width="21.42578125" style="38" customWidth="1"/>
    <col min="14392" max="14594" width="9.140625" style="38"/>
    <col min="14595" max="14595" width="21.42578125" style="38" customWidth="1"/>
    <col min="14596" max="14598" width="0" style="38" hidden="1" customWidth="1"/>
    <col min="14599" max="14647" width="21.42578125" style="38" customWidth="1"/>
    <col min="14648" max="14850" width="9.140625" style="38"/>
    <col min="14851" max="14851" width="21.42578125" style="38" customWidth="1"/>
    <col min="14852" max="14854" width="0" style="38" hidden="1" customWidth="1"/>
    <col min="14855" max="14903" width="21.42578125" style="38" customWidth="1"/>
    <col min="14904" max="15106" width="9.140625" style="38"/>
    <col min="15107" max="15107" width="21.42578125" style="38" customWidth="1"/>
    <col min="15108" max="15110" width="0" style="38" hidden="1" customWidth="1"/>
    <col min="15111" max="15159" width="21.42578125" style="38" customWidth="1"/>
    <col min="15160" max="15362" width="9.140625" style="38"/>
    <col min="15363" max="15363" width="21.42578125" style="38" customWidth="1"/>
    <col min="15364" max="15366" width="0" style="38" hidden="1" customWidth="1"/>
    <col min="15367" max="15415" width="21.42578125" style="38" customWidth="1"/>
    <col min="15416" max="15618" width="9.140625" style="38"/>
    <col min="15619" max="15619" width="21.42578125" style="38" customWidth="1"/>
    <col min="15620" max="15622" width="0" style="38" hidden="1" customWidth="1"/>
    <col min="15623" max="15671" width="21.42578125" style="38" customWidth="1"/>
    <col min="15672" max="15874" width="9.140625" style="38"/>
    <col min="15875" max="15875" width="21.42578125" style="38" customWidth="1"/>
    <col min="15876" max="15878" width="0" style="38" hidden="1" customWidth="1"/>
    <col min="15879" max="15927" width="21.42578125" style="38" customWidth="1"/>
    <col min="15928" max="16130" width="9.140625" style="38"/>
    <col min="16131" max="16131" width="21.42578125" style="38" customWidth="1"/>
    <col min="16132" max="16134" width="0" style="38" hidden="1" customWidth="1"/>
    <col min="16135" max="16183" width="21.42578125" style="38" customWidth="1"/>
    <col min="16184" max="16384" width="9.140625" style="38"/>
  </cols>
  <sheetData>
    <row r="1" spans="1:23" x14ac:dyDescent="0.2">
      <c r="A1" s="37" t="s">
        <v>0</v>
      </c>
      <c r="B1" s="37" t="s">
        <v>13</v>
      </c>
      <c r="C1" s="37" t="s">
        <v>1</v>
      </c>
      <c r="D1" s="37" t="s">
        <v>166</v>
      </c>
      <c r="E1" s="37" t="s">
        <v>2</v>
      </c>
      <c r="F1" s="37" t="s">
        <v>5</v>
      </c>
      <c r="H1" s="45" t="s">
        <v>213</v>
      </c>
      <c r="I1" s="76">
        <f>I12</f>
        <v>0</v>
      </c>
      <c r="J1" s="37" t="s">
        <v>8</v>
      </c>
      <c r="M1" s="37" t="s">
        <v>9</v>
      </c>
      <c r="T1" s="37" t="s">
        <v>18</v>
      </c>
      <c r="V1" s="43"/>
      <c r="W1" s="37" t="s">
        <v>68</v>
      </c>
    </row>
    <row r="2" spans="1:23" x14ac:dyDescent="0.2">
      <c r="A2" s="39" t="s">
        <v>276</v>
      </c>
      <c r="B2" s="39">
        <v>1</v>
      </c>
      <c r="C2" s="44">
        <f>Inputs!G3</f>
        <v>0</v>
      </c>
      <c r="D2" s="39"/>
      <c r="E2" s="39">
        <f>Table200[[#This Row],[Recommended Task]]</f>
        <v>0</v>
      </c>
      <c r="F2" s="37" t="s">
        <v>12</v>
      </c>
      <c r="H2" s="45" t="s">
        <v>214</v>
      </c>
      <c r="I2" s="76">
        <f>COUNTIF(E2:E48,"*Tasking*")+COUNTIF(E2:E48,"*Replenishment*")+COUNTIF(E2:E48,"*Putaways*")+COUNTIF(E2:E48,"* Full Pallet*")</f>
        <v>0</v>
      </c>
      <c r="J2" s="47" t="s">
        <v>14</v>
      </c>
      <c r="K2" s="78"/>
      <c r="M2" s="37" t="s">
        <v>15</v>
      </c>
      <c r="T2" s="37" t="s">
        <v>28</v>
      </c>
      <c r="V2" s="43"/>
      <c r="W2" s="37" t="s">
        <v>32</v>
      </c>
    </row>
    <row r="3" spans="1:23" ht="15.75" customHeight="1" x14ac:dyDescent="0.25">
      <c r="A3" s="159" t="s">
        <v>223</v>
      </c>
      <c r="B3" s="39">
        <v>2</v>
      </c>
      <c r="C3" s="44">
        <f>Inputs!G4</f>
        <v>0</v>
      </c>
      <c r="D3" s="39" t="str">
        <f>IF($C3&lt;&gt;"x","",IFERROR(_xlfn.XLOOKUP($A3,'Staffing Sheet 2nd Shift'!$A:$A,'Staffing Sheet 2nd Shift'!$I:$I,""),""))</f>
        <v/>
      </c>
      <c r="E3" s="39" t="str">
        <f>Table200[[#This Row],[Recommended Task]]</f>
        <v/>
      </c>
      <c r="H3" s="45" t="s">
        <v>215</v>
      </c>
      <c r="I3" s="76">
        <f>I10</f>
        <v>0</v>
      </c>
      <c r="J3" s="47"/>
      <c r="K3" s="76"/>
      <c r="T3" s="37" t="s">
        <v>23</v>
      </c>
      <c r="V3" s="43"/>
      <c r="W3" s="37" t="s">
        <v>208</v>
      </c>
    </row>
    <row r="4" spans="1:23" x14ac:dyDescent="0.2">
      <c r="A4" s="39" t="s">
        <v>16</v>
      </c>
      <c r="B4" s="39">
        <v>1</v>
      </c>
      <c r="C4" s="44">
        <f>Inputs!G5</f>
        <v>0</v>
      </c>
      <c r="D4" s="39"/>
      <c r="E4" s="39"/>
      <c r="H4" s="45" t="s">
        <v>216</v>
      </c>
      <c r="I4" s="76">
        <f>I9</f>
        <v>0</v>
      </c>
      <c r="J4" s="48" t="s">
        <v>21</v>
      </c>
      <c r="K4" s="78"/>
      <c r="T4" s="37" t="s">
        <v>68</v>
      </c>
      <c r="V4" s="43"/>
      <c r="W4" s="37" t="s">
        <v>23</v>
      </c>
    </row>
    <row r="5" spans="1:23" x14ac:dyDescent="0.2">
      <c r="A5" s="39" t="s">
        <v>144</v>
      </c>
      <c r="B5" s="39">
        <v>1</v>
      </c>
      <c r="C5" s="44">
        <f>Inputs!G6</f>
        <v>0</v>
      </c>
      <c r="D5" s="39" t="str">
        <f>IF($C5&lt;&gt;"x","",IFERROR(_xlfn.XLOOKUP($A5,'Staffing sheet 1ST Shift'!$A:$A,'Staffing sheet 1ST Shift'!$I:$I,""),""))</f>
        <v/>
      </c>
      <c r="E5" s="39" t="str">
        <f>Table200[[#This Row],[Recommended Task]]</f>
        <v/>
      </c>
      <c r="H5" s="45" t="s">
        <v>217</v>
      </c>
      <c r="I5" s="77">
        <f>I15</f>
        <v>0</v>
      </c>
      <c r="J5" s="49" t="s">
        <v>26</v>
      </c>
      <c r="T5" s="37" t="s">
        <v>17</v>
      </c>
      <c r="W5" s="37" t="s">
        <v>207</v>
      </c>
    </row>
    <row r="6" spans="1:23" x14ac:dyDescent="0.2">
      <c r="A6" s="39" t="s">
        <v>190</v>
      </c>
      <c r="B6" s="39">
        <v>1</v>
      </c>
      <c r="C6" s="44">
        <f>Inputs!G7</f>
        <v>0</v>
      </c>
      <c r="D6" s="39" t="str">
        <f>IF($C6&lt;&gt;"x","",IFERROR(_xlfn.XLOOKUP($A6,'Staffing sheet 1ST Shift'!$A:$A,'Staffing sheet 1ST Shift'!$I:$I,""),""))</f>
        <v/>
      </c>
      <c r="E6" s="39" t="str">
        <f>Table200[[#This Row],[Recommended Task]]</f>
        <v/>
      </c>
      <c r="H6" s="45"/>
      <c r="I6" s="77"/>
      <c r="J6" s="48" t="s">
        <v>7</v>
      </c>
      <c r="T6" s="37" t="s">
        <v>32</v>
      </c>
      <c r="W6" s="37" t="s">
        <v>18</v>
      </c>
    </row>
    <row r="7" spans="1:23" x14ac:dyDescent="0.2">
      <c r="A7" s="39" t="s">
        <v>188</v>
      </c>
      <c r="B7" s="39">
        <v>1</v>
      </c>
      <c r="C7" s="44">
        <f>Inputs!G8</f>
        <v>0</v>
      </c>
      <c r="D7" s="39" t="str">
        <f>IF($C7&lt;&gt;"x","",IFERROR(_xlfn.XLOOKUP($A7,'Staffing sheet 1ST Shift'!$A:$A,'Staffing sheet 1ST Shift'!$I:$I,""),""))</f>
        <v/>
      </c>
      <c r="E7" s="39" t="str">
        <f>Table200[[#This Row],[Recommended Task]]</f>
        <v/>
      </c>
      <c r="H7" s="44"/>
      <c r="I7" s="77"/>
      <c r="J7" s="49" t="s">
        <v>30</v>
      </c>
      <c r="W7" s="37" t="s">
        <v>28</v>
      </c>
    </row>
    <row r="8" spans="1:23" x14ac:dyDescent="0.2">
      <c r="A8" s="161" t="s">
        <v>224</v>
      </c>
      <c r="B8" s="39">
        <v>2</v>
      </c>
      <c r="C8" s="44">
        <f>Inputs!G9</f>
        <v>0</v>
      </c>
      <c r="D8" s="39" t="str">
        <f>IF($C8&lt;&gt;"x","",IFERROR(_xlfn.XLOOKUP($A8,'Staffing Sheet 2nd Shift'!$A:$A,'Staffing Sheet 2nd Shift'!$I:$I,""),""))</f>
        <v/>
      </c>
      <c r="E8" s="39" t="str">
        <f>Table200[[#This Row],[Recommended Task]]</f>
        <v/>
      </c>
      <c r="H8" s="37" t="s">
        <v>33</v>
      </c>
      <c r="I8" s="37" t="s">
        <v>34</v>
      </c>
      <c r="J8" s="37" t="s">
        <v>35</v>
      </c>
      <c r="K8" s="37" t="s">
        <v>36</v>
      </c>
      <c r="L8" s="37" t="s">
        <v>37</v>
      </c>
      <c r="N8" s="37" t="s">
        <v>38</v>
      </c>
      <c r="O8" s="37" t="s">
        <v>39</v>
      </c>
      <c r="P8" s="37" t="s">
        <v>40</v>
      </c>
      <c r="Q8" s="37" t="s">
        <v>41</v>
      </c>
      <c r="R8" s="37" t="s">
        <v>42</v>
      </c>
      <c r="S8" s="37" t="s">
        <v>43</v>
      </c>
      <c r="T8" s="37" t="s">
        <v>44</v>
      </c>
      <c r="U8" s="37" t="s">
        <v>45</v>
      </c>
      <c r="W8" s="37" t="s">
        <v>206</v>
      </c>
    </row>
    <row r="9" spans="1:23" x14ac:dyDescent="0.25">
      <c r="A9" s="160" t="s">
        <v>225</v>
      </c>
      <c r="B9" s="39">
        <v>2</v>
      </c>
      <c r="C9" s="44">
        <f>Inputs!G10</f>
        <v>0</v>
      </c>
      <c r="D9" s="39" t="str">
        <f>IF($C9&lt;&gt;"x","",IFERROR(_xlfn.XLOOKUP($A9,'Staffing Sheet 2nd Shift'!$A:$A,'Staffing Sheet 2nd Shift'!$I:$I,""),""))</f>
        <v/>
      </c>
      <c r="E9" s="39" t="str">
        <f>Table200[[#This Row],[Recommended Task]]</f>
        <v/>
      </c>
      <c r="H9" s="40" t="s">
        <v>47</v>
      </c>
      <c r="I9" s="37">
        <f>COUNTIF(E1:E48, "Unloading")</f>
        <v>0</v>
      </c>
      <c r="K9" s="37" t="s">
        <v>48</v>
      </c>
      <c r="L9" s="42">
        <f>2</f>
        <v>2</v>
      </c>
      <c r="N9" s="42">
        <f>Table2[[#This Row],[Available Staff ]]-Table2[[#This Row],[Needed ]]</f>
        <v>-2</v>
      </c>
      <c r="O9" s="42">
        <f>Table5[[#This Row],[Workers Gap]]*I3</f>
        <v>0</v>
      </c>
      <c r="P9" s="37" t="str">
        <f t="shared" ref="P9:P15" si="0">IF(N9&lt;0,"Understaffed",IF(N9=0,"Good","Overstaffed"))</f>
        <v>Understaffed</v>
      </c>
      <c r="Q9" s="43">
        <f>ROUNDUP(Q11/2,0)</f>
        <v>0</v>
      </c>
      <c r="R9" s="37">
        <f>44*'Crew Sheet'!I3*Table2[[#This Row],[Available Staff ]]</f>
        <v>0</v>
      </c>
      <c r="S9" s="50" t="e">
        <f>Table4[[#This Row],[Expected Completed Cases]]/Table4[[#This Row],[Expected Volume]]</f>
        <v>#DIV/0!</v>
      </c>
      <c r="T9" s="50" t="str">
        <f t="shared" ref="T9:T15" si="1">IF($H9="Picking","PROTECT - PICKING BOTTLENECK",IF($P9="Understaffed","URGENT - ADD STAFF",IF(AND($P9="Overstaffed",$S9&gt;=100%),"AVAILABLE TO MOVE",IF(AND($P9="Overstaffed",$S9&lt;100%),"HIGH - DO NOT PULL","OK"))))</f>
        <v>URGENT - ADD STAFF</v>
      </c>
      <c r="U9" s="37" t="str">
        <f>IF(N9&lt;0,"Need "&amp;ROUND(ABS(N9),1)&amp;" more workers / "&amp;ROUND(ABS(O9),1)&amp;" labor hrs",IF(N9&gt;0,"Can move "&amp;ROUND(N9,1)&amp;" workers / "&amp;ROUND(O9,1)&amp;" labor hrs","Balanced Staffing"))</f>
        <v>Need 2 more workers / 0 labor hrs</v>
      </c>
    </row>
    <row r="10" spans="1:23" x14ac:dyDescent="0.25">
      <c r="A10" s="160" t="s">
        <v>226</v>
      </c>
      <c r="B10" s="39">
        <v>2</v>
      </c>
      <c r="C10" s="44">
        <f>Inputs!G11</f>
        <v>0</v>
      </c>
      <c r="D10" s="39" t="str">
        <f>IF($C10&lt;&gt;"x","",IFERROR(_xlfn.XLOOKUP($A10,'Staffing Sheet 2nd Shift'!$A:$A,'Staffing Sheet 2nd Shift'!$I:$I,""),""))</f>
        <v/>
      </c>
      <c r="E10" s="39" t="str">
        <f>Table200[[#This Row],[Recommended Task]]</f>
        <v/>
      </c>
      <c r="H10" s="40" t="s">
        <v>50</v>
      </c>
      <c r="I10" s="37">
        <f>COUNTIF(E2:E48, "Receiving")</f>
        <v>0</v>
      </c>
      <c r="K10" s="37" t="s">
        <v>48</v>
      </c>
      <c r="L10" s="42">
        <v>2</v>
      </c>
      <c r="N10" s="42">
        <f>Table2[[#This Row],[Available Staff ]]-Table2[[#This Row],[Needed ]]</f>
        <v>-2</v>
      </c>
      <c r="O10" s="42">
        <f>Table5[[#This Row],[Workers Gap]]*$I$3</f>
        <v>0</v>
      </c>
      <c r="P10" s="37" t="str">
        <f t="shared" si="0"/>
        <v>Understaffed</v>
      </c>
      <c r="Q10" s="43">
        <f>ROUNDUP(Q11/2,0)</f>
        <v>0</v>
      </c>
      <c r="R10" s="37">
        <f>44*I3*Table2[[#This Row],[Available Staff ]]</f>
        <v>0</v>
      </c>
      <c r="S10" s="50" t="e">
        <f>Table4[[#This Row],[Expected Completed Cases]]/Table4[[#This Row],[Expected Volume]]</f>
        <v>#DIV/0!</v>
      </c>
      <c r="T10" s="50" t="str">
        <f t="shared" si="1"/>
        <v>URGENT - ADD STAFF</v>
      </c>
      <c r="U10" s="37" t="str">
        <f t="shared" ref="U10:U15" si="2">IF(N10&lt;0,"Need "&amp;ROUND(ABS(N10),1)&amp;" more workers / "&amp;ROUND(ABS(O10),1)&amp;" labor hrs",IF(N10&gt;0,"Can move "&amp;ROUND(N10,1)&amp;" workers / "&amp;ROUND(O10,1)&amp;" labor hrs","Balanced Staffing"))</f>
        <v>Need 2 more workers / 0 labor hrs</v>
      </c>
    </row>
    <row r="11" spans="1:23" x14ac:dyDescent="0.25">
      <c r="A11" s="39" t="s">
        <v>22</v>
      </c>
      <c r="B11" s="39">
        <v>1</v>
      </c>
      <c r="C11" s="44">
        <f>Inputs!G12</f>
        <v>0</v>
      </c>
      <c r="D11" s="39" t="str">
        <f>IF($C11&lt;&gt;"x","",IFERROR(_xlfn.XLOOKUP($A11,'Staffing sheet 1ST Shift'!$A:$A,'Staffing sheet 1ST Shift'!$I:$I,""),""))</f>
        <v/>
      </c>
      <c r="E11" s="39" t="str">
        <f>Table200[[#This Row],[Recommended Task]]</f>
        <v/>
      </c>
      <c r="H11" s="40" t="s">
        <v>52</v>
      </c>
      <c r="I11" s="37">
        <f>COUNTIF(E2:E48, "Putaways")</f>
        <v>0</v>
      </c>
      <c r="K11" s="37" t="s">
        <v>48</v>
      </c>
      <c r="L11" s="42">
        <f>('Staffing Forecast'!AB13/2)/(25*Inputs!B4)</f>
        <v>0</v>
      </c>
      <c r="N11" s="42">
        <f>Table2[[#This Row],[Available Staff ]]-Table2[[#This Row],[Needed ]]</f>
        <v>0</v>
      </c>
      <c r="O11" s="42">
        <f>Table5[[#This Row],[Workers Gap]]*$I$3</f>
        <v>0</v>
      </c>
      <c r="P11" s="37" t="str">
        <f t="shared" si="0"/>
        <v>Good</v>
      </c>
      <c r="Q11" s="43">
        <f>IF(I2="1st",'Staffing Forecast'!AB13*0.52, 'Staffing Forecast'!AB13*0.48)</f>
        <v>0</v>
      </c>
      <c r="R11" s="42">
        <f>25*I3*Table2[[#This Row],[Available Staff ]]</f>
        <v>0</v>
      </c>
      <c r="S11" s="50" t="e">
        <f>Table4[[#This Row],[Expected Completed Cases]]/Table4[[#This Row],[Expected Volume]]</f>
        <v>#DIV/0!</v>
      </c>
      <c r="T11" s="50" t="e">
        <f t="shared" si="1"/>
        <v>#DIV/0!</v>
      </c>
      <c r="U11" s="37" t="str">
        <f t="shared" si="2"/>
        <v>Balanced Staffing</v>
      </c>
    </row>
    <row r="12" spans="1:23" x14ac:dyDescent="0.25">
      <c r="A12" s="39" t="s">
        <v>27</v>
      </c>
      <c r="B12" s="39">
        <v>1</v>
      </c>
      <c r="C12" s="44">
        <f>Inputs!G13</f>
        <v>0</v>
      </c>
      <c r="D12" s="39" t="str">
        <f>IF($C12&lt;&gt;"x","",IFERROR(_xlfn.XLOOKUP($A12,'Staffing sheet 1ST Shift'!$A:$A,'Staffing sheet 1ST Shift'!$I:$I,""),""))</f>
        <v/>
      </c>
      <c r="E12" s="39" t="str">
        <f>Table200[[#This Row],[Recommended Task]]</f>
        <v/>
      </c>
      <c r="H12" s="40" t="s">
        <v>10</v>
      </c>
      <c r="I12" s="37">
        <f>COUNTIF(E2:E51, "Picking")</f>
        <v>0</v>
      </c>
      <c r="K12" s="37" t="s">
        <v>54</v>
      </c>
      <c r="L12" s="42">
        <f>(Inputs!B5/(185*Inputs!B4))</f>
        <v>0</v>
      </c>
      <c r="N12" s="42">
        <f>Table2[[#This Row],[Available Staff ]]-Table2[[#This Row],[Needed ]]</f>
        <v>0</v>
      </c>
      <c r="O12" s="42">
        <f>Table5[[#This Row],[Workers Gap]]*$I$3</f>
        <v>0</v>
      </c>
      <c r="P12" s="37" t="str">
        <f t="shared" si="0"/>
        <v>Good</v>
      </c>
      <c r="Q12" s="43">
        <f>I5</f>
        <v>0</v>
      </c>
      <c r="R12" s="43">
        <f>185*'Crew Sheet'!I3*Table2[[#This Row],[Available Staff ]]</f>
        <v>0</v>
      </c>
      <c r="S12" s="50" t="e">
        <f>Table4[[#This Row],[Expected Completed Cases]]/Table4[[#This Row],[Expected Volume]]</f>
        <v>#DIV/0!</v>
      </c>
      <c r="T12" s="50" t="e">
        <f t="shared" si="1"/>
        <v>#DIV/0!</v>
      </c>
      <c r="U12" s="37" t="str">
        <f t="shared" si="2"/>
        <v>Balanced Staffing</v>
      </c>
    </row>
    <row r="13" spans="1:23" x14ac:dyDescent="0.25">
      <c r="A13" s="162" t="s">
        <v>227</v>
      </c>
      <c r="B13" s="39">
        <v>2</v>
      </c>
      <c r="C13" s="44">
        <f>Inputs!G14</f>
        <v>0</v>
      </c>
      <c r="D13" s="39" t="str">
        <f>IF($C13&lt;&gt;"x","",IFERROR(_xlfn.XLOOKUP($A13,'Staffing Sheet 2nd Shift'!$A:$A,'Staffing Sheet 2nd Shift'!$I:$I,""),""))</f>
        <v/>
      </c>
      <c r="E13" s="39" t="str">
        <f>Table200[[#This Row],[Recommended Task]]</f>
        <v/>
      </c>
      <c r="H13" s="40" t="s">
        <v>32</v>
      </c>
      <c r="I13" s="37">
        <f>COUNTIF(E2:E52, "Replenishment")</f>
        <v>0</v>
      </c>
      <c r="K13" s="37" t="s">
        <v>54</v>
      </c>
      <c r="L13" s="42">
        <f>(Inputs!B5/70)/(25*8.5)</f>
        <v>0</v>
      </c>
      <c r="N13" s="42">
        <f>Table2[[#This Row],[Available Staff ]]-Table2[[#This Row],[Needed ]]</f>
        <v>0</v>
      </c>
      <c r="O13" s="42">
        <f>Table5[[#This Row],[Workers Gap]]*$I$3</f>
        <v>0</v>
      </c>
      <c r="P13" s="37" t="str">
        <f t="shared" si="0"/>
        <v>Good</v>
      </c>
      <c r="Q13" s="43">
        <f>I5/70</f>
        <v>0</v>
      </c>
      <c r="R13" s="43">
        <f>25*I3*Table2[[#This Row],[Available Staff ]]</f>
        <v>0</v>
      </c>
      <c r="S13" s="50" t="e">
        <f>Table4[[#This Row],[Expected Completed Cases]]/Table4[[#This Row],[Expected Volume]]</f>
        <v>#DIV/0!</v>
      </c>
      <c r="T13" s="50" t="e">
        <f t="shared" si="1"/>
        <v>#DIV/0!</v>
      </c>
      <c r="U13" s="37" t="str">
        <f t="shared" si="2"/>
        <v>Balanced Staffing</v>
      </c>
    </row>
    <row r="14" spans="1:23" x14ac:dyDescent="0.25">
      <c r="A14" s="161" t="s">
        <v>228</v>
      </c>
      <c r="B14" s="39">
        <v>2</v>
      </c>
      <c r="C14" s="44">
        <f>Inputs!G15</f>
        <v>0</v>
      </c>
      <c r="D14" s="39" t="str">
        <f>IF($C14&lt;&gt;"x","",IFERROR(_xlfn.XLOOKUP($A14,'Staffing Sheet 2nd Shift'!$A:$A,'Staffing Sheet 2nd Shift'!$I:$I,""),""))</f>
        <v/>
      </c>
      <c r="E14" s="39" t="str">
        <f>Table200[[#This Row],[Recommended Task]]</f>
        <v/>
      </c>
      <c r="H14" s="40" t="s">
        <v>57</v>
      </c>
      <c r="I14" s="37">
        <f>COUNTIF(E2:E53, "Full Pallets")</f>
        <v>0</v>
      </c>
      <c r="K14" s="37" t="s">
        <v>54</v>
      </c>
      <c r="L14" s="42">
        <f>(Inputs!B6/(25*Inputs!B4))</f>
        <v>0</v>
      </c>
      <c r="N14" s="42">
        <f>Table2[[#This Row],[Available Staff ]]-Table2[[#This Row],[Needed ]]</f>
        <v>0</v>
      </c>
      <c r="O14" s="42">
        <f>Table5[[#This Row],[Workers Gap]]*$I$3</f>
        <v>0</v>
      </c>
      <c r="P14" s="37" t="str">
        <f t="shared" si="0"/>
        <v>Good</v>
      </c>
      <c r="Q14" s="43">
        <f>I6</f>
        <v>0</v>
      </c>
      <c r="R14" s="43">
        <f>25*I3*Table2[[#This Row],[Available Staff ]]</f>
        <v>0</v>
      </c>
      <c r="S14" s="50" t="e">
        <f>Table4[[#This Row],[Expected Completed Cases]]/Table4[[#This Row],[Expected Volume]]</f>
        <v>#DIV/0!</v>
      </c>
      <c r="T14" s="50" t="e">
        <f t="shared" si="1"/>
        <v>#DIV/0!</v>
      </c>
      <c r="U14" s="37" t="str">
        <f t="shared" si="2"/>
        <v>Balanced Staffing</v>
      </c>
    </row>
    <row r="15" spans="1:23" x14ac:dyDescent="0.25">
      <c r="A15" s="39" t="s">
        <v>278</v>
      </c>
      <c r="B15" s="67">
        <v>1</v>
      </c>
      <c r="C15" s="44">
        <f>Inputs!G16</f>
        <v>0</v>
      </c>
      <c r="D15" s="155" t="str">
        <f>IF($C15&lt;&gt;"x","",IFERROR(_xlfn.XLOOKUP($A15,'Staffing sheet 1ST Shift'!$A:$A,'Staffing sheet 1ST Shift'!$I:$I,""),""))</f>
        <v/>
      </c>
      <c r="E15" s="156" t="str">
        <f>Table200[[#This Row],[Recommended Task]]</f>
        <v/>
      </c>
      <c r="H15" s="40" t="s">
        <v>58</v>
      </c>
      <c r="I15" s="37">
        <f>COUNTIF(E2:E54, "Loading")</f>
        <v>0</v>
      </c>
      <c r="K15" s="37" t="s">
        <v>54</v>
      </c>
      <c r="L15" s="42">
        <f>'Staffing Forecast'!P13</f>
        <v>0</v>
      </c>
      <c r="N15" s="42">
        <f>Table2[[#This Row],[Available Staff ]]-Table2[[#This Row],[Needed ]]</f>
        <v>0</v>
      </c>
      <c r="O15" s="42">
        <f>Table5[[#This Row],[Workers Gap]]*$I$3</f>
        <v>0</v>
      </c>
      <c r="P15" s="37" t="str">
        <f t="shared" si="0"/>
        <v>Good</v>
      </c>
      <c r="Q15" s="43">
        <f>V4</f>
        <v>0</v>
      </c>
      <c r="R15" s="43">
        <f>1*I3*Table2[[#This Row],[Available Staff ]]</f>
        <v>0</v>
      </c>
      <c r="S15" s="50" t="e">
        <f>Table4[[#This Row],[Expected Completed Cases]]/Table4[[#This Row],[Expected Volume]]</f>
        <v>#DIV/0!</v>
      </c>
      <c r="T15" s="50" t="e">
        <f t="shared" si="1"/>
        <v>#DIV/0!</v>
      </c>
      <c r="U15" s="37" t="str">
        <f t="shared" si="2"/>
        <v>Balanced Staffing</v>
      </c>
    </row>
    <row r="16" spans="1:23" x14ac:dyDescent="0.2">
      <c r="A16" s="161" t="s">
        <v>229</v>
      </c>
      <c r="B16" s="39">
        <v>2</v>
      </c>
      <c r="C16" s="44">
        <f>Inputs!G17</f>
        <v>0</v>
      </c>
      <c r="D16" s="39" t="str">
        <f>IF($C16&lt;&gt;"x","",IFERROR(_xlfn.XLOOKUP($A16,'Staffing Sheet 2nd Shift'!$A:$A,'Staffing Sheet 2nd Shift'!$I:$I,""),""))</f>
        <v/>
      </c>
      <c r="E16" s="39" t="str">
        <f>Table200[[#This Row],[Recommended Task]]</f>
        <v/>
      </c>
      <c r="H16" s="37" t="s">
        <v>59</v>
      </c>
      <c r="I16" s="37">
        <f>SUM(I9:I15)</f>
        <v>0</v>
      </c>
      <c r="L16" s="42">
        <f>ROUND(SUM(L9:L15),0)</f>
        <v>4</v>
      </c>
      <c r="N16" s="42">
        <f>SUM(N9:N15)</f>
        <v>-4</v>
      </c>
      <c r="O16" s="42">
        <f>SUM(O9:O15)</f>
        <v>0</v>
      </c>
      <c r="T16" s="53"/>
    </row>
    <row r="17" spans="1:15" x14ac:dyDescent="0.25">
      <c r="A17" s="161" t="s">
        <v>230</v>
      </c>
      <c r="B17" s="39">
        <v>2</v>
      </c>
      <c r="C17" s="44">
        <f>Inputs!G18</f>
        <v>0</v>
      </c>
      <c r="D17" s="39" t="str">
        <f>IF($C17&lt;&gt;"x","",IFERROR(_xlfn.XLOOKUP($A17,'Staffing Sheet 2nd Shift'!$A:$A,'Staffing Sheet 2nd Shift'!$I:$I,""),""))</f>
        <v/>
      </c>
      <c r="E17" s="39" t="str">
        <f>Table200[[#This Row],[Recommended Task]]</f>
        <v/>
      </c>
      <c r="H17" s="46"/>
      <c r="K17" s="37" t="str">
        <f>IF(L16&gt;I16,"UnderStaffed",IF(L16=I16,"Good","Overstaffed"))</f>
        <v>UnderStaffed</v>
      </c>
    </row>
    <row r="18" spans="1:15" x14ac:dyDescent="0.2">
      <c r="A18" s="161" t="s">
        <v>231</v>
      </c>
      <c r="B18" s="39">
        <v>2</v>
      </c>
      <c r="C18" s="44">
        <f>Inputs!G19</f>
        <v>0</v>
      </c>
      <c r="D18" s="39" t="str">
        <f>IF($C18&lt;&gt;"x","",IFERROR(_xlfn.XLOOKUP($A18,'Staffing Sheet 2nd Shift'!$A:$A,'Staffing Sheet 2nd Shift'!$I:$I,""),""))</f>
        <v/>
      </c>
      <c r="E18" s="39" t="str">
        <f>Table200[[#This Row],[Recommended Task]]</f>
        <v/>
      </c>
    </row>
    <row r="19" spans="1:15" x14ac:dyDescent="0.2">
      <c r="A19" s="39" t="s">
        <v>221</v>
      </c>
      <c r="B19" s="39">
        <v>1</v>
      </c>
      <c r="C19" s="44">
        <f>Inputs!G20</f>
        <v>0</v>
      </c>
      <c r="D19" s="39" t="str">
        <f>IF($C19&lt;&gt;"x","",IFERROR(_xlfn.XLOOKUP($A19,'Staffing sheet 1ST Shift'!$A:$A,'Staffing sheet 1ST Shift'!$I:$I,""),""))</f>
        <v/>
      </c>
      <c r="E19" s="39" t="str">
        <f>Table200[[#This Row],[Recommended Task]]</f>
        <v/>
      </c>
    </row>
    <row r="20" spans="1:15" x14ac:dyDescent="0.2">
      <c r="A20" s="39" t="s">
        <v>46</v>
      </c>
      <c r="B20" s="39">
        <v>1</v>
      </c>
      <c r="C20" s="44">
        <f>Inputs!G21</f>
        <v>0</v>
      </c>
      <c r="D20" s="39"/>
      <c r="E20" s="39">
        <f>Table200[[#This Row],[Recommended Task]]</f>
        <v>0</v>
      </c>
    </row>
    <row r="21" spans="1:15" x14ac:dyDescent="0.2">
      <c r="A21" s="39" t="s">
        <v>49</v>
      </c>
      <c r="B21" s="39">
        <v>1</v>
      </c>
      <c r="C21" s="44">
        <f>Inputs!G22</f>
        <v>0</v>
      </c>
      <c r="D21" s="39" t="str">
        <f>IF($C21&lt;&gt;"x","",IFERROR(_xlfn.XLOOKUP($A21,'Staffing sheet 1ST Shift'!$A:$A,'Staffing sheet 1ST Shift'!$I:$I,""),""))</f>
        <v/>
      </c>
      <c r="E21" s="39" t="str">
        <f>Table200[[#This Row],[Recommended Task]]</f>
        <v/>
      </c>
    </row>
    <row r="22" spans="1:15" x14ac:dyDescent="0.2">
      <c r="A22" s="39" t="s">
        <v>51</v>
      </c>
      <c r="B22" s="39">
        <v>1</v>
      </c>
      <c r="C22" s="44">
        <f>Inputs!G23</f>
        <v>0</v>
      </c>
      <c r="D22" s="39" t="str">
        <f>IF($C22&lt;&gt;"x","",IFERROR(_xlfn.XLOOKUP($A22,'Staffing sheet 1ST Shift'!$A:$A,'Staffing sheet 1ST Shift'!$I:$I,""),""))</f>
        <v/>
      </c>
      <c r="E22" s="39" t="str">
        <f>Table200[[#This Row],[Recommended Task]]</f>
        <v/>
      </c>
    </row>
    <row r="23" spans="1:15" x14ac:dyDescent="0.2">
      <c r="A23" s="160" t="s">
        <v>232</v>
      </c>
      <c r="B23" s="39">
        <v>2</v>
      </c>
      <c r="C23" s="44">
        <f>Inputs!G24</f>
        <v>0</v>
      </c>
      <c r="D23" s="39" t="str">
        <f>IF($C23&lt;&gt;"x","",IFERROR(_xlfn.XLOOKUP($A23,'Staffing Sheet 2nd Shift'!$A:$A,'Staffing Sheet 2nd Shift'!$I:$I,""),""))</f>
        <v/>
      </c>
      <c r="E23" s="39" t="str">
        <f>Table200[[#This Row],[Recommended Task]]</f>
        <v/>
      </c>
      <c r="H23" s="37" t="s">
        <v>62</v>
      </c>
      <c r="K23" s="43"/>
    </row>
    <row r="24" spans="1:15" x14ac:dyDescent="0.2">
      <c r="A24" s="39" t="s">
        <v>53</v>
      </c>
      <c r="B24" s="39">
        <v>1</v>
      </c>
      <c r="C24" s="44">
        <f>Inputs!G25</f>
        <v>0</v>
      </c>
      <c r="D24" s="39" t="str">
        <f>IF($C24&lt;&gt;"x","",IFERROR(_xlfn.XLOOKUP($A24,'Staffing sheet 1ST Shift'!$A:$A,'Staffing sheet 1ST Shift'!$I:$I,""),""))</f>
        <v/>
      </c>
      <c r="E24" s="39" t="str">
        <f>Table200[[#This Row],[Recommended Task]]</f>
        <v/>
      </c>
      <c r="H24" s="37" t="s">
        <v>63</v>
      </c>
      <c r="I24" s="37" t="s">
        <v>33</v>
      </c>
      <c r="K24" s="37" t="s">
        <v>40</v>
      </c>
      <c r="L24" s="37" t="s">
        <v>64</v>
      </c>
      <c r="N24" s="37" t="s">
        <v>39</v>
      </c>
      <c r="O24" s="37" t="s">
        <v>65</v>
      </c>
    </row>
    <row r="25" spans="1:15" x14ac:dyDescent="0.2">
      <c r="A25" s="39" t="s">
        <v>55</v>
      </c>
      <c r="B25" s="39">
        <v>1</v>
      </c>
      <c r="C25" s="44">
        <f>Inputs!G26</f>
        <v>0</v>
      </c>
      <c r="D25" s="39" t="str">
        <f>IF($C25&lt;&gt;"x","",IFERROR(_xlfn.XLOOKUP($A25,'Staffing sheet 1ST Shift'!$A:$A,'Staffing sheet 1ST Shift'!$I:$I,""),""))</f>
        <v/>
      </c>
      <c r="E25" s="39" t="str">
        <f>Table200[[#This Row],[Recommended Task]]</f>
        <v/>
      </c>
      <c r="H25" s="37">
        <f>IF(L25&lt;0,RANK(N25,$N$25:$N$31,1),"")</f>
        <v>1</v>
      </c>
      <c r="I25" s="37" t="s">
        <v>47</v>
      </c>
      <c r="K25" s="37" t="str">
        <f>_xlfn.XLOOKUP(I25,$H$9:$H$15,$P$9:$P$15,"")</f>
        <v>Understaffed</v>
      </c>
      <c r="L25" s="42">
        <f>_xlfn.XLOOKUP(I25,$H$9:$H$15,$N$9:$N$15,"")</f>
        <v>-2</v>
      </c>
      <c r="N25" s="42">
        <f>_xlfn.XLOOKUP(I25,$H$9:$H$15,$O$9:$O$15,"")</f>
        <v>0</v>
      </c>
      <c r="O25" s="37" t="str">
        <f>IF(N9&lt;0,"Need "&amp;ROUND(ABS(N9),1)&amp;" more workers / "&amp;ROUND(ABS(O9),1)&amp;" labor hrs",IF(N9&gt;0,"Can move "&amp;ROUND(N9,1)&amp;" workers / "&amp;ROUND(O9,1)&amp;" labor hrs","Balanced Staffing"))</f>
        <v>Need 2 more workers / 0 labor hrs</v>
      </c>
    </row>
    <row r="26" spans="1:15" x14ac:dyDescent="0.2">
      <c r="A26" s="160" t="s">
        <v>233</v>
      </c>
      <c r="B26" s="39">
        <v>2</v>
      </c>
      <c r="C26" s="44">
        <f>Inputs!G27</f>
        <v>0</v>
      </c>
      <c r="D26" s="39" t="str">
        <f>IF($C26&lt;&gt;"x","",IFERROR(_xlfn.XLOOKUP($A26,'Staffing Sheet 2nd Shift'!$A:$A,'Staffing Sheet 2nd Shift'!$I:$I,""),""))</f>
        <v/>
      </c>
      <c r="E26" s="39" t="str">
        <f>Table200[[#This Row],[Recommended Task]]</f>
        <v/>
      </c>
      <c r="H26" s="37">
        <f t="shared" ref="H26:H31" si="3">IF(L26&lt;0,RANK(N26,$N$25:$N$31,1),"")</f>
        <v>1</v>
      </c>
      <c r="I26" s="37" t="s">
        <v>50</v>
      </c>
      <c r="K26" s="37" t="str">
        <f t="shared" ref="K26:K31" si="4">_xlfn.XLOOKUP(I26,$H$9:$H$15,$P$9:$P$15,"")</f>
        <v>Understaffed</v>
      </c>
      <c r="L26" s="42">
        <f t="shared" ref="L26" si="5">_xlfn.XLOOKUP(I26,$H$9:$H$15,$N$9:$N$15,"")</f>
        <v>-2</v>
      </c>
      <c r="N26" s="42">
        <f t="shared" ref="N26" si="6">_xlfn.XLOOKUP(I26,$H$9:$H$15,$O$9:$O$15,"")</f>
        <v>0</v>
      </c>
      <c r="O26" s="37" t="str">
        <f>IF(N10&lt;0,"Need "&amp;ROUND(ABS(N10),1)&amp;" more workers / "&amp;ROUND(ABS(O10),1)&amp;" labor hrs",IF(N10&gt;0,"Can move "&amp;ROUND(N10,1)&amp;" workers / "&amp;ROUND(O10,1)&amp;" labor hrs","Balanced Staffing"))</f>
        <v>Need 2 more workers / 0 labor hrs</v>
      </c>
    </row>
    <row r="27" spans="1:15" x14ac:dyDescent="0.2">
      <c r="A27" s="161" t="s">
        <v>234</v>
      </c>
      <c r="B27" s="39">
        <v>2</v>
      </c>
      <c r="C27" s="44">
        <f>Inputs!G28</f>
        <v>0</v>
      </c>
      <c r="D27" s="39" t="str">
        <f>IF($C27&lt;&gt;"x","",IFERROR(_xlfn.XLOOKUP($A27,'Staffing Sheet 2nd Shift'!$A:$A,'Staffing Sheet 2nd Shift'!$I:$I,""),""))</f>
        <v/>
      </c>
      <c r="E27" s="39" t="str">
        <f>Table200[[#This Row],[Recommended Task]]</f>
        <v/>
      </c>
      <c r="H27" s="37" t="str">
        <f t="shared" si="3"/>
        <v/>
      </c>
      <c r="I27" s="37" t="s">
        <v>52</v>
      </c>
      <c r="K27" s="37" t="str">
        <f t="shared" si="4"/>
        <v>Good</v>
      </c>
      <c r="L27" s="42">
        <f>_xlfn.XLOOKUP(I27,$H$9:$H$15,$N$9:$N$15,"")</f>
        <v>0</v>
      </c>
      <c r="N27" s="42">
        <f>_xlfn.XLOOKUP(I27,$H$9:$H$15,$O$9:$O$15,"")</f>
        <v>0</v>
      </c>
      <c r="O27" s="37" t="str">
        <f>IF(N11&lt;0,"Need "&amp;ROUND(ABS(N11),1)&amp;" more workers / "&amp;ROUND(ABS(O11),1)&amp;" labor hrs",IF(N11&gt;0,"Can move "&amp;ROUND(N11,1)&amp;" workers / "&amp;ROUND(O11,1)&amp;" labor hrs","Balanced Staffing"))</f>
        <v>Balanced Staffing</v>
      </c>
    </row>
    <row r="28" spans="1:15" x14ac:dyDescent="0.2">
      <c r="A28" s="160" t="s">
        <v>235</v>
      </c>
      <c r="B28" s="39">
        <v>2</v>
      </c>
      <c r="C28" s="44">
        <f>Inputs!G29</f>
        <v>0</v>
      </c>
      <c r="D28" s="39" t="str">
        <f>IF($C28&lt;&gt;"x","",IFERROR(_xlfn.XLOOKUP($A28,'Staffing Sheet 2nd Shift'!$A:$A,'Staffing Sheet 2nd Shift'!$I:$I,""),""))</f>
        <v/>
      </c>
      <c r="E28" s="39" t="str">
        <f>Table200[[#This Row],[Recommended Task]]</f>
        <v/>
      </c>
      <c r="H28" s="37" t="str">
        <f t="shared" si="3"/>
        <v/>
      </c>
      <c r="I28" s="37" t="s">
        <v>68</v>
      </c>
      <c r="K28" s="37" t="str">
        <f>P12</f>
        <v>Good</v>
      </c>
      <c r="L28" s="42">
        <f>N12</f>
        <v>0</v>
      </c>
      <c r="N28" s="42">
        <f>O12</f>
        <v>0</v>
      </c>
      <c r="O28" s="37" t="str">
        <f>IF(N12&lt;0,"Need "&amp;ROUND(ABS(N12),1)&amp;" more workers / "&amp;ROUND(ABS(O12),1)&amp;" labor hrs",IF(N12&gt;0,"Can move "&amp;ROUND(N12,1)&amp;" workers / "&amp;ROUND(O12,1)&amp;" labor hrs","Balanced Staffing"))</f>
        <v>Balanced Staffing</v>
      </c>
    </row>
    <row r="29" spans="1:15" x14ac:dyDescent="0.2">
      <c r="A29" s="39" t="s">
        <v>171</v>
      </c>
      <c r="B29" s="39">
        <v>1</v>
      </c>
      <c r="C29" s="44">
        <f>Inputs!G30</f>
        <v>0</v>
      </c>
      <c r="D29" s="39" t="str">
        <f>IF($C29&lt;&gt;"x","",IFERROR(_xlfn.XLOOKUP($A29,'Staffing sheet 1ST Shift'!$A:$A,'Staffing sheet 1ST Shift'!$I:$I,""),""))</f>
        <v/>
      </c>
      <c r="E29" s="39" t="str">
        <f>Table200[[#This Row],[Recommended Task]]</f>
        <v/>
      </c>
      <c r="H29" s="37" t="str">
        <f t="shared" si="3"/>
        <v/>
      </c>
      <c r="I29" s="37" t="s">
        <v>32</v>
      </c>
      <c r="K29" s="37" t="str">
        <f t="shared" si="4"/>
        <v>Good</v>
      </c>
      <c r="L29" s="42">
        <f>_xlfn.XLOOKUP(I29,$H$9:$H$15,$N$9:$N$15,"")</f>
        <v>0</v>
      </c>
      <c r="N29" s="42">
        <f>_xlfn.XLOOKUP(I29,$H$9:$H$15,$O$9:$O$15,"")</f>
        <v>0</v>
      </c>
      <c r="O29" s="37" t="str">
        <f>IF(N13&lt;0,"Need "&amp;ROUND(ABS(N13),1)&amp;" more workers / "&amp;ROUND(ABS(O13),1)&amp;" labor hrs",IF(N13&gt;0,"Can move "&amp;ROUND(N13,1)&amp;" workers / "&amp;ROUND(O13,1)&amp;" labor hrs","Balanced Staffing"))</f>
        <v>Balanced Staffing</v>
      </c>
    </row>
    <row r="30" spans="1:15" x14ac:dyDescent="0.2">
      <c r="A30" s="39" t="s">
        <v>56</v>
      </c>
      <c r="B30" s="39">
        <v>1</v>
      </c>
      <c r="C30" s="44">
        <f>Inputs!G31</f>
        <v>0</v>
      </c>
      <c r="D30" s="39" t="str">
        <f>IF($C30&lt;&gt;"x","",IFERROR(_xlfn.XLOOKUP($A30,'Staffing sheet 1ST Shift'!$A:$A,'Staffing sheet 1ST Shift'!$I:$I,""),""))</f>
        <v/>
      </c>
      <c r="E30" s="39" t="str">
        <f>Table200[[#This Row],[Recommended Task]]</f>
        <v/>
      </c>
      <c r="H30" s="37" t="str">
        <f t="shared" si="3"/>
        <v/>
      </c>
      <c r="I30" s="37" t="s">
        <v>57</v>
      </c>
      <c r="K30" s="37" t="str">
        <f t="shared" si="4"/>
        <v>Good</v>
      </c>
      <c r="L30" s="42">
        <f>_xlfn.XLOOKUP(I30,$H$9:$H$15,$N$9:$N$15,"")</f>
        <v>0</v>
      </c>
      <c r="N30" s="42">
        <f>_xlfn.XLOOKUP(I30,$H$9:$H$15,$O$9:$O$15,"")</f>
        <v>0</v>
      </c>
      <c r="O30" s="37" t="str">
        <f>IF(N14&lt;0,"Need "&amp;ROUND(ABS(N14),1)&amp;" more workers / "&amp;ROUND(ABS(O14),1)&amp;" labor hrs",IF(N14&gt;0,"Can move "&amp;ROUND(N14,1)&amp;" workers / "&amp;ROUND(O14,1)&amp;" labor hrs","Balanced Staffing"))</f>
        <v>Balanced Staffing</v>
      </c>
    </row>
    <row r="31" spans="1:15" x14ac:dyDescent="0.2">
      <c r="A31" s="39" t="s">
        <v>277</v>
      </c>
      <c r="B31" s="67">
        <v>1</v>
      </c>
      <c r="C31" s="44">
        <f>Inputs!G32</f>
        <v>0</v>
      </c>
      <c r="D31" s="155" t="str">
        <f>IF($C31&lt;&gt;"x","",IFERROR(_xlfn.XLOOKUP($A31,'Staffing sheet 1ST Shift'!$A:$A,'Staffing sheet 1ST Shift'!$I:$I,""),""))</f>
        <v/>
      </c>
      <c r="E31" s="156" t="str">
        <f>Table200[[#This Row],[Recommended Task]]</f>
        <v/>
      </c>
      <c r="H31" s="37" t="str">
        <f t="shared" si="3"/>
        <v/>
      </c>
      <c r="I31" s="37" t="s">
        <v>58</v>
      </c>
      <c r="K31" s="37" t="str">
        <f t="shared" si="4"/>
        <v>Good</v>
      </c>
      <c r="L31" s="42">
        <f>_xlfn.XLOOKUP(I31,$H$9:$H$15,$N$9:$N$15,"")</f>
        <v>0</v>
      </c>
      <c r="N31" s="42">
        <f>_xlfn.XLOOKUP(I31,$H$9:$H$15,$O$9:$O$15,"")</f>
        <v>0</v>
      </c>
      <c r="O31" s="37" t="str">
        <f>IF(N15&lt;0,"Need "&amp;ROUND(ABS(N15),1)&amp;" more workers / "&amp;ROUND(ABS(O15),1)&amp;" labor hrs",IF(N15&gt;0,"Can move "&amp;ROUND(N15,1)&amp;" workers / "&amp;ROUND(O15,1)&amp;" labor hrs","Balanced Staffing"))</f>
        <v>Balanced Staffing</v>
      </c>
    </row>
    <row r="32" spans="1:15" x14ac:dyDescent="0.2">
      <c r="A32" s="160" t="s">
        <v>236</v>
      </c>
      <c r="B32" s="39">
        <v>2</v>
      </c>
      <c r="C32" s="44">
        <f>Inputs!G33</f>
        <v>0</v>
      </c>
      <c r="D32" s="39" t="str">
        <f>IF($C32&lt;&gt;"x","",IFERROR(_xlfn.XLOOKUP($A32,'Staffing Sheet 2nd Shift'!$A:$A,'Staffing Sheet 2nd Shift'!$I:$I,""),""))</f>
        <v/>
      </c>
      <c r="E32" s="39" t="str">
        <f>Table200[[#This Row],[Recommended Task]]</f>
        <v/>
      </c>
      <c r="I32" s="38"/>
      <c r="J32" s="38"/>
      <c r="K32" s="38"/>
      <c r="L32" s="38"/>
      <c r="M32" s="38"/>
      <c r="N32" s="38"/>
      <c r="O32" s="38"/>
    </row>
    <row r="33" spans="1:5" x14ac:dyDescent="0.2">
      <c r="A33" s="160" t="s">
        <v>237</v>
      </c>
      <c r="B33" s="39">
        <v>2</v>
      </c>
      <c r="C33" s="44">
        <f>Inputs!G34</f>
        <v>0</v>
      </c>
      <c r="D33" s="39" t="str">
        <f>IF($C33&lt;&gt;"x","",IFERROR(_xlfn.XLOOKUP($A33,'Staffing Sheet 2nd Shift'!$A:$A,'Staffing Sheet 2nd Shift'!$I:$I,""),""))</f>
        <v/>
      </c>
      <c r="E33" s="39" t="str">
        <f>Table200[[#This Row],[Recommended Task]]</f>
        <v/>
      </c>
    </row>
    <row r="34" spans="1:5" x14ac:dyDescent="0.2">
      <c r="A34" s="39" t="s">
        <v>172</v>
      </c>
      <c r="B34" s="39">
        <v>1</v>
      </c>
      <c r="C34" s="44">
        <f>Inputs!G35</f>
        <v>0</v>
      </c>
      <c r="D34" s="39" t="str">
        <f>IF($C34&lt;&gt;"x","",IFERROR(_xlfn.XLOOKUP($A34,'Staffing sheet 1ST Shift'!$A:$A,'Staffing sheet 1ST Shift'!$I:$I,""),""))</f>
        <v/>
      </c>
      <c r="E34" s="39" t="str">
        <f>Table200[[#This Row],[Recommended Task]]</f>
        <v/>
      </c>
    </row>
    <row r="35" spans="1:5" x14ac:dyDescent="0.2">
      <c r="A35" s="39" t="s">
        <v>173</v>
      </c>
      <c r="B35" s="39">
        <v>1</v>
      </c>
      <c r="C35" s="44">
        <f>Inputs!G36</f>
        <v>0</v>
      </c>
      <c r="D35" s="39" t="str">
        <f>IF($C35&lt;&gt;"x","",IFERROR(_xlfn.XLOOKUP($A35,'Staffing sheet 1ST Shift'!$A:$A,'Staffing sheet 1ST Shift'!$I:$I,""),""))</f>
        <v/>
      </c>
      <c r="E35" s="39" t="str">
        <f>Table200[[#This Row],[Recommended Task]]</f>
        <v/>
      </c>
    </row>
    <row r="36" spans="1:5" x14ac:dyDescent="0.2">
      <c r="A36" s="39" t="s">
        <v>180</v>
      </c>
      <c r="B36" s="39">
        <v>1</v>
      </c>
      <c r="C36" s="44">
        <f>Inputs!G37</f>
        <v>0</v>
      </c>
      <c r="D36" s="39" t="str">
        <f>IF($C36&lt;&gt;"x","",IFERROR(_xlfn.XLOOKUP($A36,'Staffing sheet 1ST Shift'!$A:$A,'Staffing sheet 1ST Shift'!$I:$I,""),""))</f>
        <v/>
      </c>
      <c r="E36" s="39" t="str">
        <f>Table200[[#This Row],[Recommended Task]]</f>
        <v/>
      </c>
    </row>
    <row r="37" spans="1:5" x14ac:dyDescent="0.2">
      <c r="A37" s="160" t="s">
        <v>238</v>
      </c>
      <c r="B37" s="39">
        <v>2</v>
      </c>
      <c r="C37" s="44">
        <f>Inputs!G38</f>
        <v>0</v>
      </c>
      <c r="D37" s="39" t="str">
        <f>IF($C37&lt;&gt;"x","",IFERROR(_xlfn.XLOOKUP($A37,'Staffing Sheet 2nd Shift'!$A:$A,'Staffing Sheet 2nd Shift'!$I:$I,""),""))</f>
        <v/>
      </c>
      <c r="E37" s="39" t="str">
        <f>Table200[[#This Row],[Recommended Task]]</f>
        <v/>
      </c>
    </row>
    <row r="38" spans="1:5" x14ac:dyDescent="0.2">
      <c r="A38" s="160" t="s">
        <v>239</v>
      </c>
      <c r="B38" s="39">
        <v>2</v>
      </c>
      <c r="C38" s="44">
        <f>Inputs!G39</f>
        <v>0</v>
      </c>
      <c r="D38" s="39" t="str">
        <f>IF($C38&lt;&gt;"x","",IFERROR(_xlfn.XLOOKUP($A38,'Staffing Sheet 2nd Shift'!$A:$A,'Staffing Sheet 2nd Shift'!$I:$I,""),""))</f>
        <v/>
      </c>
      <c r="E38" s="39" t="str">
        <f>Table200[[#This Row],[Recommended Task]]</f>
        <v/>
      </c>
    </row>
    <row r="39" spans="1:5" x14ac:dyDescent="0.2">
      <c r="A39" s="39" t="s">
        <v>60</v>
      </c>
      <c r="B39" s="39">
        <v>1</v>
      </c>
      <c r="C39" s="44">
        <f>Inputs!G40</f>
        <v>0</v>
      </c>
      <c r="D39" s="39" t="str">
        <f>IF($C39&lt;&gt;"x","",IFERROR(_xlfn.XLOOKUP($A39,'Staffing sheet 1ST Shift'!$A:$A,'Staffing sheet 1ST Shift'!$I:$I,""),""))</f>
        <v/>
      </c>
      <c r="E39" s="39" t="str">
        <f>Table200[[#This Row],[Recommended Task]]</f>
        <v/>
      </c>
    </row>
    <row r="40" spans="1:5" x14ac:dyDescent="0.2">
      <c r="A40" s="160" t="s">
        <v>240</v>
      </c>
      <c r="B40" s="39">
        <v>2</v>
      </c>
      <c r="C40" s="44">
        <f>Inputs!G41</f>
        <v>0</v>
      </c>
      <c r="D40" s="39" t="str">
        <f>IF($C40&lt;&gt;"x","",IFERROR(_xlfn.XLOOKUP($A40,'Staffing Sheet 2nd Shift'!$A:$A,'Staffing Sheet 2nd Shift'!$I:$I,""),""))</f>
        <v/>
      </c>
      <c r="E40" s="39" t="str">
        <f>Table200[[#This Row],[Recommended Task]]</f>
        <v/>
      </c>
    </row>
    <row r="41" spans="1:5" x14ac:dyDescent="0.2">
      <c r="A41" s="39" t="s">
        <v>61</v>
      </c>
      <c r="B41" s="39">
        <v>1</v>
      </c>
      <c r="C41" s="44">
        <f>Inputs!G42</f>
        <v>0</v>
      </c>
      <c r="D41" s="39" t="str">
        <f>IF($C41&lt;&gt;"x","",IFERROR(_xlfn.XLOOKUP($A41,'Staffing sheet 1ST Shift'!$A:$A,'Staffing sheet 1ST Shift'!$I:$I,""),""))</f>
        <v/>
      </c>
      <c r="E41" s="39" t="str">
        <f>Table200[[#This Row],[Recommended Task]]</f>
        <v/>
      </c>
    </row>
    <row r="42" spans="1:5" x14ac:dyDescent="0.2">
      <c r="A42" s="39" t="s">
        <v>146</v>
      </c>
      <c r="B42" s="39">
        <v>1</v>
      </c>
      <c r="C42" s="44">
        <f>Inputs!G43</f>
        <v>0</v>
      </c>
      <c r="D42" s="39" t="str">
        <f>IF($C42&lt;&gt;"x","",IFERROR(_xlfn.XLOOKUP($A42,'Staffing sheet 1ST Shift'!$A:$A,'Staffing sheet 1ST Shift'!$I:$I,""),""))</f>
        <v/>
      </c>
      <c r="E42" s="39" t="str">
        <f>Table200[[#This Row],[Recommended Task]]</f>
        <v/>
      </c>
    </row>
    <row r="43" spans="1:5" x14ac:dyDescent="0.2">
      <c r="A43" s="39" t="s">
        <v>147</v>
      </c>
      <c r="B43" s="39">
        <v>1</v>
      </c>
      <c r="C43" s="44">
        <f>Inputs!G44</f>
        <v>0</v>
      </c>
      <c r="D43" s="39" t="str">
        <f>IF($C43&lt;&gt;"x","",IFERROR(_xlfn.XLOOKUP($A43,'Staffing sheet 1ST Shift'!$A:$A,'Staffing sheet 1ST Shift'!$I:$I,""),""))</f>
        <v/>
      </c>
      <c r="E43" s="39" t="str">
        <f>Table200[[#This Row],[Recommended Task]]</f>
        <v/>
      </c>
    </row>
    <row r="44" spans="1:5" x14ac:dyDescent="0.2">
      <c r="A44" s="161" t="s">
        <v>241</v>
      </c>
      <c r="B44" s="39">
        <v>2</v>
      </c>
      <c r="C44" s="44">
        <f>Inputs!G45</f>
        <v>0</v>
      </c>
      <c r="D44" s="39" t="str">
        <f>IF($C44&lt;&gt;"x","",IFERROR(_xlfn.XLOOKUP($A44,'Staffing Sheet 2nd Shift'!$A:$A,'Staffing Sheet 2nd Shift'!$I:$I,""),""))</f>
        <v/>
      </c>
      <c r="E44" s="39" t="str">
        <f>Table200[[#This Row],[Recommended Task]]</f>
        <v/>
      </c>
    </row>
    <row r="45" spans="1:5" x14ac:dyDescent="0.2">
      <c r="A45" s="161" t="s">
        <v>242</v>
      </c>
      <c r="B45" s="39">
        <v>2</v>
      </c>
      <c r="C45" s="44">
        <f>Inputs!G46</f>
        <v>0</v>
      </c>
      <c r="D45" s="39" t="str">
        <f>IF($C45&lt;&gt;"x","",IFERROR(_xlfn.XLOOKUP($A45,'Staffing Sheet 2nd Shift'!$A:$A,'Staffing Sheet 2nd Shift'!$I:$I,""),""))</f>
        <v/>
      </c>
      <c r="E45" s="39" t="str">
        <f>Table200[[#This Row],[Recommended Task]]</f>
        <v/>
      </c>
    </row>
    <row r="46" spans="1:5" x14ac:dyDescent="0.2">
      <c r="A46" s="160" t="s">
        <v>243</v>
      </c>
      <c r="B46" s="39">
        <v>2</v>
      </c>
      <c r="C46" s="44">
        <f>Inputs!G47</f>
        <v>0</v>
      </c>
      <c r="D46" s="39" t="str">
        <f>IF($C46&lt;&gt;"x","",IFERROR(_xlfn.XLOOKUP($A46,'Staffing Sheet 2nd Shift'!$A:$A,'Staffing Sheet 2nd Shift'!$I:$I,""),""))</f>
        <v/>
      </c>
      <c r="E46" s="39" t="str">
        <f>Table200[[#This Row],[Recommended Task]]</f>
        <v/>
      </c>
    </row>
    <row r="47" spans="1:5" x14ac:dyDescent="0.2">
      <c r="A47" s="161" t="s">
        <v>244</v>
      </c>
      <c r="B47" s="39">
        <v>2</v>
      </c>
      <c r="C47" s="44">
        <f>Inputs!G48</f>
        <v>0</v>
      </c>
      <c r="D47" s="39" t="str">
        <f>IF($C47&lt;&gt;"x","",IFERROR(_xlfn.XLOOKUP($A47,'Staffing Sheet 2nd Shift'!$A:$A,'Staffing Sheet 2nd Shift'!$I:$I,""),""))</f>
        <v/>
      </c>
      <c r="E47" s="39" t="str">
        <f>Table200[[#This Row],[Recommended Task]]</f>
        <v/>
      </c>
    </row>
    <row r="48" spans="1:5" x14ac:dyDescent="0.2">
      <c r="A48" s="39" t="s">
        <v>203</v>
      </c>
      <c r="B48" s="39">
        <v>1</v>
      </c>
      <c r="C48" s="44">
        <f>Inputs!G49</f>
        <v>0</v>
      </c>
      <c r="D48" s="39" t="str">
        <f>IF($C48&lt;&gt;"x","",IFERROR(_xlfn.XLOOKUP($A48,'Staffing sheet 1ST Shift'!$A:$A,'Staffing sheet 1ST Shift'!$I:$I,""),""))</f>
        <v/>
      </c>
      <c r="E48" s="39" t="str">
        <f>Table200[[#This Row],[Recommended Task]]</f>
        <v/>
      </c>
    </row>
    <row r="49" spans="1:5" x14ac:dyDescent="0.2">
      <c r="A49" s="161" t="s">
        <v>245</v>
      </c>
      <c r="B49" s="39">
        <v>2</v>
      </c>
      <c r="C49" s="44">
        <f>Inputs!G50</f>
        <v>0</v>
      </c>
      <c r="D49" s="39" t="str">
        <f>IF($C49&lt;&gt;"x","",IFERROR(_xlfn.XLOOKUP($A49,'Staffing Sheet 2nd Shift'!$A:$A,'Staffing Sheet 2nd Shift'!$I:$I,""),""))</f>
        <v/>
      </c>
      <c r="E49" s="39" t="str">
        <f>Table200[[#This Row],[Recommended Task]]</f>
        <v/>
      </c>
    </row>
    <row r="50" spans="1:5" x14ac:dyDescent="0.2">
      <c r="A50" s="161" t="s">
        <v>246</v>
      </c>
      <c r="B50" s="39">
        <v>2</v>
      </c>
      <c r="C50" s="44">
        <f>Inputs!G51</f>
        <v>0</v>
      </c>
      <c r="D50" s="39" t="str">
        <f>IF($C50&lt;&gt;"x","",IFERROR(_xlfn.XLOOKUP($A50,'Staffing Sheet 2nd Shift'!$A:$A,'Staffing Sheet 2nd Shift'!$I:$I,""),""))</f>
        <v/>
      </c>
      <c r="E50" s="39" t="str">
        <f>Table200[[#This Row],[Recommended Task]]</f>
        <v/>
      </c>
    </row>
    <row r="51" spans="1:5" ht="15.75" customHeight="1" x14ac:dyDescent="0.2">
      <c r="A51" s="110" t="s">
        <v>247</v>
      </c>
      <c r="B51" s="39">
        <v>2</v>
      </c>
      <c r="C51" s="44">
        <f>Inputs!G52</f>
        <v>0</v>
      </c>
      <c r="D51" s="39" t="str">
        <f>IF($C51&lt;&gt;"x","",IFERROR(_xlfn.XLOOKUP($A51,'Staffing Sheet 2nd Shift'!$A:$A,'Staffing Sheet 2nd Shift'!$I:$I,""),""))</f>
        <v/>
      </c>
      <c r="E51" s="39" t="str">
        <f>Table200[[#This Row],[Recommended Task]]</f>
        <v/>
      </c>
    </row>
    <row r="52" spans="1:5" x14ac:dyDescent="0.2">
      <c r="A52" s="107" t="s">
        <v>66</v>
      </c>
      <c r="B52" s="39">
        <v>1</v>
      </c>
      <c r="C52" s="44">
        <f>Inputs!G53</f>
        <v>0</v>
      </c>
      <c r="D52" s="39" t="str">
        <f>IF($C52&lt;&gt;"x","",IFERROR(_xlfn.XLOOKUP($A52,'Staffing sheet 1ST Shift'!$A:$A,'Staffing sheet 1ST Shift'!$I:$I,""),""))</f>
        <v/>
      </c>
      <c r="E52" s="39" t="str">
        <f>Table200[[#This Row],[Recommended Task]]</f>
        <v/>
      </c>
    </row>
    <row r="53" spans="1:5" x14ac:dyDescent="0.2">
      <c r="A53" s="107" t="s">
        <v>222</v>
      </c>
      <c r="B53" s="39">
        <v>1</v>
      </c>
      <c r="C53" s="44">
        <f>Inputs!G54</f>
        <v>0</v>
      </c>
      <c r="D53" s="39" t="str">
        <f>IF($C53&lt;&gt;"x","",IFERROR(_xlfn.XLOOKUP($A53,'Staffing sheet 1ST Shift'!$A:$A,'Staffing sheet 1ST Shift'!$I:$I,""),""))</f>
        <v/>
      </c>
      <c r="E53" s="39" t="str">
        <f>Table200[[#This Row],[Recommended Task]]</f>
        <v/>
      </c>
    </row>
    <row r="54" spans="1:5" x14ac:dyDescent="0.2">
      <c r="A54" s="111" t="s">
        <v>248</v>
      </c>
      <c r="B54" s="39">
        <v>2</v>
      </c>
      <c r="C54" s="44">
        <f>Inputs!G55</f>
        <v>0</v>
      </c>
      <c r="D54" s="39" t="str">
        <f>IF($C54&lt;&gt;"x","",IFERROR(_xlfn.XLOOKUP($A54,'Staffing Sheet 2nd Shift'!$A:$A,'Staffing Sheet 2nd Shift'!$I:$I,""),""))</f>
        <v/>
      </c>
      <c r="E54" s="39" t="str">
        <f>Table200[[#This Row],[Recommended Task]]</f>
        <v/>
      </c>
    </row>
    <row r="55" spans="1:5" ht="15.75" customHeight="1" x14ac:dyDescent="0.25">
      <c r="A55" s="109" t="s">
        <v>249</v>
      </c>
      <c r="B55" s="39">
        <v>2</v>
      </c>
      <c r="C55" s="44">
        <f>Inputs!G56</f>
        <v>0</v>
      </c>
      <c r="D55" s="39" t="str">
        <f>IF($C55&lt;&gt;"x","",IFERROR(_xlfn.XLOOKUP($A55,'Staffing Sheet 2nd Shift'!$A:$A,'Staffing Sheet 2nd Shift'!$I:$I,""),""))</f>
        <v/>
      </c>
      <c r="E55" s="39" t="str">
        <f>Table200[[#This Row],[Recommended Task]]</f>
        <v/>
      </c>
    </row>
    <row r="56" spans="1:5" x14ac:dyDescent="0.2">
      <c r="A56" s="107" t="s">
        <v>174</v>
      </c>
      <c r="B56" s="39">
        <v>1</v>
      </c>
      <c r="C56" s="44">
        <f>Inputs!G57</f>
        <v>0</v>
      </c>
      <c r="D56" s="39" t="str">
        <f>IF($C56&lt;&gt;"x","",IFERROR(_xlfn.XLOOKUP($A56,'Staffing sheet 1ST Shift'!$A:$A,'Staffing sheet 1ST Shift'!$I:$I,""),""))</f>
        <v/>
      </c>
      <c r="E56" s="39" t="str">
        <f>Table200[[#This Row],[Recommended Task]]</f>
        <v/>
      </c>
    </row>
    <row r="57" spans="1:5" x14ac:dyDescent="0.2">
      <c r="A57" s="107" t="s">
        <v>183</v>
      </c>
      <c r="B57" s="39">
        <v>1</v>
      </c>
      <c r="C57" s="44">
        <f>Inputs!G58</f>
        <v>0</v>
      </c>
      <c r="D57" s="39" t="str">
        <f>IF($C57&lt;&gt;"x","",IFERROR(_xlfn.XLOOKUP($A57,'Staffing sheet 1ST Shift'!$A:$A,'Staffing sheet 1ST Shift'!$I:$I,""),""))</f>
        <v/>
      </c>
      <c r="E57" s="39" t="str">
        <f>Table200[[#This Row],[Recommended Task]]</f>
        <v/>
      </c>
    </row>
    <row r="58" spans="1:5" x14ac:dyDescent="0.2">
      <c r="A58" s="107" t="s">
        <v>202</v>
      </c>
      <c r="B58" s="39">
        <v>1</v>
      </c>
      <c r="C58" s="44">
        <f>Inputs!G59</f>
        <v>0</v>
      </c>
      <c r="D58" s="39" t="str">
        <f>IF($C58&lt;&gt;"x","",IFERROR(_xlfn.XLOOKUP($A58,'Staffing sheet 1ST Shift'!$A:$A,'Staffing sheet 1ST Shift'!$I:$I,""),""))</f>
        <v/>
      </c>
      <c r="E58" s="39" t="str">
        <f>Table200[[#This Row],[Recommended Task]]</f>
        <v/>
      </c>
    </row>
    <row r="59" spans="1:5" ht="15.75" customHeight="1" x14ac:dyDescent="0.25">
      <c r="A59" s="109" t="s">
        <v>250</v>
      </c>
      <c r="B59" s="39">
        <v>2</v>
      </c>
      <c r="C59" s="44">
        <f>Inputs!G60</f>
        <v>0</v>
      </c>
      <c r="D59" s="39" t="str">
        <f>IF($C59&lt;&gt;"x","",IFERROR(_xlfn.XLOOKUP($A59,'Staffing Sheet 2nd Shift'!$A:$A,'Staffing Sheet 2nd Shift'!$I:$I,""),""))</f>
        <v/>
      </c>
      <c r="E59" s="39" t="str">
        <f>Table200[[#This Row],[Recommended Task]]</f>
        <v/>
      </c>
    </row>
    <row r="60" spans="1:5" x14ac:dyDescent="0.2">
      <c r="A60" s="111" t="s">
        <v>251</v>
      </c>
      <c r="B60" s="39">
        <v>2</v>
      </c>
      <c r="C60" s="44">
        <f>Inputs!G61</f>
        <v>0</v>
      </c>
      <c r="D60" s="39" t="str">
        <f>IF($C60&lt;&gt;"x","",IFERROR(_xlfn.XLOOKUP($A60,'Staffing Sheet 2nd Shift'!$A:$A,'Staffing Sheet 2nd Shift'!$I:$I,""),""))</f>
        <v/>
      </c>
      <c r="E60" s="39" t="str">
        <f>Table200[[#This Row],[Recommended Task]]</f>
        <v/>
      </c>
    </row>
    <row r="61" spans="1:5" x14ac:dyDescent="0.2">
      <c r="A61" s="110" t="s">
        <v>252</v>
      </c>
      <c r="B61" s="39">
        <v>2</v>
      </c>
      <c r="C61" s="44">
        <f>Inputs!G62</f>
        <v>0</v>
      </c>
      <c r="D61" s="39" t="str">
        <f>IF($C61&lt;&gt;"x","",IFERROR(_xlfn.XLOOKUP($A61,'Staffing Sheet 2nd Shift'!$A:$A,'Staffing Sheet 2nd Shift'!$I:$I,""),""))</f>
        <v/>
      </c>
      <c r="E61" s="39" t="str">
        <f>Table200[[#This Row],[Recommended Task]]</f>
        <v/>
      </c>
    </row>
    <row r="62" spans="1:5" x14ac:dyDescent="0.2">
      <c r="A62" s="107" t="s">
        <v>181</v>
      </c>
      <c r="B62" s="39">
        <v>1</v>
      </c>
      <c r="C62" s="44">
        <f>Inputs!G63</f>
        <v>0</v>
      </c>
      <c r="D62" s="39" t="str">
        <f>IF($C62&lt;&gt;"x","",IFERROR(_xlfn.XLOOKUP($A62,'Staffing sheet 1ST Shift'!$A:$A,'Staffing sheet 1ST Shift'!$I:$I,""),""))</f>
        <v/>
      </c>
      <c r="E62" s="39" t="str">
        <f>Table200[[#This Row],[Recommended Task]]</f>
        <v/>
      </c>
    </row>
    <row r="63" spans="1:5" x14ac:dyDescent="0.2">
      <c r="A63" s="111" t="s">
        <v>253</v>
      </c>
      <c r="B63" s="39">
        <v>2</v>
      </c>
      <c r="C63" s="44">
        <f>Inputs!G64</f>
        <v>0</v>
      </c>
      <c r="D63" s="39" t="str">
        <f>IF($C63&lt;&gt;"x","",IFERROR(_xlfn.XLOOKUP($A63,'Staffing Sheet 2nd Shift'!$A:$A,'Staffing Sheet 2nd Shift'!$I:$I,""),""))</f>
        <v/>
      </c>
      <c r="E63" s="39" t="str">
        <f>Table200[[#This Row],[Recommended Task]]</f>
        <v/>
      </c>
    </row>
    <row r="64" spans="1:5" x14ac:dyDescent="0.2">
      <c r="A64" s="111" t="s">
        <v>254</v>
      </c>
      <c r="B64" s="39">
        <v>2</v>
      </c>
      <c r="C64" s="44">
        <f>Inputs!G65</f>
        <v>0</v>
      </c>
      <c r="D64" s="39" t="str">
        <f>IF($C64&lt;&gt;"x","",IFERROR(_xlfn.XLOOKUP($A64,'Staffing Sheet 2nd Shift'!$A:$A,'Staffing Sheet 2nd Shift'!$I:$I,""),""))</f>
        <v/>
      </c>
      <c r="E64" s="39" t="str">
        <f>Table200[[#This Row],[Recommended Task]]</f>
        <v/>
      </c>
    </row>
    <row r="65" spans="1:5" x14ac:dyDescent="0.2">
      <c r="A65" s="107" t="s">
        <v>145</v>
      </c>
      <c r="B65" s="39">
        <v>1</v>
      </c>
      <c r="C65" s="44">
        <f>Inputs!G66</f>
        <v>0</v>
      </c>
      <c r="D65" s="39" t="str">
        <f>IF($C65&lt;&gt;"x","",IFERROR(_xlfn.XLOOKUP($A65,'Staffing sheet 1ST Shift'!$A:$A,'Staffing sheet 1ST Shift'!$I:$I,""),""))</f>
        <v/>
      </c>
      <c r="E65" s="39" t="str">
        <f>Table200[[#This Row],[Recommended Task]]</f>
        <v/>
      </c>
    </row>
    <row r="66" spans="1:5" x14ac:dyDescent="0.2">
      <c r="A66" s="111" t="s">
        <v>255</v>
      </c>
      <c r="B66" s="39">
        <v>2</v>
      </c>
      <c r="C66" s="44">
        <f>Inputs!G67</f>
        <v>0</v>
      </c>
      <c r="D66" s="39" t="str">
        <f>IF($C66&lt;&gt;"x","",IFERROR(_xlfn.XLOOKUP($A66,'Staffing Sheet 2nd Shift'!$A:$A,'Staffing Sheet 2nd Shift'!$I:$I,""),""))</f>
        <v/>
      </c>
      <c r="E66" s="39" t="str">
        <f>Table200[[#This Row],[Recommended Task]]</f>
        <v/>
      </c>
    </row>
    <row r="67" spans="1:5" x14ac:dyDescent="0.2">
      <c r="A67" s="111" t="s">
        <v>256</v>
      </c>
      <c r="B67" s="39">
        <v>2</v>
      </c>
      <c r="C67" s="44">
        <f>Inputs!G68</f>
        <v>0</v>
      </c>
      <c r="D67" s="39" t="str">
        <f>IF($C67&lt;&gt;"x","",IFERROR(_xlfn.XLOOKUP($A67,'Staffing Sheet 2nd Shift'!$A:$A,'Staffing Sheet 2nd Shift'!$I:$I,""),""))</f>
        <v/>
      </c>
      <c r="E67" s="39" t="str">
        <f>Table200[[#This Row],[Recommended Task]]</f>
        <v/>
      </c>
    </row>
    <row r="68" spans="1:5" x14ac:dyDescent="0.2">
      <c r="A68" s="111" t="s">
        <v>257</v>
      </c>
      <c r="B68" s="39">
        <v>2</v>
      </c>
      <c r="C68" s="44">
        <f>Inputs!G69</f>
        <v>0</v>
      </c>
      <c r="D68" s="39" t="str">
        <f>IF($C68&lt;&gt;"x","",IFERROR(_xlfn.XLOOKUP($A68,'Staffing Sheet 2nd Shift'!$A:$A,'Staffing Sheet 2nd Shift'!$I:$I,""),""))</f>
        <v/>
      </c>
      <c r="E68" s="39" t="str">
        <f>Table200[[#This Row],[Recommended Task]]</f>
        <v/>
      </c>
    </row>
    <row r="69" spans="1:5" x14ac:dyDescent="0.2">
      <c r="A69" s="107" t="s">
        <v>163</v>
      </c>
      <c r="B69" s="39">
        <v>1</v>
      </c>
      <c r="C69" s="44">
        <f>Inputs!G70</f>
        <v>0</v>
      </c>
      <c r="D69" s="39" t="str">
        <f>IF($C69&lt;&gt;"x","",IFERROR(_xlfn.XLOOKUP($A69,'Staffing sheet 1ST Shift'!$A:$A,'Staffing sheet 1ST Shift'!$I:$I,""),""))</f>
        <v/>
      </c>
      <c r="E69" s="39" t="str">
        <f>Table200[[#This Row],[Recommended Task]]</f>
        <v/>
      </c>
    </row>
    <row r="70" spans="1:5" x14ac:dyDescent="0.2">
      <c r="A70" s="107" t="s">
        <v>67</v>
      </c>
      <c r="B70" s="39">
        <v>1</v>
      </c>
      <c r="C70" s="44">
        <f>Inputs!G71</f>
        <v>0</v>
      </c>
      <c r="D70" s="39" t="str">
        <f>IF($C70&lt;&gt;"x","",IFERROR(_xlfn.XLOOKUP($A70,'Staffing sheet 1ST Shift'!$A:$A,'Staffing sheet 1ST Shift'!$I:$I,""),""))</f>
        <v/>
      </c>
      <c r="E70" s="39" t="str">
        <f>Table200[[#This Row],[Recommended Task]]</f>
        <v/>
      </c>
    </row>
    <row r="71" spans="1:5" x14ac:dyDescent="0.2">
      <c r="A71" s="107" t="s">
        <v>69</v>
      </c>
      <c r="B71" s="39">
        <v>1</v>
      </c>
      <c r="C71" s="44">
        <f>Inputs!G72</f>
        <v>0</v>
      </c>
      <c r="D71" s="39" t="str">
        <f>IF($C71&lt;&gt;"x","",IFERROR(_xlfn.XLOOKUP($A71,'Staffing sheet 1ST Shift'!$A:$A,'Staffing sheet 1ST Shift'!$I:$I,""),""))</f>
        <v/>
      </c>
      <c r="E71" s="39" t="str">
        <f>Table200[[#This Row],[Recommended Task]]</f>
        <v/>
      </c>
    </row>
    <row r="72" spans="1:5" x14ac:dyDescent="0.2">
      <c r="A72" s="107" t="s">
        <v>70</v>
      </c>
      <c r="B72" s="39">
        <v>1</v>
      </c>
      <c r="C72" s="44">
        <f>Inputs!G73</f>
        <v>0</v>
      </c>
      <c r="D72" s="39" t="str">
        <f>IF($C72&lt;&gt;"x","",IFERROR(_xlfn.XLOOKUP($A72,'Staffing sheet 1ST Shift'!$A:$A,'Staffing sheet 1ST Shift'!$I:$I,""),""))</f>
        <v/>
      </c>
      <c r="E72" s="39" t="str">
        <f>Table200[[#This Row],[Recommended Task]]</f>
        <v/>
      </c>
    </row>
    <row r="73" spans="1:5" x14ac:dyDescent="0.2">
      <c r="A73" s="107" t="s">
        <v>71</v>
      </c>
      <c r="B73" s="39">
        <v>1</v>
      </c>
      <c r="C73" s="44">
        <f>Inputs!G74</f>
        <v>0</v>
      </c>
      <c r="D73" s="39" t="str">
        <f>IF($C73&lt;&gt;"x","",IFERROR(_xlfn.XLOOKUP($A73,'Staffing sheet 1ST Shift'!$A:$A,'Staffing sheet 1ST Shift'!$I:$I,""),""))</f>
        <v/>
      </c>
      <c r="E73" s="39" t="str">
        <f>Table200[[#This Row],[Recommended Task]]</f>
        <v/>
      </c>
    </row>
    <row r="74" spans="1:5" x14ac:dyDescent="0.2">
      <c r="A74" s="107" t="s">
        <v>72</v>
      </c>
      <c r="B74" s="39">
        <v>1</v>
      </c>
      <c r="C74" s="44">
        <f>Inputs!G75</f>
        <v>0</v>
      </c>
      <c r="D74" s="39" t="str">
        <f>IF($C74&lt;&gt;"x","",IFERROR(_xlfn.XLOOKUP($A74,'Staffing sheet 1ST Shift'!$A:$A,'Staffing sheet 1ST Shift'!$I:$I,""),""))</f>
        <v/>
      </c>
      <c r="E74" s="39" t="str">
        <f>Table200[[#This Row],[Recommended Task]]</f>
        <v/>
      </c>
    </row>
    <row r="75" spans="1:5" x14ac:dyDescent="0.2">
      <c r="A75" s="107" t="s">
        <v>219</v>
      </c>
      <c r="B75" s="39">
        <v>1</v>
      </c>
      <c r="C75" s="44">
        <f>Inputs!G76</f>
        <v>0</v>
      </c>
      <c r="D75" s="39" t="str">
        <f>IF($C75&lt;&gt;"x","",IFERROR(_xlfn.XLOOKUP($A75,'Staffing sheet 1ST Shift'!$A:$A,'Staffing sheet 1ST Shift'!$I:$I,""),""))</f>
        <v/>
      </c>
      <c r="E75" s="39" t="str">
        <f>Table200[[#This Row],[Recommended Task]]</f>
        <v/>
      </c>
    </row>
    <row r="76" spans="1:5" x14ac:dyDescent="0.2">
      <c r="A76" s="107" t="s">
        <v>143</v>
      </c>
      <c r="B76" s="39">
        <v>1</v>
      </c>
      <c r="C76" s="44">
        <f>Inputs!G77</f>
        <v>0</v>
      </c>
      <c r="D76" s="39" t="str">
        <f>IF($C76&lt;&gt;"x","",IFERROR(_xlfn.XLOOKUP($A76,'Staffing sheet 1ST Shift'!$A:$A,'Staffing sheet 1ST Shift'!$I:$I,""),""))</f>
        <v/>
      </c>
      <c r="E76" s="39" t="str">
        <f>Table200[[#This Row],[Recommended Task]]</f>
        <v/>
      </c>
    </row>
    <row r="77" spans="1:5" x14ac:dyDescent="0.25">
      <c r="A77" s="112" t="s">
        <v>258</v>
      </c>
      <c r="B77" s="39">
        <v>2</v>
      </c>
      <c r="C77" s="44">
        <f>Inputs!G78</f>
        <v>0</v>
      </c>
      <c r="D77" s="39" t="str">
        <f>IF($C77&lt;&gt;"x","",IFERROR(_xlfn.XLOOKUP($A77,'Staffing Sheet 2nd Shift'!$A:$A,'Staffing Sheet 2nd Shift'!$I:$I,""),""))</f>
        <v/>
      </c>
      <c r="E77" s="39" t="str">
        <f>Table200[[#This Row],[Recommended Task]]</f>
        <v/>
      </c>
    </row>
    <row r="78" spans="1:5" ht="15.75" customHeight="1" x14ac:dyDescent="0.2">
      <c r="A78" s="107" t="s">
        <v>142</v>
      </c>
      <c r="B78" s="39">
        <v>1</v>
      </c>
      <c r="C78" s="44">
        <f>Inputs!G79</f>
        <v>0</v>
      </c>
      <c r="D78" s="39" t="str">
        <f>IF($C78&lt;&gt;"x","",IFERROR(_xlfn.XLOOKUP($A78,'Staffing sheet 1ST Shift'!$A:$A,'Staffing sheet 1ST Shift'!$I:$I,""),""))</f>
        <v/>
      </c>
      <c r="E78" s="39" t="str">
        <f>Table200[[#This Row],[Recommended Task]]</f>
        <v/>
      </c>
    </row>
    <row r="79" spans="1:5" ht="15.75" customHeight="1" x14ac:dyDescent="0.25">
      <c r="A79" s="112" t="s">
        <v>259</v>
      </c>
      <c r="B79" s="39">
        <v>2</v>
      </c>
      <c r="C79" s="44">
        <f>Inputs!G80</f>
        <v>0</v>
      </c>
      <c r="D79" s="39" t="str">
        <f>IF($C79&lt;&gt;"x","",IFERROR(_xlfn.XLOOKUP($A79,'Staffing Sheet 2nd Shift'!$A:$A,'Staffing Sheet 2nd Shift'!$I:$I,""),""))</f>
        <v/>
      </c>
      <c r="E79" s="39" t="str">
        <f>Table200[[#This Row],[Recommended Task]]</f>
        <v/>
      </c>
    </row>
    <row r="80" spans="1:5" x14ac:dyDescent="0.2">
      <c r="A80" s="111" t="s">
        <v>260</v>
      </c>
      <c r="B80" s="39">
        <v>2</v>
      </c>
      <c r="C80" s="44">
        <f>Inputs!G81</f>
        <v>0</v>
      </c>
      <c r="D80" s="39" t="str">
        <f>IF($C80&lt;&gt;"x","",IFERROR(_xlfn.XLOOKUP($A80,'Staffing Sheet 2nd Shift'!$A:$A,'Staffing Sheet 2nd Shift'!$I:$I,""),""))</f>
        <v/>
      </c>
      <c r="E80" s="39" t="str">
        <f>Table200[[#This Row],[Recommended Task]]</f>
        <v/>
      </c>
    </row>
    <row r="81" spans="1:5" x14ac:dyDescent="0.2">
      <c r="A81" s="107" t="s">
        <v>176</v>
      </c>
      <c r="B81" s="39">
        <v>1</v>
      </c>
      <c r="C81" s="44">
        <f>Inputs!G82</f>
        <v>0</v>
      </c>
      <c r="D81" s="39" t="str">
        <f>IF($C81&lt;&gt;"x","",IFERROR(_xlfn.XLOOKUP($A81,'Staffing sheet 1ST Shift'!$A:$A,'Staffing sheet 1ST Shift'!$I:$I,""),""))</f>
        <v/>
      </c>
      <c r="E81" s="39" t="str">
        <f>Table200[[#This Row],[Recommended Task]]</f>
        <v/>
      </c>
    </row>
    <row r="82" spans="1:5" x14ac:dyDescent="0.2">
      <c r="A82" s="107" t="s">
        <v>177</v>
      </c>
      <c r="B82" s="39">
        <v>1</v>
      </c>
      <c r="C82" s="44">
        <f>Inputs!G83</f>
        <v>0</v>
      </c>
      <c r="D82" s="39" t="str">
        <f>IF($C82&lt;&gt;"x","",IFERROR(_xlfn.XLOOKUP($A82,'Staffing sheet 1ST Shift'!$A:$A,'Staffing sheet 1ST Shift'!$I:$I,""),""))</f>
        <v/>
      </c>
      <c r="E82" s="39" t="str">
        <f>Table200[[#This Row],[Recommended Task]]</f>
        <v/>
      </c>
    </row>
    <row r="83" spans="1:5" x14ac:dyDescent="0.2">
      <c r="A83" s="107" t="s">
        <v>73</v>
      </c>
      <c r="B83" s="39">
        <v>1</v>
      </c>
      <c r="C83" s="44">
        <f>Inputs!G84</f>
        <v>0</v>
      </c>
      <c r="D83" s="39" t="str">
        <f>IF($C83&lt;&gt;"x","",IFERROR(_xlfn.XLOOKUP($A83,'Staffing sheet 1ST Shift'!$A:$A,'Staffing sheet 1ST Shift'!$I:$I,""),""))</f>
        <v/>
      </c>
      <c r="E83" s="39" t="str">
        <f>Table200[[#This Row],[Recommended Task]]</f>
        <v/>
      </c>
    </row>
    <row r="84" spans="1:5" ht="15.75" customHeight="1" x14ac:dyDescent="0.25">
      <c r="A84" s="109" t="s">
        <v>261</v>
      </c>
      <c r="B84" s="39">
        <v>2</v>
      </c>
      <c r="C84" s="44">
        <f>Inputs!G85</f>
        <v>0</v>
      </c>
      <c r="D84" s="39" t="str">
        <f>IF($C84&lt;&gt;"x","",IFERROR(_xlfn.XLOOKUP($A84,'Staffing Sheet 2nd Shift'!$A:$A,'Staffing Sheet 2nd Shift'!$I:$I,""),""))</f>
        <v/>
      </c>
      <c r="E84" s="39" t="str">
        <f>Table200[[#This Row],[Recommended Task]]</f>
        <v/>
      </c>
    </row>
    <row r="85" spans="1:5" x14ac:dyDescent="0.2">
      <c r="A85" s="107" t="s">
        <v>178</v>
      </c>
      <c r="B85" s="39">
        <v>1</v>
      </c>
      <c r="C85" s="44">
        <f>Inputs!G86</f>
        <v>0</v>
      </c>
      <c r="D85" s="39" t="str">
        <f>IF($C85&lt;&gt;"x","",IFERROR(_xlfn.XLOOKUP($A85,'Staffing sheet 1ST Shift'!$A:$A,'Staffing sheet 1ST Shift'!$I:$I,""),""))</f>
        <v/>
      </c>
      <c r="E85" s="39" t="str">
        <f>Table200[[#This Row],[Recommended Task]]</f>
        <v/>
      </c>
    </row>
    <row r="86" spans="1:5" x14ac:dyDescent="0.25">
      <c r="A86" s="109" t="s">
        <v>262</v>
      </c>
      <c r="B86" s="39">
        <v>2</v>
      </c>
      <c r="C86" s="44">
        <f>Inputs!G87</f>
        <v>0</v>
      </c>
      <c r="D86" s="39" t="str">
        <f>IF($C86&lt;&gt;"x","",IFERROR(_xlfn.XLOOKUP($A86,'Staffing Sheet 2nd Shift'!$A:$A,'Staffing Sheet 2nd Shift'!$I:$I,""),""))</f>
        <v/>
      </c>
      <c r="E86" s="39" t="str">
        <f>Table200[[#This Row],[Recommended Task]]</f>
        <v/>
      </c>
    </row>
    <row r="87" spans="1:5" x14ac:dyDescent="0.25">
      <c r="A87" s="112" t="s">
        <v>263</v>
      </c>
      <c r="B87" s="39">
        <v>2</v>
      </c>
      <c r="C87" s="44">
        <f>Inputs!G88</f>
        <v>0</v>
      </c>
      <c r="D87" s="39" t="str">
        <f>IF($C87&lt;&gt;"x","",IFERROR(_xlfn.XLOOKUP($A87,'Staffing Sheet 2nd Shift'!$A:$A,'Staffing Sheet 2nd Shift'!$I:$I,""),""))</f>
        <v/>
      </c>
      <c r="E87" s="39" t="str">
        <f>Table200[[#This Row],[Recommended Task]]</f>
        <v/>
      </c>
    </row>
    <row r="88" spans="1:5" ht="15.75" customHeight="1" x14ac:dyDescent="0.25">
      <c r="A88" s="109" t="s">
        <v>264</v>
      </c>
      <c r="B88" s="39">
        <v>2</v>
      </c>
      <c r="C88" s="44">
        <f>Inputs!G89</f>
        <v>0</v>
      </c>
      <c r="D88" s="39" t="str">
        <f>IF($C88&lt;&gt;"x","",IFERROR(_xlfn.XLOOKUP($A88,'Staffing Sheet 2nd Shift'!$A:$A,'Staffing Sheet 2nd Shift'!$I:$I,""),""))</f>
        <v/>
      </c>
      <c r="E88" s="39" t="str">
        <f>Table200[[#This Row],[Recommended Task]]</f>
        <v/>
      </c>
    </row>
    <row r="89" spans="1:5" x14ac:dyDescent="0.25">
      <c r="A89" s="112" t="s">
        <v>265</v>
      </c>
      <c r="B89" s="39">
        <v>2</v>
      </c>
      <c r="C89" s="44">
        <f>Inputs!G90</f>
        <v>0</v>
      </c>
      <c r="D89" s="39" t="str">
        <f>IF($C89&lt;&gt;"x","",IFERROR(_xlfn.XLOOKUP($A89,'Staffing Sheet 2nd Shift'!$A:$A,'Staffing Sheet 2nd Shift'!$I:$I,""),""))</f>
        <v/>
      </c>
      <c r="E89" s="39" t="str">
        <f>Table200[[#This Row],[Recommended Task]]</f>
        <v/>
      </c>
    </row>
    <row r="90" spans="1:5" x14ac:dyDescent="0.25">
      <c r="A90" s="112" t="s">
        <v>266</v>
      </c>
      <c r="B90" s="39">
        <v>2</v>
      </c>
      <c r="C90" s="44">
        <f>Inputs!G91</f>
        <v>0</v>
      </c>
      <c r="D90" s="39" t="str">
        <f>IF($C90&lt;&gt;"x","",IFERROR(_xlfn.XLOOKUP($A90,'Staffing Sheet 2nd Shift'!$A:$A,'Staffing Sheet 2nd Shift'!$I:$I,""),""))</f>
        <v/>
      </c>
      <c r="E90" s="39" t="str">
        <f>Table200[[#This Row],[Recommended Task]]</f>
        <v/>
      </c>
    </row>
    <row r="91" spans="1:5" x14ac:dyDescent="0.25">
      <c r="A91" s="112" t="s">
        <v>267</v>
      </c>
      <c r="B91" s="39">
        <v>2</v>
      </c>
      <c r="C91" s="44">
        <f>Inputs!G92</f>
        <v>0</v>
      </c>
      <c r="D91" s="39" t="str">
        <f>IF($C91&lt;&gt;"x","",IFERROR(_xlfn.XLOOKUP($A91,'Staffing Sheet 2nd Shift'!$A:$A,'Staffing Sheet 2nd Shift'!$I:$I,""),""))</f>
        <v/>
      </c>
      <c r="E91" s="39" t="str">
        <f>Table200[[#This Row],[Recommended Task]]</f>
        <v/>
      </c>
    </row>
    <row r="92" spans="1:5" ht="15.75" customHeight="1" x14ac:dyDescent="0.2">
      <c r="A92" s="107" t="s">
        <v>74</v>
      </c>
      <c r="B92" s="39">
        <v>1</v>
      </c>
      <c r="C92" s="44">
        <f>Inputs!G93</f>
        <v>0</v>
      </c>
      <c r="D92" s="39" t="str">
        <f>IF($C92&lt;&gt;"x","",IFERROR(_xlfn.XLOOKUP($A92,'Staffing sheet 1ST Shift'!$A:$A,'Staffing sheet 1ST Shift'!$I:$I,""),""))</f>
        <v/>
      </c>
      <c r="E92" s="39" t="str">
        <f>Table200[[#This Row],[Recommended Task]]</f>
        <v/>
      </c>
    </row>
    <row r="93" spans="1:5" x14ac:dyDescent="0.25">
      <c r="A93" s="113" t="s">
        <v>268</v>
      </c>
      <c r="B93" s="39">
        <v>2</v>
      </c>
      <c r="C93" s="44">
        <f>Inputs!G94</f>
        <v>0</v>
      </c>
      <c r="D93" s="39" t="str">
        <f>IF($C93&lt;&gt;"x","",IFERROR(_xlfn.XLOOKUP($A93,'Staffing Sheet 2nd Shift'!$A:$A,'Staffing Sheet 2nd Shift'!$I:$I,""),""))</f>
        <v/>
      </c>
      <c r="E93" s="39" t="str">
        <f>Table200[[#This Row],[Recommended Task]]</f>
        <v/>
      </c>
    </row>
    <row r="94" spans="1:5" x14ac:dyDescent="0.25">
      <c r="A94" s="112" t="s">
        <v>269</v>
      </c>
      <c r="B94" s="39">
        <v>2</v>
      </c>
      <c r="C94" s="44">
        <f>Inputs!G95</f>
        <v>0</v>
      </c>
      <c r="D94" s="39" t="str">
        <f>IF($C94&lt;&gt;"x","",IFERROR(_xlfn.XLOOKUP($A94,'Staffing Sheet 2nd Shift'!$A:$A,'Staffing Sheet 2nd Shift'!$I:$I,""),""))</f>
        <v/>
      </c>
      <c r="E94" s="39" t="str">
        <f>Table200[[#This Row],[Recommended Task]]</f>
        <v/>
      </c>
    </row>
    <row r="95" spans="1:5" ht="15.75" customHeight="1" x14ac:dyDescent="0.2">
      <c r="A95" s="107" t="s">
        <v>179</v>
      </c>
      <c r="B95" s="39">
        <v>1</v>
      </c>
      <c r="C95" s="44">
        <f>Inputs!G96</f>
        <v>0</v>
      </c>
      <c r="D95" s="39" t="str">
        <f>IF($C95&lt;&gt;"x","",IFERROR(_xlfn.XLOOKUP($A95,'Staffing sheet 1ST Shift'!$A:$A,'Staffing sheet 1ST Shift'!$I:$I,""),""))</f>
        <v/>
      </c>
      <c r="E95" s="39" t="str">
        <f>Table200[[#This Row],[Recommended Task]]</f>
        <v/>
      </c>
    </row>
    <row r="96" spans="1:5" ht="15.75" customHeight="1" x14ac:dyDescent="0.2">
      <c r="A96" s="107" t="s">
        <v>220</v>
      </c>
      <c r="B96" s="39">
        <v>1</v>
      </c>
      <c r="C96" s="44">
        <f>Inputs!G97</f>
        <v>0</v>
      </c>
      <c r="D96" s="39" t="str">
        <f>IF($C96&lt;&gt;"x","",IFERROR(_xlfn.XLOOKUP($A96,'Staffing sheet 1ST Shift'!$A:$A,'Staffing sheet 1ST Shift'!$I:$I,""),""))</f>
        <v/>
      </c>
      <c r="E96" s="39" t="str">
        <f>Table200[[#This Row],[Recommended Task]]</f>
        <v/>
      </c>
    </row>
    <row r="97" spans="1:5" ht="15.75" customHeight="1" x14ac:dyDescent="0.2">
      <c r="A97" s="107" t="s">
        <v>205</v>
      </c>
      <c r="B97" s="39">
        <v>1</v>
      </c>
      <c r="C97" s="44">
        <f>Inputs!G98</f>
        <v>0</v>
      </c>
      <c r="D97" s="39" t="str">
        <f>IF($C97&lt;&gt;"x","",IFERROR(_xlfn.XLOOKUP($A97,'Staffing sheet 1ST Shift'!$A:$A,'Staffing sheet 1ST Shift'!$I:$I,""),""))</f>
        <v/>
      </c>
      <c r="E97" s="39" t="str">
        <f>Table200[[#This Row],[Recommended Task]]</f>
        <v/>
      </c>
    </row>
    <row r="98" spans="1:5" x14ac:dyDescent="0.25">
      <c r="A98" s="73"/>
      <c r="B98" s="73"/>
      <c r="C98" s="75" cm="1">
        <f t="array" ref="C98">COUNTIF(G2:G97,x)</f>
        <v>0</v>
      </c>
      <c r="D98" s="74"/>
      <c r="E98" s="11"/>
    </row>
    <row r="148" spans="3:3" x14ac:dyDescent="0.2">
      <c r="C148" s="37">
        <f>COUNTIF(C2:C48,"X")</f>
        <v>0</v>
      </c>
    </row>
  </sheetData>
  <conditionalFormatting sqref="E2:E97">
    <cfRule type="cellIs" dxfId="8" priority="1" operator="equal">
      <formula>"Tasking"</formula>
    </cfRule>
  </conditionalFormatting>
  <conditionalFormatting sqref="K17">
    <cfRule type="containsText" dxfId="7" priority="2" operator="containsText" text="Overstaffed">
      <formula>NOT(ISERROR(SEARCH("Overstaffed",K17)))</formula>
    </cfRule>
    <cfRule type="containsText" dxfId="6" priority="3" operator="containsText" text="Good">
      <formula>NOT(ISERROR(SEARCH("Good",K17)))</formula>
    </cfRule>
    <cfRule type="containsText" dxfId="5" priority="4" operator="containsText" text="Understaffed">
      <formula>NOT(ISERROR(SEARCH("Understaffed",K17)))</formula>
    </cfRule>
  </conditionalFormatting>
  <dataValidations count="4">
    <dataValidation type="list" allowBlank="1" showInputMessage="1" showErrorMessage="1" sqref="WVO983063:WVO983090 JC65559:JC65586 SY65559:SY65586 ACU65559:ACU65586 AMQ65559:AMQ65586 AWM65559:AWM65586 BGI65559:BGI65586 BQE65559:BQE65586 CAA65559:CAA65586 CJW65559:CJW65586 CTS65559:CTS65586 DDO65559:DDO65586 DNK65559:DNK65586 DXG65559:DXG65586 EHC65559:EHC65586 EQY65559:EQY65586 FAU65559:FAU65586 FKQ65559:FKQ65586 FUM65559:FUM65586 GEI65559:GEI65586 GOE65559:GOE65586 GYA65559:GYA65586 HHW65559:HHW65586 HRS65559:HRS65586 IBO65559:IBO65586 ILK65559:ILK65586 IVG65559:IVG65586 JFC65559:JFC65586 JOY65559:JOY65586 JYU65559:JYU65586 KIQ65559:KIQ65586 KSM65559:KSM65586 LCI65559:LCI65586 LME65559:LME65586 LWA65559:LWA65586 MFW65559:MFW65586 MPS65559:MPS65586 MZO65559:MZO65586 NJK65559:NJK65586 NTG65559:NTG65586 ODC65559:ODC65586 OMY65559:OMY65586 OWU65559:OWU65586 PGQ65559:PGQ65586 PQM65559:PQM65586 QAI65559:QAI65586 QKE65559:QKE65586 QUA65559:QUA65586 RDW65559:RDW65586 RNS65559:RNS65586 RXO65559:RXO65586 SHK65559:SHK65586 SRG65559:SRG65586 TBC65559:TBC65586 TKY65559:TKY65586 TUU65559:TUU65586 UEQ65559:UEQ65586 UOM65559:UOM65586 UYI65559:UYI65586 VIE65559:VIE65586 VSA65559:VSA65586 WBW65559:WBW65586 WLS65559:WLS65586 WVO65559:WVO65586 JC131095:JC131122 SY131095:SY131122 ACU131095:ACU131122 AMQ131095:AMQ131122 AWM131095:AWM131122 BGI131095:BGI131122 BQE131095:BQE131122 CAA131095:CAA131122 CJW131095:CJW131122 CTS131095:CTS131122 DDO131095:DDO131122 DNK131095:DNK131122 DXG131095:DXG131122 EHC131095:EHC131122 EQY131095:EQY131122 FAU131095:FAU131122 FKQ131095:FKQ131122 FUM131095:FUM131122 GEI131095:GEI131122 GOE131095:GOE131122 GYA131095:GYA131122 HHW131095:HHW131122 HRS131095:HRS131122 IBO131095:IBO131122 ILK131095:ILK131122 IVG131095:IVG131122 JFC131095:JFC131122 JOY131095:JOY131122 JYU131095:JYU131122 KIQ131095:KIQ131122 KSM131095:KSM131122 LCI131095:LCI131122 LME131095:LME131122 LWA131095:LWA131122 MFW131095:MFW131122 MPS131095:MPS131122 MZO131095:MZO131122 NJK131095:NJK131122 NTG131095:NTG131122 ODC131095:ODC131122 OMY131095:OMY131122 OWU131095:OWU131122 PGQ131095:PGQ131122 PQM131095:PQM131122 QAI131095:QAI131122 QKE131095:QKE131122 QUA131095:QUA131122 RDW131095:RDW131122 RNS131095:RNS131122 RXO131095:RXO131122 SHK131095:SHK131122 SRG131095:SRG131122 TBC131095:TBC131122 TKY131095:TKY131122 TUU131095:TUU131122 UEQ131095:UEQ131122 UOM131095:UOM131122 UYI131095:UYI131122 VIE131095:VIE131122 VSA131095:VSA131122 WBW131095:WBW131122 WLS131095:WLS131122 WVO131095:WVO131122 JC196631:JC196658 SY196631:SY196658 ACU196631:ACU196658 AMQ196631:AMQ196658 AWM196631:AWM196658 BGI196631:BGI196658 BQE196631:BQE196658 CAA196631:CAA196658 CJW196631:CJW196658 CTS196631:CTS196658 DDO196631:DDO196658 DNK196631:DNK196658 DXG196631:DXG196658 EHC196631:EHC196658 EQY196631:EQY196658 FAU196631:FAU196658 FKQ196631:FKQ196658 FUM196631:FUM196658 GEI196631:GEI196658 GOE196631:GOE196658 GYA196631:GYA196658 HHW196631:HHW196658 HRS196631:HRS196658 IBO196631:IBO196658 ILK196631:ILK196658 IVG196631:IVG196658 JFC196631:JFC196658 JOY196631:JOY196658 JYU196631:JYU196658 KIQ196631:KIQ196658 KSM196631:KSM196658 LCI196631:LCI196658 LME196631:LME196658 LWA196631:LWA196658 MFW196631:MFW196658 MPS196631:MPS196658 MZO196631:MZO196658 NJK196631:NJK196658 NTG196631:NTG196658 ODC196631:ODC196658 OMY196631:OMY196658 OWU196631:OWU196658 PGQ196631:PGQ196658 PQM196631:PQM196658 QAI196631:QAI196658 QKE196631:QKE196658 QUA196631:QUA196658 RDW196631:RDW196658 RNS196631:RNS196658 RXO196631:RXO196658 SHK196631:SHK196658 SRG196631:SRG196658 TBC196631:TBC196658 TKY196631:TKY196658 TUU196631:TUU196658 UEQ196631:UEQ196658 UOM196631:UOM196658 UYI196631:UYI196658 VIE196631:VIE196658 VSA196631:VSA196658 WBW196631:WBW196658 WLS196631:WLS196658 WVO196631:WVO196658 JC262167:JC262194 SY262167:SY262194 ACU262167:ACU262194 AMQ262167:AMQ262194 AWM262167:AWM262194 BGI262167:BGI262194 BQE262167:BQE262194 CAA262167:CAA262194 CJW262167:CJW262194 CTS262167:CTS262194 DDO262167:DDO262194 DNK262167:DNK262194 DXG262167:DXG262194 EHC262167:EHC262194 EQY262167:EQY262194 FAU262167:FAU262194 FKQ262167:FKQ262194 FUM262167:FUM262194 GEI262167:GEI262194 GOE262167:GOE262194 GYA262167:GYA262194 HHW262167:HHW262194 HRS262167:HRS262194 IBO262167:IBO262194 ILK262167:ILK262194 IVG262167:IVG262194 JFC262167:JFC262194 JOY262167:JOY262194 JYU262167:JYU262194 KIQ262167:KIQ262194 KSM262167:KSM262194 LCI262167:LCI262194 LME262167:LME262194 LWA262167:LWA262194 MFW262167:MFW262194 MPS262167:MPS262194 MZO262167:MZO262194 NJK262167:NJK262194 NTG262167:NTG262194 ODC262167:ODC262194 OMY262167:OMY262194 OWU262167:OWU262194 PGQ262167:PGQ262194 PQM262167:PQM262194 QAI262167:QAI262194 QKE262167:QKE262194 QUA262167:QUA262194 RDW262167:RDW262194 RNS262167:RNS262194 RXO262167:RXO262194 SHK262167:SHK262194 SRG262167:SRG262194 TBC262167:TBC262194 TKY262167:TKY262194 TUU262167:TUU262194 UEQ262167:UEQ262194 UOM262167:UOM262194 UYI262167:UYI262194 VIE262167:VIE262194 VSA262167:VSA262194 WBW262167:WBW262194 WLS262167:WLS262194 WVO262167:WVO262194 JC327703:JC327730 SY327703:SY327730 ACU327703:ACU327730 AMQ327703:AMQ327730 AWM327703:AWM327730 BGI327703:BGI327730 BQE327703:BQE327730 CAA327703:CAA327730 CJW327703:CJW327730 CTS327703:CTS327730 DDO327703:DDO327730 DNK327703:DNK327730 DXG327703:DXG327730 EHC327703:EHC327730 EQY327703:EQY327730 FAU327703:FAU327730 FKQ327703:FKQ327730 FUM327703:FUM327730 GEI327703:GEI327730 GOE327703:GOE327730 GYA327703:GYA327730 HHW327703:HHW327730 HRS327703:HRS327730 IBO327703:IBO327730 ILK327703:ILK327730 IVG327703:IVG327730 JFC327703:JFC327730 JOY327703:JOY327730 JYU327703:JYU327730 KIQ327703:KIQ327730 KSM327703:KSM327730 LCI327703:LCI327730 LME327703:LME327730 LWA327703:LWA327730 MFW327703:MFW327730 MPS327703:MPS327730 MZO327703:MZO327730 NJK327703:NJK327730 NTG327703:NTG327730 ODC327703:ODC327730 OMY327703:OMY327730 OWU327703:OWU327730 PGQ327703:PGQ327730 PQM327703:PQM327730 QAI327703:QAI327730 QKE327703:QKE327730 QUA327703:QUA327730 RDW327703:RDW327730 RNS327703:RNS327730 RXO327703:RXO327730 SHK327703:SHK327730 SRG327703:SRG327730 TBC327703:TBC327730 TKY327703:TKY327730 TUU327703:TUU327730 UEQ327703:UEQ327730 UOM327703:UOM327730 UYI327703:UYI327730 VIE327703:VIE327730 VSA327703:VSA327730 WBW327703:WBW327730 WLS327703:WLS327730 WVO327703:WVO327730 JC393239:JC393266 SY393239:SY393266 ACU393239:ACU393266 AMQ393239:AMQ393266 AWM393239:AWM393266 BGI393239:BGI393266 BQE393239:BQE393266 CAA393239:CAA393266 CJW393239:CJW393266 CTS393239:CTS393266 DDO393239:DDO393266 DNK393239:DNK393266 DXG393239:DXG393266 EHC393239:EHC393266 EQY393239:EQY393266 FAU393239:FAU393266 FKQ393239:FKQ393266 FUM393239:FUM393266 GEI393239:GEI393266 GOE393239:GOE393266 GYA393239:GYA393266 HHW393239:HHW393266 HRS393239:HRS393266 IBO393239:IBO393266 ILK393239:ILK393266 IVG393239:IVG393266 JFC393239:JFC393266 JOY393239:JOY393266 JYU393239:JYU393266 KIQ393239:KIQ393266 KSM393239:KSM393266 LCI393239:LCI393266 LME393239:LME393266 LWA393239:LWA393266 MFW393239:MFW393266 MPS393239:MPS393266 MZO393239:MZO393266 NJK393239:NJK393266 NTG393239:NTG393266 ODC393239:ODC393266 OMY393239:OMY393266 OWU393239:OWU393266 PGQ393239:PGQ393266 PQM393239:PQM393266 QAI393239:QAI393266 QKE393239:QKE393266 QUA393239:QUA393266 RDW393239:RDW393266 RNS393239:RNS393266 RXO393239:RXO393266 SHK393239:SHK393266 SRG393239:SRG393266 TBC393239:TBC393266 TKY393239:TKY393266 TUU393239:TUU393266 UEQ393239:UEQ393266 UOM393239:UOM393266 UYI393239:UYI393266 VIE393239:VIE393266 VSA393239:VSA393266 WBW393239:WBW393266 WLS393239:WLS393266 WVO393239:WVO393266 JC458775:JC458802 SY458775:SY458802 ACU458775:ACU458802 AMQ458775:AMQ458802 AWM458775:AWM458802 BGI458775:BGI458802 BQE458775:BQE458802 CAA458775:CAA458802 CJW458775:CJW458802 CTS458775:CTS458802 DDO458775:DDO458802 DNK458775:DNK458802 DXG458775:DXG458802 EHC458775:EHC458802 EQY458775:EQY458802 FAU458775:FAU458802 FKQ458775:FKQ458802 FUM458775:FUM458802 GEI458775:GEI458802 GOE458775:GOE458802 GYA458775:GYA458802 HHW458775:HHW458802 HRS458775:HRS458802 IBO458775:IBO458802 ILK458775:ILK458802 IVG458775:IVG458802 JFC458775:JFC458802 JOY458775:JOY458802 JYU458775:JYU458802 KIQ458775:KIQ458802 KSM458775:KSM458802 LCI458775:LCI458802 LME458775:LME458802 LWA458775:LWA458802 MFW458775:MFW458802 MPS458775:MPS458802 MZO458775:MZO458802 NJK458775:NJK458802 NTG458775:NTG458802 ODC458775:ODC458802 OMY458775:OMY458802 OWU458775:OWU458802 PGQ458775:PGQ458802 PQM458775:PQM458802 QAI458775:QAI458802 QKE458775:QKE458802 QUA458775:QUA458802 RDW458775:RDW458802 RNS458775:RNS458802 RXO458775:RXO458802 SHK458775:SHK458802 SRG458775:SRG458802 TBC458775:TBC458802 TKY458775:TKY458802 TUU458775:TUU458802 UEQ458775:UEQ458802 UOM458775:UOM458802 UYI458775:UYI458802 VIE458775:VIE458802 VSA458775:VSA458802 WBW458775:WBW458802 WLS458775:WLS458802 WVO458775:WVO458802 JC524311:JC524338 SY524311:SY524338 ACU524311:ACU524338 AMQ524311:AMQ524338 AWM524311:AWM524338 BGI524311:BGI524338 BQE524311:BQE524338 CAA524311:CAA524338 CJW524311:CJW524338 CTS524311:CTS524338 DDO524311:DDO524338 DNK524311:DNK524338 DXG524311:DXG524338 EHC524311:EHC524338 EQY524311:EQY524338 FAU524311:FAU524338 FKQ524311:FKQ524338 FUM524311:FUM524338 GEI524311:GEI524338 GOE524311:GOE524338 GYA524311:GYA524338 HHW524311:HHW524338 HRS524311:HRS524338 IBO524311:IBO524338 ILK524311:ILK524338 IVG524311:IVG524338 JFC524311:JFC524338 JOY524311:JOY524338 JYU524311:JYU524338 KIQ524311:KIQ524338 KSM524311:KSM524338 LCI524311:LCI524338 LME524311:LME524338 LWA524311:LWA524338 MFW524311:MFW524338 MPS524311:MPS524338 MZO524311:MZO524338 NJK524311:NJK524338 NTG524311:NTG524338 ODC524311:ODC524338 OMY524311:OMY524338 OWU524311:OWU524338 PGQ524311:PGQ524338 PQM524311:PQM524338 QAI524311:QAI524338 QKE524311:QKE524338 QUA524311:QUA524338 RDW524311:RDW524338 RNS524311:RNS524338 RXO524311:RXO524338 SHK524311:SHK524338 SRG524311:SRG524338 TBC524311:TBC524338 TKY524311:TKY524338 TUU524311:TUU524338 UEQ524311:UEQ524338 UOM524311:UOM524338 UYI524311:UYI524338 VIE524311:VIE524338 VSA524311:VSA524338 WBW524311:WBW524338 WLS524311:WLS524338 WVO524311:WVO524338 JC589847:JC589874 SY589847:SY589874 ACU589847:ACU589874 AMQ589847:AMQ589874 AWM589847:AWM589874 BGI589847:BGI589874 BQE589847:BQE589874 CAA589847:CAA589874 CJW589847:CJW589874 CTS589847:CTS589874 DDO589847:DDO589874 DNK589847:DNK589874 DXG589847:DXG589874 EHC589847:EHC589874 EQY589847:EQY589874 FAU589847:FAU589874 FKQ589847:FKQ589874 FUM589847:FUM589874 GEI589847:GEI589874 GOE589847:GOE589874 GYA589847:GYA589874 HHW589847:HHW589874 HRS589847:HRS589874 IBO589847:IBO589874 ILK589847:ILK589874 IVG589847:IVG589874 JFC589847:JFC589874 JOY589847:JOY589874 JYU589847:JYU589874 KIQ589847:KIQ589874 KSM589847:KSM589874 LCI589847:LCI589874 LME589847:LME589874 LWA589847:LWA589874 MFW589847:MFW589874 MPS589847:MPS589874 MZO589847:MZO589874 NJK589847:NJK589874 NTG589847:NTG589874 ODC589847:ODC589874 OMY589847:OMY589874 OWU589847:OWU589874 PGQ589847:PGQ589874 PQM589847:PQM589874 QAI589847:QAI589874 QKE589847:QKE589874 QUA589847:QUA589874 RDW589847:RDW589874 RNS589847:RNS589874 RXO589847:RXO589874 SHK589847:SHK589874 SRG589847:SRG589874 TBC589847:TBC589874 TKY589847:TKY589874 TUU589847:TUU589874 UEQ589847:UEQ589874 UOM589847:UOM589874 UYI589847:UYI589874 VIE589847:VIE589874 VSA589847:VSA589874 WBW589847:WBW589874 WLS589847:WLS589874 WVO589847:WVO589874 JC655383:JC655410 SY655383:SY655410 ACU655383:ACU655410 AMQ655383:AMQ655410 AWM655383:AWM655410 BGI655383:BGI655410 BQE655383:BQE655410 CAA655383:CAA655410 CJW655383:CJW655410 CTS655383:CTS655410 DDO655383:DDO655410 DNK655383:DNK655410 DXG655383:DXG655410 EHC655383:EHC655410 EQY655383:EQY655410 FAU655383:FAU655410 FKQ655383:FKQ655410 FUM655383:FUM655410 GEI655383:GEI655410 GOE655383:GOE655410 GYA655383:GYA655410 HHW655383:HHW655410 HRS655383:HRS655410 IBO655383:IBO655410 ILK655383:ILK655410 IVG655383:IVG655410 JFC655383:JFC655410 JOY655383:JOY655410 JYU655383:JYU655410 KIQ655383:KIQ655410 KSM655383:KSM655410 LCI655383:LCI655410 LME655383:LME655410 LWA655383:LWA655410 MFW655383:MFW655410 MPS655383:MPS655410 MZO655383:MZO655410 NJK655383:NJK655410 NTG655383:NTG655410 ODC655383:ODC655410 OMY655383:OMY655410 OWU655383:OWU655410 PGQ655383:PGQ655410 PQM655383:PQM655410 QAI655383:QAI655410 QKE655383:QKE655410 QUA655383:QUA655410 RDW655383:RDW655410 RNS655383:RNS655410 RXO655383:RXO655410 SHK655383:SHK655410 SRG655383:SRG655410 TBC655383:TBC655410 TKY655383:TKY655410 TUU655383:TUU655410 UEQ655383:UEQ655410 UOM655383:UOM655410 UYI655383:UYI655410 VIE655383:VIE655410 VSA655383:VSA655410 WBW655383:WBW655410 WLS655383:WLS655410 WVO655383:WVO655410 JC720919:JC720946 SY720919:SY720946 ACU720919:ACU720946 AMQ720919:AMQ720946 AWM720919:AWM720946 BGI720919:BGI720946 BQE720919:BQE720946 CAA720919:CAA720946 CJW720919:CJW720946 CTS720919:CTS720946 DDO720919:DDO720946 DNK720919:DNK720946 DXG720919:DXG720946 EHC720919:EHC720946 EQY720919:EQY720946 FAU720919:FAU720946 FKQ720919:FKQ720946 FUM720919:FUM720946 GEI720919:GEI720946 GOE720919:GOE720946 GYA720919:GYA720946 HHW720919:HHW720946 HRS720919:HRS720946 IBO720919:IBO720946 ILK720919:ILK720946 IVG720919:IVG720946 JFC720919:JFC720946 JOY720919:JOY720946 JYU720919:JYU720946 KIQ720919:KIQ720946 KSM720919:KSM720946 LCI720919:LCI720946 LME720919:LME720946 LWA720919:LWA720946 MFW720919:MFW720946 MPS720919:MPS720946 MZO720919:MZO720946 NJK720919:NJK720946 NTG720919:NTG720946 ODC720919:ODC720946 OMY720919:OMY720946 OWU720919:OWU720946 PGQ720919:PGQ720946 PQM720919:PQM720946 QAI720919:QAI720946 QKE720919:QKE720946 QUA720919:QUA720946 RDW720919:RDW720946 RNS720919:RNS720946 RXO720919:RXO720946 SHK720919:SHK720946 SRG720919:SRG720946 TBC720919:TBC720946 TKY720919:TKY720946 TUU720919:TUU720946 UEQ720919:UEQ720946 UOM720919:UOM720946 UYI720919:UYI720946 VIE720919:VIE720946 VSA720919:VSA720946 WBW720919:WBW720946 WLS720919:WLS720946 WVO720919:WVO720946 JC786455:JC786482 SY786455:SY786482 ACU786455:ACU786482 AMQ786455:AMQ786482 AWM786455:AWM786482 BGI786455:BGI786482 BQE786455:BQE786482 CAA786455:CAA786482 CJW786455:CJW786482 CTS786455:CTS786482 DDO786455:DDO786482 DNK786455:DNK786482 DXG786455:DXG786482 EHC786455:EHC786482 EQY786455:EQY786482 FAU786455:FAU786482 FKQ786455:FKQ786482 FUM786455:FUM786482 GEI786455:GEI786482 GOE786455:GOE786482 GYA786455:GYA786482 HHW786455:HHW786482 HRS786455:HRS786482 IBO786455:IBO786482 ILK786455:ILK786482 IVG786455:IVG786482 JFC786455:JFC786482 JOY786455:JOY786482 JYU786455:JYU786482 KIQ786455:KIQ786482 KSM786455:KSM786482 LCI786455:LCI786482 LME786455:LME786482 LWA786455:LWA786482 MFW786455:MFW786482 MPS786455:MPS786482 MZO786455:MZO786482 NJK786455:NJK786482 NTG786455:NTG786482 ODC786455:ODC786482 OMY786455:OMY786482 OWU786455:OWU786482 PGQ786455:PGQ786482 PQM786455:PQM786482 QAI786455:QAI786482 QKE786455:QKE786482 QUA786455:QUA786482 RDW786455:RDW786482 RNS786455:RNS786482 RXO786455:RXO786482 SHK786455:SHK786482 SRG786455:SRG786482 TBC786455:TBC786482 TKY786455:TKY786482 TUU786455:TUU786482 UEQ786455:UEQ786482 UOM786455:UOM786482 UYI786455:UYI786482 VIE786455:VIE786482 VSA786455:VSA786482 WBW786455:WBW786482 WLS786455:WLS786482 WVO786455:WVO786482 JC851991:JC852018 SY851991:SY852018 ACU851991:ACU852018 AMQ851991:AMQ852018 AWM851991:AWM852018 BGI851991:BGI852018 BQE851991:BQE852018 CAA851991:CAA852018 CJW851991:CJW852018 CTS851991:CTS852018 DDO851991:DDO852018 DNK851991:DNK852018 DXG851991:DXG852018 EHC851991:EHC852018 EQY851991:EQY852018 FAU851991:FAU852018 FKQ851991:FKQ852018 FUM851991:FUM852018 GEI851991:GEI852018 GOE851991:GOE852018 GYA851991:GYA852018 HHW851991:HHW852018 HRS851991:HRS852018 IBO851991:IBO852018 ILK851991:ILK852018 IVG851991:IVG852018 JFC851991:JFC852018 JOY851991:JOY852018 JYU851991:JYU852018 KIQ851991:KIQ852018 KSM851991:KSM852018 LCI851991:LCI852018 LME851991:LME852018 LWA851991:LWA852018 MFW851991:MFW852018 MPS851991:MPS852018 MZO851991:MZO852018 NJK851991:NJK852018 NTG851991:NTG852018 ODC851991:ODC852018 OMY851991:OMY852018 OWU851991:OWU852018 PGQ851991:PGQ852018 PQM851991:PQM852018 QAI851991:QAI852018 QKE851991:QKE852018 QUA851991:QUA852018 RDW851991:RDW852018 RNS851991:RNS852018 RXO851991:RXO852018 SHK851991:SHK852018 SRG851991:SRG852018 TBC851991:TBC852018 TKY851991:TKY852018 TUU851991:TUU852018 UEQ851991:UEQ852018 UOM851991:UOM852018 UYI851991:UYI852018 VIE851991:VIE852018 VSA851991:VSA852018 WBW851991:WBW852018 WLS851991:WLS852018 WVO851991:WVO852018 JC917527:JC917554 SY917527:SY917554 ACU917527:ACU917554 AMQ917527:AMQ917554 AWM917527:AWM917554 BGI917527:BGI917554 BQE917527:BQE917554 CAA917527:CAA917554 CJW917527:CJW917554 CTS917527:CTS917554 DDO917527:DDO917554 DNK917527:DNK917554 DXG917527:DXG917554 EHC917527:EHC917554 EQY917527:EQY917554 FAU917527:FAU917554 FKQ917527:FKQ917554 FUM917527:FUM917554 GEI917527:GEI917554 GOE917527:GOE917554 GYA917527:GYA917554 HHW917527:HHW917554 HRS917527:HRS917554 IBO917527:IBO917554 ILK917527:ILK917554 IVG917527:IVG917554 JFC917527:JFC917554 JOY917527:JOY917554 JYU917527:JYU917554 KIQ917527:KIQ917554 KSM917527:KSM917554 LCI917527:LCI917554 LME917527:LME917554 LWA917527:LWA917554 MFW917527:MFW917554 MPS917527:MPS917554 MZO917527:MZO917554 NJK917527:NJK917554 NTG917527:NTG917554 ODC917527:ODC917554 OMY917527:OMY917554 OWU917527:OWU917554 PGQ917527:PGQ917554 PQM917527:PQM917554 QAI917527:QAI917554 QKE917527:QKE917554 QUA917527:QUA917554 RDW917527:RDW917554 RNS917527:RNS917554 RXO917527:RXO917554 SHK917527:SHK917554 SRG917527:SRG917554 TBC917527:TBC917554 TKY917527:TKY917554 TUU917527:TUU917554 UEQ917527:UEQ917554 UOM917527:UOM917554 UYI917527:UYI917554 VIE917527:VIE917554 VSA917527:VSA917554 WBW917527:WBW917554 WLS917527:WLS917554 WVO917527:WVO917554 JC983063:JC983090 SY983063:SY983090 ACU983063:ACU983090 AMQ983063:AMQ983090 AWM983063:AWM983090 BGI983063:BGI983090 BQE983063:BQE983090 CAA983063:CAA983090 CJW983063:CJW983090 CTS983063:CTS983090 DDO983063:DDO983090 DNK983063:DNK983090 DXG983063:DXG983090 EHC983063:EHC983090 EQY983063:EQY983090 FAU983063:FAU983090 FKQ983063:FKQ983090 FUM983063:FUM983090 GEI983063:GEI983090 GOE983063:GOE983090 GYA983063:GYA983090 HHW983063:HHW983090 HRS983063:HRS983090 IBO983063:IBO983090 ILK983063:ILK983090 IVG983063:IVG983090 JFC983063:JFC983090 JOY983063:JOY983090 JYU983063:JYU983090 KIQ983063:KIQ983090 KSM983063:KSM983090 LCI983063:LCI983090 LME983063:LME983090 LWA983063:LWA983090 MFW983063:MFW983090 MPS983063:MPS983090 MZO983063:MZO983090 NJK983063:NJK983090 NTG983063:NTG983090 ODC983063:ODC983090 OMY983063:OMY983090 OWU983063:OWU983090 PGQ983063:PGQ983090 PQM983063:PQM983090 QAI983063:QAI983090 QKE983063:QKE983090 QUA983063:QUA983090 RDW983063:RDW983090 RNS983063:RNS983090 RXO983063:RXO983090 SHK983063:SHK983090 SRG983063:SRG983090 TBC983063:TBC983090 TKY983063:TKY983090 TUU983063:TUU983090 UEQ983063:UEQ983090 UOM983063:UOM983090 UYI983063:UYI983090 VIE983063:VIE983090 VSA983063:VSA983090 WBW983063:WBW983090 WLS983063:WLS983090 WVO1:WVO34 WLS1:WLS34 WBW1:WBW34 VSA1:VSA34 VIE1:VIE34 UYI1:UYI34 UOM1:UOM34 UEQ1:UEQ34 TUU1:TUU34 TKY1:TKY34 TBC1:TBC34 SRG1:SRG34 SHK1:SHK34 RXO1:RXO34 RNS1:RNS34 RDW1:RDW34 QUA1:QUA34 QKE1:QKE34 QAI1:QAI34 PQM1:PQM34 PGQ1:PGQ34 OWU1:OWU34 OMY1:OMY34 ODC1:ODC34 NTG1:NTG34 NJK1:NJK34 MZO1:MZO34 MPS1:MPS34 MFW1:MFW34 LWA1:LWA34 LME1:LME34 LCI1:LCI34 KSM1:KSM34 KIQ1:KIQ34 JYU1:JYU34 JOY1:JOY34 JFC1:JFC34 IVG1:IVG34 ILK1:ILK34 IBO1:IBO34 HRS1:HRS34 HHW1:HHW34 GYA1:GYA34 GOE1:GOE34 GEI1:GEI34 FUM1:FUM34 FKQ1:FKQ34 FAU1:FAU34 EQY1:EQY34 EHC1:EHC34 DXG1:DXG34 DNK1:DNK34 DDO1:DDO34 CTS1:CTS34 CJW1:CJW34 CAA1:CAA34 BQE1:BQE34 BGI1:BGI34 AWM1:AWM34 AMQ1:AMQ34 ACU1:ACU34 SY1:SY34 JC1:JC34 C65598:C65625 C131134:C131161 C196670:C196697 C262206:C262233 C327742:C327769 C393278:C393305 C458814:C458841 C524350:C524377 C589886:C589913 C655422:C655449 C720958:C720985 C786494:C786521 C852030:C852057 C917566:C917593 C983102:C983129 C1" xr:uid="{1CC7598A-C000-4646-8423-8FAFF9E82D21}">
      <formula1>#REF!</formula1>
    </dataValidation>
    <dataValidation type="list" allowBlank="1" showInputMessage="1" showErrorMessage="1" sqref="D65598:E65625 D131134:E131161 D196670:E196697 D262206:E262233 D327742:E327769 D393278:E393305 D458814:E458841 D524350:E524377 D589886:E589913 D655422:E655449 D720958:E720985 D786494:E786521 D852030:E852057 D917566:E917593 D983102:E983129" xr:uid="{F4E25A44-BCE6-4FE3-85BF-C9BC66C43997}">
      <formula1>$P$1:$P$6</formula1>
    </dataValidation>
    <dataValidation type="list" allowBlank="1" showInputMessage="1" showErrorMessage="1" sqref="WVP983063:WVP983090 ACV1:ACV34 AMR1:AMR34 AWN1:AWN34 BGJ1:BGJ34 BQF1:BQF34 CAB1:CAB34 CJX1:CJX34 CTT1:CTT34 DDP1:DDP34 DNL1:DNL34 DXH1:DXH34 EHD1:EHD34 EQZ1:EQZ34 FAV1:FAV34 FKR1:FKR34 FUN1:FUN34 GEJ1:GEJ34 GOF1:GOF34 GYB1:GYB34 HHX1:HHX34 HRT1:HRT34 IBP1:IBP34 ILL1:ILL34 IVH1:IVH34 JFD1:JFD34 JOZ1:JOZ34 JYV1:JYV34 KIR1:KIR34 KSN1:KSN34 LCJ1:LCJ34 LMF1:LMF34 LWB1:LWB34 MFX1:MFX34 MPT1:MPT34 MZP1:MZP34 NJL1:NJL34 NTH1:NTH34 ODD1:ODD34 OMZ1:OMZ34 OWV1:OWV34 PGR1:PGR34 PQN1:PQN34 QAJ1:QAJ34 QKF1:QKF34 QUB1:QUB34 RDX1:RDX34 RNT1:RNT34 RXP1:RXP34 SHL1:SHL34 SRH1:SRH34 TBD1:TBD34 TKZ1:TKZ34 TUV1:TUV34 UER1:UER34 UON1:UON34 UYJ1:UYJ34 VIF1:VIF34 VSB1:VSB34 WBX1:WBX34 WLT1:WLT34 WVP1:WVP34 JD1:JD34 WLT983063:WLT983090 WBX983063:WBX983090 VSB983063:VSB983090 VIF983063:VIF983090 UYJ983063:UYJ983090 UON983063:UON983090 UER983063:UER983090 TUV983063:TUV983090 TKZ983063:TKZ983090 TBD983063:TBD983090 SRH983063:SRH983090 SHL983063:SHL983090 RXP983063:RXP983090 RNT983063:RNT983090 RDX983063:RDX983090 QUB983063:QUB983090 QKF983063:QKF983090 QAJ983063:QAJ983090 PQN983063:PQN983090 PGR983063:PGR983090 OWV983063:OWV983090 OMZ983063:OMZ983090 ODD983063:ODD983090 NTH983063:NTH983090 NJL983063:NJL983090 MZP983063:MZP983090 MPT983063:MPT983090 MFX983063:MFX983090 LWB983063:LWB983090 LMF983063:LMF983090 LCJ983063:LCJ983090 KSN983063:KSN983090 KIR983063:KIR983090 JYV983063:JYV983090 JOZ983063:JOZ983090 JFD983063:JFD983090 IVH983063:IVH983090 ILL983063:ILL983090 IBP983063:IBP983090 HRT983063:HRT983090 HHX983063:HHX983090 GYB983063:GYB983090 GOF983063:GOF983090 GEJ983063:GEJ983090 FUN983063:FUN983090 FKR983063:FKR983090 FAV983063:FAV983090 EQZ983063:EQZ983090 EHD983063:EHD983090 DXH983063:DXH983090 DNL983063:DNL983090 DDP983063:DDP983090 CTT983063:CTT983090 CJX983063:CJX983090 CAB983063:CAB983090 BQF983063:BQF983090 BGJ983063:BGJ983090 AWN983063:AWN983090 AMR983063:AMR983090 ACV983063:ACV983090 SZ983063:SZ983090 JD983063:JD983090 SZ1:SZ34 WVP917527:WVP917554 WLT917527:WLT917554 WBX917527:WBX917554 VSB917527:VSB917554 VIF917527:VIF917554 UYJ917527:UYJ917554 UON917527:UON917554 UER917527:UER917554 TUV917527:TUV917554 TKZ917527:TKZ917554 TBD917527:TBD917554 SRH917527:SRH917554 SHL917527:SHL917554 RXP917527:RXP917554 RNT917527:RNT917554 RDX917527:RDX917554 QUB917527:QUB917554 QKF917527:QKF917554 QAJ917527:QAJ917554 PQN917527:PQN917554 PGR917527:PGR917554 OWV917527:OWV917554 OMZ917527:OMZ917554 ODD917527:ODD917554 NTH917527:NTH917554 NJL917527:NJL917554 MZP917527:MZP917554 MPT917527:MPT917554 MFX917527:MFX917554 LWB917527:LWB917554 LMF917527:LMF917554 LCJ917527:LCJ917554 KSN917527:KSN917554 KIR917527:KIR917554 JYV917527:JYV917554 JOZ917527:JOZ917554 JFD917527:JFD917554 IVH917527:IVH917554 ILL917527:ILL917554 IBP917527:IBP917554 HRT917527:HRT917554 HHX917527:HHX917554 GYB917527:GYB917554 GOF917527:GOF917554 GEJ917527:GEJ917554 FUN917527:FUN917554 FKR917527:FKR917554 FAV917527:FAV917554 EQZ917527:EQZ917554 EHD917527:EHD917554 DXH917527:DXH917554 DNL917527:DNL917554 DDP917527:DDP917554 CTT917527:CTT917554 CJX917527:CJX917554 CAB917527:CAB917554 BQF917527:BQF917554 BGJ917527:BGJ917554 AWN917527:AWN917554 AMR917527:AMR917554 ACV917527:ACV917554 SZ917527:SZ917554 JD917527:JD917554 WVP851991:WVP852018 WLT851991:WLT852018 WBX851991:WBX852018 VSB851991:VSB852018 VIF851991:VIF852018 UYJ851991:UYJ852018 UON851991:UON852018 UER851991:UER852018 TUV851991:TUV852018 TKZ851991:TKZ852018 TBD851991:TBD852018 SRH851991:SRH852018 SHL851991:SHL852018 RXP851991:RXP852018 RNT851991:RNT852018 RDX851991:RDX852018 QUB851991:QUB852018 QKF851991:QKF852018 QAJ851991:QAJ852018 PQN851991:PQN852018 PGR851991:PGR852018 OWV851991:OWV852018 OMZ851991:OMZ852018 ODD851991:ODD852018 NTH851991:NTH852018 NJL851991:NJL852018 MZP851991:MZP852018 MPT851991:MPT852018 MFX851991:MFX852018 LWB851991:LWB852018 LMF851991:LMF852018 LCJ851991:LCJ852018 KSN851991:KSN852018 KIR851991:KIR852018 JYV851991:JYV852018 JOZ851991:JOZ852018 JFD851991:JFD852018 IVH851991:IVH852018 ILL851991:ILL852018 IBP851991:IBP852018 HRT851991:HRT852018 HHX851991:HHX852018 GYB851991:GYB852018 GOF851991:GOF852018 GEJ851991:GEJ852018 FUN851991:FUN852018 FKR851991:FKR852018 FAV851991:FAV852018 EQZ851991:EQZ852018 EHD851991:EHD852018 DXH851991:DXH852018 DNL851991:DNL852018 DDP851991:DDP852018 CTT851991:CTT852018 CJX851991:CJX852018 CAB851991:CAB852018 BQF851991:BQF852018 BGJ851991:BGJ852018 AWN851991:AWN852018 AMR851991:AMR852018 ACV851991:ACV852018 SZ851991:SZ852018 JD851991:JD852018 WVP786455:WVP786482 WLT786455:WLT786482 WBX786455:WBX786482 VSB786455:VSB786482 VIF786455:VIF786482 UYJ786455:UYJ786482 UON786455:UON786482 UER786455:UER786482 TUV786455:TUV786482 TKZ786455:TKZ786482 TBD786455:TBD786482 SRH786455:SRH786482 SHL786455:SHL786482 RXP786455:RXP786482 RNT786455:RNT786482 RDX786455:RDX786482 QUB786455:QUB786482 QKF786455:QKF786482 QAJ786455:QAJ786482 PQN786455:PQN786482 PGR786455:PGR786482 OWV786455:OWV786482 OMZ786455:OMZ786482 ODD786455:ODD786482 NTH786455:NTH786482 NJL786455:NJL786482 MZP786455:MZP786482 MPT786455:MPT786482 MFX786455:MFX786482 LWB786455:LWB786482 LMF786455:LMF786482 LCJ786455:LCJ786482 KSN786455:KSN786482 KIR786455:KIR786482 JYV786455:JYV786482 JOZ786455:JOZ786482 JFD786455:JFD786482 IVH786455:IVH786482 ILL786455:ILL786482 IBP786455:IBP786482 HRT786455:HRT786482 HHX786455:HHX786482 GYB786455:GYB786482 GOF786455:GOF786482 GEJ786455:GEJ786482 FUN786455:FUN786482 FKR786455:FKR786482 FAV786455:FAV786482 EQZ786455:EQZ786482 EHD786455:EHD786482 DXH786455:DXH786482 DNL786455:DNL786482 DDP786455:DDP786482 CTT786455:CTT786482 CJX786455:CJX786482 CAB786455:CAB786482 BQF786455:BQF786482 BGJ786455:BGJ786482 AWN786455:AWN786482 AMR786455:AMR786482 ACV786455:ACV786482 SZ786455:SZ786482 JD786455:JD786482 WVP720919:WVP720946 WLT720919:WLT720946 WBX720919:WBX720946 VSB720919:VSB720946 VIF720919:VIF720946 UYJ720919:UYJ720946 UON720919:UON720946 UER720919:UER720946 TUV720919:TUV720946 TKZ720919:TKZ720946 TBD720919:TBD720946 SRH720919:SRH720946 SHL720919:SHL720946 RXP720919:RXP720946 RNT720919:RNT720946 RDX720919:RDX720946 QUB720919:QUB720946 QKF720919:QKF720946 QAJ720919:QAJ720946 PQN720919:PQN720946 PGR720919:PGR720946 OWV720919:OWV720946 OMZ720919:OMZ720946 ODD720919:ODD720946 NTH720919:NTH720946 NJL720919:NJL720946 MZP720919:MZP720946 MPT720919:MPT720946 MFX720919:MFX720946 LWB720919:LWB720946 LMF720919:LMF720946 LCJ720919:LCJ720946 KSN720919:KSN720946 KIR720919:KIR720946 JYV720919:JYV720946 JOZ720919:JOZ720946 JFD720919:JFD720946 IVH720919:IVH720946 ILL720919:ILL720946 IBP720919:IBP720946 HRT720919:HRT720946 HHX720919:HHX720946 GYB720919:GYB720946 GOF720919:GOF720946 GEJ720919:GEJ720946 FUN720919:FUN720946 FKR720919:FKR720946 FAV720919:FAV720946 EQZ720919:EQZ720946 EHD720919:EHD720946 DXH720919:DXH720946 DNL720919:DNL720946 DDP720919:DDP720946 CTT720919:CTT720946 CJX720919:CJX720946 CAB720919:CAB720946 BQF720919:BQF720946 BGJ720919:BGJ720946 AWN720919:AWN720946 AMR720919:AMR720946 ACV720919:ACV720946 SZ720919:SZ720946 JD720919:JD720946 WVP655383:WVP655410 WLT655383:WLT655410 WBX655383:WBX655410 VSB655383:VSB655410 VIF655383:VIF655410 UYJ655383:UYJ655410 UON655383:UON655410 UER655383:UER655410 TUV655383:TUV655410 TKZ655383:TKZ655410 TBD655383:TBD655410 SRH655383:SRH655410 SHL655383:SHL655410 RXP655383:RXP655410 RNT655383:RNT655410 RDX655383:RDX655410 QUB655383:QUB655410 QKF655383:QKF655410 QAJ655383:QAJ655410 PQN655383:PQN655410 PGR655383:PGR655410 OWV655383:OWV655410 OMZ655383:OMZ655410 ODD655383:ODD655410 NTH655383:NTH655410 NJL655383:NJL655410 MZP655383:MZP655410 MPT655383:MPT655410 MFX655383:MFX655410 LWB655383:LWB655410 LMF655383:LMF655410 LCJ655383:LCJ655410 KSN655383:KSN655410 KIR655383:KIR655410 JYV655383:JYV655410 JOZ655383:JOZ655410 JFD655383:JFD655410 IVH655383:IVH655410 ILL655383:ILL655410 IBP655383:IBP655410 HRT655383:HRT655410 HHX655383:HHX655410 GYB655383:GYB655410 GOF655383:GOF655410 GEJ655383:GEJ655410 FUN655383:FUN655410 FKR655383:FKR655410 FAV655383:FAV655410 EQZ655383:EQZ655410 EHD655383:EHD655410 DXH655383:DXH655410 DNL655383:DNL655410 DDP655383:DDP655410 CTT655383:CTT655410 CJX655383:CJX655410 CAB655383:CAB655410 BQF655383:BQF655410 BGJ655383:BGJ655410 AWN655383:AWN655410 AMR655383:AMR655410 ACV655383:ACV655410 SZ655383:SZ655410 JD655383:JD655410 WVP589847:WVP589874 WLT589847:WLT589874 WBX589847:WBX589874 VSB589847:VSB589874 VIF589847:VIF589874 UYJ589847:UYJ589874 UON589847:UON589874 UER589847:UER589874 TUV589847:TUV589874 TKZ589847:TKZ589874 TBD589847:TBD589874 SRH589847:SRH589874 SHL589847:SHL589874 RXP589847:RXP589874 RNT589847:RNT589874 RDX589847:RDX589874 QUB589847:QUB589874 QKF589847:QKF589874 QAJ589847:QAJ589874 PQN589847:PQN589874 PGR589847:PGR589874 OWV589847:OWV589874 OMZ589847:OMZ589874 ODD589847:ODD589874 NTH589847:NTH589874 NJL589847:NJL589874 MZP589847:MZP589874 MPT589847:MPT589874 MFX589847:MFX589874 LWB589847:LWB589874 LMF589847:LMF589874 LCJ589847:LCJ589874 KSN589847:KSN589874 KIR589847:KIR589874 JYV589847:JYV589874 JOZ589847:JOZ589874 JFD589847:JFD589874 IVH589847:IVH589874 ILL589847:ILL589874 IBP589847:IBP589874 HRT589847:HRT589874 HHX589847:HHX589874 GYB589847:GYB589874 GOF589847:GOF589874 GEJ589847:GEJ589874 FUN589847:FUN589874 FKR589847:FKR589874 FAV589847:FAV589874 EQZ589847:EQZ589874 EHD589847:EHD589874 DXH589847:DXH589874 DNL589847:DNL589874 DDP589847:DDP589874 CTT589847:CTT589874 CJX589847:CJX589874 CAB589847:CAB589874 BQF589847:BQF589874 BGJ589847:BGJ589874 AWN589847:AWN589874 AMR589847:AMR589874 ACV589847:ACV589874 SZ589847:SZ589874 JD589847:JD589874 WVP524311:WVP524338 WLT524311:WLT524338 WBX524311:WBX524338 VSB524311:VSB524338 VIF524311:VIF524338 UYJ524311:UYJ524338 UON524311:UON524338 UER524311:UER524338 TUV524311:TUV524338 TKZ524311:TKZ524338 TBD524311:TBD524338 SRH524311:SRH524338 SHL524311:SHL524338 RXP524311:RXP524338 RNT524311:RNT524338 RDX524311:RDX524338 QUB524311:QUB524338 QKF524311:QKF524338 QAJ524311:QAJ524338 PQN524311:PQN524338 PGR524311:PGR524338 OWV524311:OWV524338 OMZ524311:OMZ524338 ODD524311:ODD524338 NTH524311:NTH524338 NJL524311:NJL524338 MZP524311:MZP524338 MPT524311:MPT524338 MFX524311:MFX524338 LWB524311:LWB524338 LMF524311:LMF524338 LCJ524311:LCJ524338 KSN524311:KSN524338 KIR524311:KIR524338 JYV524311:JYV524338 JOZ524311:JOZ524338 JFD524311:JFD524338 IVH524311:IVH524338 ILL524311:ILL524338 IBP524311:IBP524338 HRT524311:HRT524338 HHX524311:HHX524338 GYB524311:GYB524338 GOF524311:GOF524338 GEJ524311:GEJ524338 FUN524311:FUN524338 FKR524311:FKR524338 FAV524311:FAV524338 EQZ524311:EQZ524338 EHD524311:EHD524338 DXH524311:DXH524338 DNL524311:DNL524338 DDP524311:DDP524338 CTT524311:CTT524338 CJX524311:CJX524338 CAB524311:CAB524338 BQF524311:BQF524338 BGJ524311:BGJ524338 AWN524311:AWN524338 AMR524311:AMR524338 ACV524311:ACV524338 SZ524311:SZ524338 JD524311:JD524338 WVP458775:WVP458802 WLT458775:WLT458802 WBX458775:WBX458802 VSB458775:VSB458802 VIF458775:VIF458802 UYJ458775:UYJ458802 UON458775:UON458802 UER458775:UER458802 TUV458775:TUV458802 TKZ458775:TKZ458802 TBD458775:TBD458802 SRH458775:SRH458802 SHL458775:SHL458802 RXP458775:RXP458802 RNT458775:RNT458802 RDX458775:RDX458802 QUB458775:QUB458802 QKF458775:QKF458802 QAJ458775:QAJ458802 PQN458775:PQN458802 PGR458775:PGR458802 OWV458775:OWV458802 OMZ458775:OMZ458802 ODD458775:ODD458802 NTH458775:NTH458802 NJL458775:NJL458802 MZP458775:MZP458802 MPT458775:MPT458802 MFX458775:MFX458802 LWB458775:LWB458802 LMF458775:LMF458802 LCJ458775:LCJ458802 KSN458775:KSN458802 KIR458775:KIR458802 JYV458775:JYV458802 JOZ458775:JOZ458802 JFD458775:JFD458802 IVH458775:IVH458802 ILL458775:ILL458802 IBP458775:IBP458802 HRT458775:HRT458802 HHX458775:HHX458802 GYB458775:GYB458802 GOF458775:GOF458802 GEJ458775:GEJ458802 FUN458775:FUN458802 FKR458775:FKR458802 FAV458775:FAV458802 EQZ458775:EQZ458802 EHD458775:EHD458802 DXH458775:DXH458802 DNL458775:DNL458802 DDP458775:DDP458802 CTT458775:CTT458802 CJX458775:CJX458802 CAB458775:CAB458802 BQF458775:BQF458802 BGJ458775:BGJ458802 AWN458775:AWN458802 AMR458775:AMR458802 ACV458775:ACV458802 SZ458775:SZ458802 JD458775:JD458802 WVP393239:WVP393266 WLT393239:WLT393266 WBX393239:WBX393266 VSB393239:VSB393266 VIF393239:VIF393266 UYJ393239:UYJ393266 UON393239:UON393266 UER393239:UER393266 TUV393239:TUV393266 TKZ393239:TKZ393266 TBD393239:TBD393266 SRH393239:SRH393266 SHL393239:SHL393266 RXP393239:RXP393266 RNT393239:RNT393266 RDX393239:RDX393266 QUB393239:QUB393266 QKF393239:QKF393266 QAJ393239:QAJ393266 PQN393239:PQN393266 PGR393239:PGR393266 OWV393239:OWV393266 OMZ393239:OMZ393266 ODD393239:ODD393266 NTH393239:NTH393266 NJL393239:NJL393266 MZP393239:MZP393266 MPT393239:MPT393266 MFX393239:MFX393266 LWB393239:LWB393266 LMF393239:LMF393266 LCJ393239:LCJ393266 KSN393239:KSN393266 KIR393239:KIR393266 JYV393239:JYV393266 JOZ393239:JOZ393266 JFD393239:JFD393266 IVH393239:IVH393266 ILL393239:ILL393266 IBP393239:IBP393266 HRT393239:HRT393266 HHX393239:HHX393266 GYB393239:GYB393266 GOF393239:GOF393266 GEJ393239:GEJ393266 FUN393239:FUN393266 FKR393239:FKR393266 FAV393239:FAV393266 EQZ393239:EQZ393266 EHD393239:EHD393266 DXH393239:DXH393266 DNL393239:DNL393266 DDP393239:DDP393266 CTT393239:CTT393266 CJX393239:CJX393266 CAB393239:CAB393266 BQF393239:BQF393266 BGJ393239:BGJ393266 AWN393239:AWN393266 AMR393239:AMR393266 ACV393239:ACV393266 SZ393239:SZ393266 JD393239:JD393266 WVP327703:WVP327730 WLT327703:WLT327730 WBX327703:WBX327730 VSB327703:VSB327730 VIF327703:VIF327730 UYJ327703:UYJ327730 UON327703:UON327730 UER327703:UER327730 TUV327703:TUV327730 TKZ327703:TKZ327730 TBD327703:TBD327730 SRH327703:SRH327730 SHL327703:SHL327730 RXP327703:RXP327730 RNT327703:RNT327730 RDX327703:RDX327730 QUB327703:QUB327730 QKF327703:QKF327730 QAJ327703:QAJ327730 PQN327703:PQN327730 PGR327703:PGR327730 OWV327703:OWV327730 OMZ327703:OMZ327730 ODD327703:ODD327730 NTH327703:NTH327730 NJL327703:NJL327730 MZP327703:MZP327730 MPT327703:MPT327730 MFX327703:MFX327730 LWB327703:LWB327730 LMF327703:LMF327730 LCJ327703:LCJ327730 KSN327703:KSN327730 KIR327703:KIR327730 JYV327703:JYV327730 JOZ327703:JOZ327730 JFD327703:JFD327730 IVH327703:IVH327730 ILL327703:ILL327730 IBP327703:IBP327730 HRT327703:HRT327730 HHX327703:HHX327730 GYB327703:GYB327730 GOF327703:GOF327730 GEJ327703:GEJ327730 FUN327703:FUN327730 FKR327703:FKR327730 FAV327703:FAV327730 EQZ327703:EQZ327730 EHD327703:EHD327730 DXH327703:DXH327730 DNL327703:DNL327730 DDP327703:DDP327730 CTT327703:CTT327730 CJX327703:CJX327730 CAB327703:CAB327730 BQF327703:BQF327730 BGJ327703:BGJ327730 AWN327703:AWN327730 AMR327703:AMR327730 ACV327703:ACV327730 SZ327703:SZ327730 JD327703:JD327730 WVP262167:WVP262194 WLT262167:WLT262194 WBX262167:WBX262194 VSB262167:VSB262194 VIF262167:VIF262194 UYJ262167:UYJ262194 UON262167:UON262194 UER262167:UER262194 TUV262167:TUV262194 TKZ262167:TKZ262194 TBD262167:TBD262194 SRH262167:SRH262194 SHL262167:SHL262194 RXP262167:RXP262194 RNT262167:RNT262194 RDX262167:RDX262194 QUB262167:QUB262194 QKF262167:QKF262194 QAJ262167:QAJ262194 PQN262167:PQN262194 PGR262167:PGR262194 OWV262167:OWV262194 OMZ262167:OMZ262194 ODD262167:ODD262194 NTH262167:NTH262194 NJL262167:NJL262194 MZP262167:MZP262194 MPT262167:MPT262194 MFX262167:MFX262194 LWB262167:LWB262194 LMF262167:LMF262194 LCJ262167:LCJ262194 KSN262167:KSN262194 KIR262167:KIR262194 JYV262167:JYV262194 JOZ262167:JOZ262194 JFD262167:JFD262194 IVH262167:IVH262194 ILL262167:ILL262194 IBP262167:IBP262194 HRT262167:HRT262194 HHX262167:HHX262194 GYB262167:GYB262194 GOF262167:GOF262194 GEJ262167:GEJ262194 FUN262167:FUN262194 FKR262167:FKR262194 FAV262167:FAV262194 EQZ262167:EQZ262194 EHD262167:EHD262194 DXH262167:DXH262194 DNL262167:DNL262194 DDP262167:DDP262194 CTT262167:CTT262194 CJX262167:CJX262194 CAB262167:CAB262194 BQF262167:BQF262194 BGJ262167:BGJ262194 AWN262167:AWN262194 AMR262167:AMR262194 ACV262167:ACV262194 SZ262167:SZ262194 JD262167:JD262194 WVP196631:WVP196658 WLT196631:WLT196658 WBX196631:WBX196658 VSB196631:VSB196658 VIF196631:VIF196658 UYJ196631:UYJ196658 UON196631:UON196658 UER196631:UER196658 TUV196631:TUV196658 TKZ196631:TKZ196658 TBD196631:TBD196658 SRH196631:SRH196658 SHL196631:SHL196658 RXP196631:RXP196658 RNT196631:RNT196658 RDX196631:RDX196658 QUB196631:QUB196658 QKF196631:QKF196658 QAJ196631:QAJ196658 PQN196631:PQN196658 PGR196631:PGR196658 OWV196631:OWV196658 OMZ196631:OMZ196658 ODD196631:ODD196658 NTH196631:NTH196658 NJL196631:NJL196658 MZP196631:MZP196658 MPT196631:MPT196658 MFX196631:MFX196658 LWB196631:LWB196658 LMF196631:LMF196658 LCJ196631:LCJ196658 KSN196631:KSN196658 KIR196631:KIR196658 JYV196631:JYV196658 JOZ196631:JOZ196658 JFD196631:JFD196658 IVH196631:IVH196658 ILL196631:ILL196658 IBP196631:IBP196658 HRT196631:HRT196658 HHX196631:HHX196658 GYB196631:GYB196658 GOF196631:GOF196658 GEJ196631:GEJ196658 FUN196631:FUN196658 FKR196631:FKR196658 FAV196631:FAV196658 EQZ196631:EQZ196658 EHD196631:EHD196658 DXH196631:DXH196658 DNL196631:DNL196658 DDP196631:DDP196658 CTT196631:CTT196658 CJX196631:CJX196658 CAB196631:CAB196658 BQF196631:BQF196658 BGJ196631:BGJ196658 AWN196631:AWN196658 AMR196631:AMR196658 ACV196631:ACV196658 SZ196631:SZ196658 JD196631:JD196658 WVP131095:WVP131122 WLT131095:WLT131122 WBX131095:WBX131122 VSB131095:VSB131122 VIF131095:VIF131122 UYJ131095:UYJ131122 UON131095:UON131122 UER131095:UER131122 TUV131095:TUV131122 TKZ131095:TKZ131122 TBD131095:TBD131122 SRH131095:SRH131122 SHL131095:SHL131122 RXP131095:RXP131122 RNT131095:RNT131122 RDX131095:RDX131122 QUB131095:QUB131122 QKF131095:QKF131122 QAJ131095:QAJ131122 PQN131095:PQN131122 PGR131095:PGR131122 OWV131095:OWV131122 OMZ131095:OMZ131122 ODD131095:ODD131122 NTH131095:NTH131122 NJL131095:NJL131122 MZP131095:MZP131122 MPT131095:MPT131122 MFX131095:MFX131122 LWB131095:LWB131122 LMF131095:LMF131122 LCJ131095:LCJ131122 KSN131095:KSN131122 KIR131095:KIR131122 JYV131095:JYV131122 JOZ131095:JOZ131122 JFD131095:JFD131122 IVH131095:IVH131122 ILL131095:ILL131122 IBP131095:IBP131122 HRT131095:HRT131122 HHX131095:HHX131122 GYB131095:GYB131122 GOF131095:GOF131122 GEJ131095:GEJ131122 FUN131095:FUN131122 FKR131095:FKR131122 FAV131095:FAV131122 EQZ131095:EQZ131122 EHD131095:EHD131122 DXH131095:DXH131122 DNL131095:DNL131122 DDP131095:DDP131122 CTT131095:CTT131122 CJX131095:CJX131122 CAB131095:CAB131122 BQF131095:BQF131122 BGJ131095:BGJ131122 AWN131095:AWN131122 AMR131095:AMR131122 ACV131095:ACV131122 SZ131095:SZ131122 JD131095:JD131122 WVP65559:WVP65586 WLT65559:WLT65586 WBX65559:WBX65586 VSB65559:VSB65586 VIF65559:VIF65586 UYJ65559:UYJ65586 UON65559:UON65586 UER65559:UER65586 TUV65559:TUV65586 TKZ65559:TKZ65586 TBD65559:TBD65586 SRH65559:SRH65586 SHL65559:SHL65586 RXP65559:RXP65586 RNT65559:RNT65586 RDX65559:RDX65586 QUB65559:QUB65586 QKF65559:QKF65586 QAJ65559:QAJ65586 PQN65559:PQN65586 PGR65559:PGR65586 OWV65559:OWV65586 OMZ65559:OMZ65586 ODD65559:ODD65586 NTH65559:NTH65586 NJL65559:NJL65586 MZP65559:MZP65586 MPT65559:MPT65586 MFX65559:MFX65586 LWB65559:LWB65586 LMF65559:LMF65586 LCJ65559:LCJ65586 KSN65559:KSN65586 KIR65559:KIR65586 JYV65559:JYV65586 JOZ65559:JOZ65586 JFD65559:JFD65586 IVH65559:IVH65586 ILL65559:ILL65586 IBP65559:IBP65586 HRT65559:HRT65586 HHX65559:HHX65586 GYB65559:GYB65586 GOF65559:GOF65586 GEJ65559:GEJ65586 FUN65559:FUN65586 FKR65559:FKR65586 FAV65559:FAV65586 EQZ65559:EQZ65586 EHD65559:EHD65586 DXH65559:DXH65586 DNL65559:DNL65586 DDP65559:DDP65586 CTT65559:CTT65586 CJX65559:CJX65586 CAB65559:CAB65586 BQF65559:BQF65586 BGJ65559:BGJ65586 AWN65559:AWN65586 AMR65559:AMR65586 ACV65559:ACV65586 SZ65559:SZ65586 JD65559:JD65586" xr:uid="{0305C507-2669-4718-B1EE-E244BFD6F82C}">
      <formula1>$L$1:$L$6</formula1>
    </dataValidation>
    <dataValidation type="list" errorStyle="information" showInputMessage="1" sqref="E2:E97" xr:uid="{51060C3A-4BA2-4D01-9B5F-FCD28E89E66F}">
      <formula1>$W$1:$W$9</formula1>
    </dataValidation>
  </dataValidation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50E70-42A5-48E9-9D50-05E0697D99AB}">
  <sheetPr>
    <tabColor theme="6"/>
  </sheetPr>
  <dimension ref="A1:CF45"/>
  <sheetViews>
    <sheetView zoomScaleNormal="100" workbookViewId="0">
      <selection activeCell="D28" sqref="D28"/>
    </sheetView>
  </sheetViews>
  <sheetFormatPr defaultRowHeight="15" x14ac:dyDescent="0.25"/>
  <cols>
    <col min="1" max="1" width="3.28515625" customWidth="1"/>
    <col min="2" max="2" width="22.28515625" bestFit="1" customWidth="1"/>
    <col min="3" max="4" width="11.85546875" customWidth="1"/>
    <col min="5" max="5" width="5.7109375" customWidth="1"/>
    <col min="6" max="7" width="11.7109375" customWidth="1"/>
    <col min="8" max="8" width="5.7109375" customWidth="1"/>
    <col min="9" max="10" width="11.7109375" customWidth="1"/>
    <col min="11" max="11" width="5.7109375" customWidth="1"/>
    <col min="12" max="12" width="11.7109375" customWidth="1"/>
    <col min="13" max="13" width="10.85546875" customWidth="1"/>
    <col min="14" max="14" width="5.7109375" customWidth="1"/>
    <col min="15" max="16" width="10.85546875" customWidth="1"/>
    <col min="17" max="19" width="5.7109375" customWidth="1"/>
    <col min="20" max="21" width="11.7109375" customWidth="1"/>
    <col min="22" max="22" width="5.28515625" customWidth="1"/>
    <col min="23" max="24" width="11.7109375" customWidth="1"/>
    <col min="25" max="25" width="5.7109375" customWidth="1"/>
    <col min="26" max="26" width="3.28515625" customWidth="1"/>
  </cols>
  <sheetData>
    <row r="1" spans="1:84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</row>
    <row r="2" spans="1:84" x14ac:dyDescent="0.25">
      <c r="A2" s="10"/>
      <c r="B2" s="12" t="s">
        <v>75</v>
      </c>
      <c r="C2" s="2">
        <f>Inputs!B1</f>
        <v>0</v>
      </c>
      <c r="D2" s="13"/>
      <c r="E2" s="131" t="s">
        <v>76</v>
      </c>
      <c r="F2" s="131"/>
      <c r="G2" s="10"/>
      <c r="H2" s="131" t="s">
        <v>77</v>
      </c>
      <c r="I2" s="131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32"/>
      <c r="Y2" s="32"/>
      <c r="Z2" s="32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</row>
    <row r="3" spans="1:84" ht="15" customHeight="1" x14ac:dyDescent="0.25">
      <c r="A3" s="10"/>
      <c r="B3" s="14" t="s">
        <v>13</v>
      </c>
      <c r="C3" s="2">
        <f>Inputs!B2</f>
        <v>0</v>
      </c>
      <c r="D3" s="13"/>
      <c r="E3" s="132">
        <f>C27*C4</f>
        <v>0</v>
      </c>
      <c r="F3" s="133"/>
      <c r="G3" s="10"/>
      <c r="H3" s="132">
        <f>D27*C4</f>
        <v>38</v>
      </c>
      <c r="I3" s="13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32"/>
      <c r="Y3" s="32"/>
      <c r="Z3" s="32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</row>
    <row r="4" spans="1:84" ht="15" customHeight="1" x14ac:dyDescent="0.25">
      <c r="A4" s="10"/>
      <c r="B4" s="14" t="s">
        <v>198</v>
      </c>
      <c r="C4" s="2">
        <f>Inputs!B4</f>
        <v>9.5</v>
      </c>
      <c r="D4" s="13"/>
      <c r="E4" s="134"/>
      <c r="F4" s="135"/>
      <c r="G4" s="10"/>
      <c r="H4" s="134"/>
      <c r="I4" s="135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32"/>
      <c r="Y4" s="32"/>
      <c r="Z4" s="32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</row>
    <row r="5" spans="1:84" x14ac:dyDescent="0.25">
      <c r="A5" s="10"/>
      <c r="B5" s="14" t="s">
        <v>78</v>
      </c>
      <c r="C5" s="41">
        <f>Inputs!B5</f>
        <v>0</v>
      </c>
      <c r="D5" s="13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32"/>
      <c r="Y5" s="32"/>
      <c r="Z5" s="32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</row>
    <row r="6" spans="1:84" x14ac:dyDescent="0.25">
      <c r="A6" s="10"/>
      <c r="B6" s="14" t="s">
        <v>79</v>
      </c>
      <c r="C6" s="41">
        <f>Inputs!B6</f>
        <v>0</v>
      </c>
      <c r="D6" s="13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</row>
    <row r="7" spans="1:84" x14ac:dyDescent="0.25">
      <c r="A7" s="10"/>
      <c r="B7" s="14" t="s">
        <v>80</v>
      </c>
      <c r="C7" s="41">
        <f>C5/70</f>
        <v>0</v>
      </c>
      <c r="D7" s="13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</row>
    <row r="8" spans="1:84" x14ac:dyDescent="0.25">
      <c r="A8" s="10"/>
      <c r="B8" s="14" t="s">
        <v>81</v>
      </c>
      <c r="C8" s="41">
        <f>Inputs!B7</f>
        <v>0</v>
      </c>
      <c r="D8" s="13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</row>
    <row r="9" spans="1:84" ht="15" customHeight="1" x14ac:dyDescent="0.25">
      <c r="A9" s="10"/>
      <c r="B9" s="14" t="s">
        <v>82</v>
      </c>
      <c r="C9" s="85">
        <f>Inputs!B8</f>
        <v>0</v>
      </c>
      <c r="D9" s="13"/>
      <c r="E9" s="15"/>
      <c r="F9" s="137" t="s">
        <v>84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6"/>
      <c r="R9" s="10"/>
      <c r="S9" s="15"/>
      <c r="T9" s="137" t="s">
        <v>85</v>
      </c>
      <c r="U9" s="137"/>
      <c r="V9" s="137"/>
      <c r="W9" s="137"/>
      <c r="X9" s="137"/>
      <c r="Y9" s="16"/>
      <c r="Z9" s="10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</row>
    <row r="10" spans="1:84" x14ac:dyDescent="0.25">
      <c r="A10" s="10"/>
      <c r="B10" s="14" t="s">
        <v>86</v>
      </c>
      <c r="C10" s="85">
        <f>Inputs!B9</f>
        <v>0</v>
      </c>
      <c r="D10" s="17"/>
      <c r="E10" s="1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9"/>
      <c r="R10" s="10"/>
      <c r="S10" s="18"/>
      <c r="T10" s="138"/>
      <c r="U10" s="138"/>
      <c r="V10" s="138"/>
      <c r="W10" s="138"/>
      <c r="X10" s="138"/>
      <c r="Y10" s="19"/>
      <c r="Z10" s="10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</row>
    <row r="11" spans="1:84" ht="15" customHeight="1" x14ac:dyDescent="0.25">
      <c r="A11" s="10"/>
      <c r="B11" s="14" t="s">
        <v>87</v>
      </c>
      <c r="C11" s="85">
        <f>Inputs!B10</f>
        <v>0</v>
      </c>
      <c r="D11" s="17"/>
      <c r="E11" s="18"/>
      <c r="F11" s="145" t="s">
        <v>79</v>
      </c>
      <c r="G11" s="145" t="s">
        <v>88</v>
      </c>
      <c r="H11" s="20"/>
      <c r="I11" s="146" t="s">
        <v>78</v>
      </c>
      <c r="J11" s="146" t="s">
        <v>89</v>
      </c>
      <c r="K11" s="21"/>
      <c r="L11" s="147" t="s">
        <v>90</v>
      </c>
      <c r="M11" s="147" t="s">
        <v>91</v>
      </c>
      <c r="N11" s="21"/>
      <c r="O11" s="148" t="s">
        <v>92</v>
      </c>
      <c r="P11" s="148" t="s">
        <v>93</v>
      </c>
      <c r="Q11" s="19"/>
      <c r="R11" s="10"/>
      <c r="S11" s="18"/>
      <c r="T11" s="145" t="s">
        <v>94</v>
      </c>
      <c r="U11" s="145" t="s">
        <v>95</v>
      </c>
      <c r="V11" s="20"/>
      <c r="W11" s="146" t="s">
        <v>96</v>
      </c>
      <c r="X11" s="146" t="s">
        <v>97</v>
      </c>
      <c r="Y11" s="19"/>
      <c r="Z11" s="10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</row>
    <row r="12" spans="1:84" x14ac:dyDescent="0.25">
      <c r="A12" s="10"/>
      <c r="B12" s="28" t="s">
        <v>98</v>
      </c>
      <c r="C12" s="22">
        <v>185</v>
      </c>
      <c r="D12" s="17"/>
      <c r="E12" s="18"/>
      <c r="F12" s="145"/>
      <c r="G12" s="145"/>
      <c r="H12" s="20"/>
      <c r="I12" s="146"/>
      <c r="J12" s="146"/>
      <c r="K12" s="21"/>
      <c r="L12" s="147"/>
      <c r="M12" s="147"/>
      <c r="N12" s="21"/>
      <c r="O12" s="148"/>
      <c r="P12" s="148"/>
      <c r="Q12" s="19"/>
      <c r="R12" s="10"/>
      <c r="S12" s="18"/>
      <c r="T12" s="145"/>
      <c r="U12" s="145"/>
      <c r="V12" s="20"/>
      <c r="W12" s="146"/>
      <c r="X12" s="146"/>
      <c r="Y12" s="19"/>
      <c r="Z12" s="10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</row>
    <row r="13" spans="1:84" x14ac:dyDescent="0.25">
      <c r="A13" s="10"/>
      <c r="B13" s="28" t="s">
        <v>99</v>
      </c>
      <c r="C13" s="22">
        <v>25</v>
      </c>
      <c r="D13" s="10"/>
      <c r="E13" s="18"/>
      <c r="F13" s="139">
        <f>C6</f>
        <v>0</v>
      </c>
      <c r="G13" s="140">
        <f>C6/(25*C4)</f>
        <v>0</v>
      </c>
      <c r="H13" s="10"/>
      <c r="I13" s="141">
        <f>C5</f>
        <v>0</v>
      </c>
      <c r="J13" s="143">
        <f>C5/(185*C4)</f>
        <v>0</v>
      </c>
      <c r="K13" s="23"/>
      <c r="L13" s="136">
        <f>C7</f>
        <v>0</v>
      </c>
      <c r="M13" s="136">
        <f>C7/(25*C4)</f>
        <v>0</v>
      </c>
      <c r="N13" s="23"/>
      <c r="O13" s="144">
        <f>C8</f>
        <v>0</v>
      </c>
      <c r="P13" s="144">
        <f>C8/(1*C4)</f>
        <v>0</v>
      </c>
      <c r="Q13" s="19"/>
      <c r="R13" s="10"/>
      <c r="S13" s="18"/>
      <c r="T13" s="139">
        <f>(C9="YES")*('Percentage Data'!R21)+(C10="YES")*('Percentage Data'!R22)+(C11="YES")*('Percentage Data'!R23)</f>
        <v>0</v>
      </c>
      <c r="U13" s="140">
        <f>((((C9="YES")*('Percentage Data'!R21)+(C10="YES")*('Percentage Data'!R22)+(C11="YES")*('Percentage Data'!R23))/C4)/C14)/2</f>
        <v>0</v>
      </c>
      <c r="V13" s="10"/>
      <c r="W13" s="142">
        <f>(C9="YES")*('Percentage Data'!R21)+(C10="YES")*('Percentage Data'!R22)+(C11="YES")*('Percentage Data'!R23)</f>
        <v>0</v>
      </c>
      <c r="X13" s="143">
        <f>((W13/C4)/C15)/2</f>
        <v>0</v>
      </c>
      <c r="Y13" s="19"/>
      <c r="Z13" s="10"/>
      <c r="AB13" s="51">
        <f>T13</f>
        <v>0</v>
      </c>
      <c r="AC13" s="51">
        <f>AB13</f>
        <v>0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</row>
    <row r="14" spans="1:84" x14ac:dyDescent="0.25">
      <c r="A14" s="10"/>
      <c r="B14" s="28" t="s">
        <v>100</v>
      </c>
      <c r="C14" s="22">
        <v>44</v>
      </c>
      <c r="D14" s="10"/>
      <c r="E14" s="18"/>
      <c r="F14" s="139"/>
      <c r="G14" s="140"/>
      <c r="H14" s="10"/>
      <c r="I14" s="142"/>
      <c r="J14" s="143"/>
      <c r="K14" s="23"/>
      <c r="L14" s="136"/>
      <c r="M14" s="136"/>
      <c r="N14" s="23"/>
      <c r="O14" s="144"/>
      <c r="P14" s="144"/>
      <c r="Q14" s="19"/>
      <c r="R14" s="10"/>
      <c r="S14" s="18"/>
      <c r="T14" s="139"/>
      <c r="U14" s="140" t="e">
        <f>((((#REF!="YES")*('Percentage Data'!AC4)+(#REF!="YES")*('Percentage Data'!AC5)+(#REF!="YES")*('Percentage Data'!AC6))/#REF!)/#REF!)/2</f>
        <v>#REF!</v>
      </c>
      <c r="V14" s="10"/>
      <c r="W14" s="142"/>
      <c r="X14" s="143" t="e">
        <f>((W9/#REF!)/C5)/2</f>
        <v>#REF!</v>
      </c>
      <c r="Y14" s="19"/>
      <c r="Z14" s="10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</row>
    <row r="15" spans="1:84" x14ac:dyDescent="0.25">
      <c r="A15" s="10"/>
      <c r="B15" s="28" t="s">
        <v>101</v>
      </c>
      <c r="C15" s="22">
        <v>25</v>
      </c>
      <c r="D15" s="10"/>
      <c r="E15" s="18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9"/>
      <c r="R15" s="10"/>
      <c r="S15" s="18"/>
      <c r="T15" s="10"/>
      <c r="U15" s="10"/>
      <c r="V15" s="10"/>
      <c r="W15" s="10"/>
      <c r="X15" s="10"/>
      <c r="Y15" s="19"/>
      <c r="Z15" s="10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</row>
    <row r="16" spans="1:84" x14ac:dyDescent="0.25">
      <c r="A16" s="10"/>
      <c r="B16" s="28" t="s">
        <v>102</v>
      </c>
      <c r="C16" s="22">
        <v>1</v>
      </c>
      <c r="D16" s="10"/>
      <c r="E16" s="24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6"/>
      <c r="R16" s="10"/>
      <c r="S16" s="24"/>
      <c r="T16" s="25"/>
      <c r="U16" s="25"/>
      <c r="V16" s="25"/>
      <c r="W16" s="25"/>
      <c r="X16" s="25"/>
      <c r="Y16" s="26"/>
      <c r="Z16" s="10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</row>
    <row r="17" spans="1:84" x14ac:dyDescent="0.25">
      <c r="A17" s="10"/>
      <c r="B17" s="20"/>
      <c r="C17" s="31"/>
      <c r="D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R17" s="10"/>
      <c r="T17" s="10"/>
      <c r="U17" s="10"/>
      <c r="V17" s="10"/>
      <c r="W17" s="10"/>
      <c r="X17" s="10"/>
      <c r="Z17" s="10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</row>
    <row r="18" spans="1:84" x14ac:dyDescent="0.25">
      <c r="A18" s="10"/>
      <c r="B18" s="20"/>
      <c r="C18" s="31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S18" s="10"/>
      <c r="T18" s="32"/>
      <c r="U18" s="32"/>
      <c r="V18" s="32"/>
      <c r="W18" s="32"/>
      <c r="X18" s="52"/>
      <c r="Y18" s="10"/>
      <c r="Z18" s="10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</row>
    <row r="19" spans="1:84" x14ac:dyDescent="0.25">
      <c r="A19" s="10"/>
      <c r="B19" s="28" t="s">
        <v>103</v>
      </c>
      <c r="C19" s="33" t="s">
        <v>104</v>
      </c>
      <c r="D19" s="33" t="s">
        <v>204</v>
      </c>
      <c r="E19" s="10"/>
      <c r="F19" s="10"/>
      <c r="G19" s="27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32"/>
      <c r="U19" s="32"/>
      <c r="V19" s="32"/>
      <c r="W19" s="32"/>
      <c r="X19" s="52"/>
      <c r="Y19" s="10"/>
      <c r="Z19" s="10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</row>
    <row r="20" spans="1:84" x14ac:dyDescent="0.25">
      <c r="A20" s="10"/>
      <c r="B20" s="14" t="s">
        <v>47</v>
      </c>
      <c r="C20" s="34">
        <f>'Crew Sheet'!I9</f>
        <v>0</v>
      </c>
      <c r="D20" s="34">
        <f>2</f>
        <v>2</v>
      </c>
      <c r="E20" s="10"/>
      <c r="F20" s="10"/>
      <c r="G20" s="27"/>
      <c r="H20" s="10"/>
      <c r="I20" s="10"/>
      <c r="J20" s="10"/>
      <c r="K20" s="10"/>
      <c r="L20" s="10"/>
      <c r="M20" s="27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</row>
    <row r="21" spans="1:84" x14ac:dyDescent="0.25">
      <c r="A21" s="10"/>
      <c r="B21" s="14" t="s">
        <v>50</v>
      </c>
      <c r="C21" s="34">
        <f>'Crew Sheet'!I10</f>
        <v>0</v>
      </c>
      <c r="D21" s="34">
        <f>2</f>
        <v>2</v>
      </c>
      <c r="E21" s="10"/>
      <c r="F21" s="10"/>
      <c r="G21" s="27"/>
      <c r="H21" s="10"/>
      <c r="I21" s="10"/>
      <c r="J21" s="10"/>
      <c r="K21" s="10"/>
      <c r="L21" s="10"/>
      <c r="M21" s="27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</row>
    <row r="22" spans="1:84" x14ac:dyDescent="0.25">
      <c r="A22" s="10"/>
      <c r="B22" s="14" t="s">
        <v>52</v>
      </c>
      <c r="C22" s="34">
        <f>'Crew Sheet'!I11</f>
        <v>0</v>
      </c>
      <c r="D22" s="34">
        <f>X13</f>
        <v>0</v>
      </c>
      <c r="E22" s="10"/>
      <c r="F22" s="10"/>
      <c r="G22" s="27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</row>
    <row r="23" spans="1:84" x14ac:dyDescent="0.25">
      <c r="A23" s="10"/>
      <c r="B23" s="14" t="s">
        <v>105</v>
      </c>
      <c r="C23" s="34">
        <f>'Crew Sheet'!I12</f>
        <v>0</v>
      </c>
      <c r="D23" s="34">
        <f>J13</f>
        <v>0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</row>
    <row r="24" spans="1:84" x14ac:dyDescent="0.25">
      <c r="A24" s="10"/>
      <c r="B24" s="14" t="s">
        <v>32</v>
      </c>
      <c r="C24" s="34">
        <f>'Crew Sheet'!I13</f>
        <v>0</v>
      </c>
      <c r="D24" s="34">
        <f>M13</f>
        <v>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</row>
    <row r="25" spans="1:84" x14ac:dyDescent="0.25">
      <c r="A25" s="10"/>
      <c r="B25" s="14" t="s">
        <v>57</v>
      </c>
      <c r="C25" s="34">
        <f>'Crew Sheet'!I14</f>
        <v>0</v>
      </c>
      <c r="D25" s="34">
        <f>G13</f>
        <v>0</v>
      </c>
      <c r="E25" s="10"/>
      <c r="F25" s="2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29"/>
      <c r="U25" s="10"/>
      <c r="V25" s="10"/>
      <c r="W25" s="10"/>
      <c r="X25" s="10"/>
      <c r="Y25" s="10"/>
      <c r="Z25" s="10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</row>
    <row r="26" spans="1:84" x14ac:dyDescent="0.25">
      <c r="A26" s="10"/>
      <c r="B26" s="14" t="s">
        <v>58</v>
      </c>
      <c r="C26" s="34">
        <f>'Crew Sheet'!I15</f>
        <v>0</v>
      </c>
      <c r="D26" s="34">
        <f>P13</f>
        <v>0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</row>
    <row r="27" spans="1:84" x14ac:dyDescent="0.25">
      <c r="A27" s="10"/>
      <c r="B27" s="30" t="s">
        <v>106</v>
      </c>
      <c r="C27" s="35">
        <f>SUM(C20:C26)</f>
        <v>0</v>
      </c>
      <c r="D27" s="87">
        <f>ROUND(SUM(D20:D26),0)</f>
        <v>4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</row>
    <row r="28" spans="1:84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</row>
    <row r="29" spans="1:84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</row>
    <row r="30" spans="1:84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</row>
    <row r="31" spans="1:84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</row>
    <row r="32" spans="1:84" x14ac:dyDescent="0.25">
      <c r="A32" s="10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</row>
    <row r="33" spans="7:84" x14ac:dyDescent="0.25">
      <c r="G33" s="36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</row>
    <row r="34" spans="7:84" x14ac:dyDescent="0.25">
      <c r="G34" s="36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</row>
    <row r="35" spans="7:84" x14ac:dyDescent="0.25">
      <c r="I35" s="5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</row>
    <row r="36" spans="7:84" x14ac:dyDescent="0.25"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</row>
    <row r="37" spans="7:84" x14ac:dyDescent="0.25"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</row>
    <row r="38" spans="7:84" x14ac:dyDescent="0.25"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</row>
    <row r="39" spans="7:84" x14ac:dyDescent="0.25"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</row>
    <row r="40" spans="7:84" x14ac:dyDescent="0.25"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</row>
    <row r="41" spans="7:84" x14ac:dyDescent="0.25"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</row>
    <row r="42" spans="7:84" x14ac:dyDescent="0.25"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</row>
    <row r="43" spans="7:84" x14ac:dyDescent="0.25"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</row>
    <row r="44" spans="7:84" x14ac:dyDescent="0.25"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</row>
    <row r="45" spans="7:84" x14ac:dyDescent="0.25"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</row>
  </sheetData>
  <mergeCells count="30">
    <mergeCell ref="X13:X14"/>
    <mergeCell ref="T11:T12"/>
    <mergeCell ref="U11:U12"/>
    <mergeCell ref="W11:W12"/>
    <mergeCell ref="X11:X12"/>
    <mergeCell ref="T13:T14"/>
    <mergeCell ref="U13:U14"/>
    <mergeCell ref="W13:W14"/>
    <mergeCell ref="T9:X10"/>
    <mergeCell ref="F11:F12"/>
    <mergeCell ref="G11:G12"/>
    <mergeCell ref="I11:I12"/>
    <mergeCell ref="J11:J12"/>
    <mergeCell ref="L11:L12"/>
    <mergeCell ref="M11:M12"/>
    <mergeCell ref="O11:O12"/>
    <mergeCell ref="P11:P12"/>
    <mergeCell ref="E2:F2"/>
    <mergeCell ref="H2:I2"/>
    <mergeCell ref="E3:F4"/>
    <mergeCell ref="H3:I4"/>
    <mergeCell ref="M13:M14"/>
    <mergeCell ref="F9:P10"/>
    <mergeCell ref="F13:F14"/>
    <mergeCell ref="G13:G14"/>
    <mergeCell ref="I13:I14"/>
    <mergeCell ref="J13:J14"/>
    <mergeCell ref="L13:L14"/>
    <mergeCell ref="O13:O14"/>
    <mergeCell ref="P13:P14"/>
  </mergeCells>
  <dataValidations count="1">
    <dataValidation type="list" allowBlank="1" showInputMessage="1" showErrorMessage="1" sqref="D2:D3" xr:uid="{CFAF4404-B7B5-47BD-961D-C4750C30F24F}">
      <formula1>#REF!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51D881-DAFE-4D88-9B91-42499BC999B7}">
          <x14:formula1>
            <xm:f>'Percentage Data'!$P$18:$P$19</xm:f>
          </x14:formula1>
          <xm:sqref>C9:C11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C264D-8BC6-4E54-8717-270E09370D99}">
  <sheetPr>
    <tabColor theme="5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3F629-6359-4D9B-8C77-35FBAB003A7B}">
  <sheetPr>
    <tabColor theme="4"/>
  </sheetPr>
  <dimension ref="A1:Y50"/>
  <sheetViews>
    <sheetView workbookViewId="0">
      <selection activeCell="A41" sqref="A41"/>
    </sheetView>
  </sheetViews>
  <sheetFormatPr defaultRowHeight="12.75" x14ac:dyDescent="0.2"/>
  <cols>
    <col min="1" max="1" width="20.28515625" style="38" customWidth="1"/>
    <col min="2" max="2" width="20" style="38" hidden="1" customWidth="1"/>
    <col min="3" max="3" width="25.28515625" style="38" hidden="1" customWidth="1"/>
    <col min="4" max="4" width="20.28515625" style="38" customWidth="1"/>
    <col min="5" max="5" width="21.5703125" style="38" customWidth="1"/>
    <col min="6" max="6" width="14.42578125" style="38" customWidth="1"/>
    <col min="7" max="7" width="18.28515625" style="38" hidden="1" customWidth="1"/>
    <col min="8" max="8" width="13" style="38" hidden="1" customWidth="1"/>
    <col min="9" max="9" width="25.28515625" style="38" customWidth="1"/>
    <col min="10" max="10" width="9.140625" style="38"/>
    <col min="11" max="11" width="16.140625" style="38" customWidth="1"/>
    <col min="12" max="12" width="15.5703125" style="38" customWidth="1"/>
    <col min="13" max="13" width="9.140625" style="38" customWidth="1"/>
    <col min="14" max="14" width="21.7109375" style="38" bestFit="1" customWidth="1"/>
    <col min="15" max="15" width="11.140625" style="38" customWidth="1"/>
    <col min="16" max="17" width="9.140625" style="38"/>
    <col min="18" max="20" width="9.140625" style="38" customWidth="1"/>
    <col min="21" max="21" width="13.28515625" style="38" customWidth="1"/>
    <col min="22" max="23" width="12.5703125" style="38" customWidth="1"/>
    <col min="24" max="24" width="14.7109375" style="38" customWidth="1"/>
    <col min="25" max="25" width="16" style="38" customWidth="1"/>
    <col min="26" max="16384" width="9.140625" style="38"/>
  </cols>
  <sheetData>
    <row r="1" spans="1:25" ht="15.75" x14ac:dyDescent="0.2">
      <c r="A1" s="37" t="s">
        <v>0</v>
      </c>
      <c r="B1" s="37" t="s">
        <v>158</v>
      </c>
      <c r="C1" s="37" t="s">
        <v>159</v>
      </c>
      <c r="D1" s="37" t="s">
        <v>107</v>
      </c>
      <c r="E1" s="37" t="s">
        <v>108</v>
      </c>
      <c r="F1" s="37" t="s">
        <v>109</v>
      </c>
      <c r="G1" s="37" t="s">
        <v>110</v>
      </c>
      <c r="H1" s="37" t="s">
        <v>1</v>
      </c>
      <c r="I1" s="37" t="s">
        <v>166</v>
      </c>
      <c r="J1" s="37"/>
      <c r="K1" s="37" t="s">
        <v>3</v>
      </c>
      <c r="L1" s="37" t="s">
        <v>4</v>
      </c>
      <c r="M1" s="37" t="s">
        <v>5</v>
      </c>
      <c r="N1" s="38" t="s">
        <v>148</v>
      </c>
      <c r="O1" s="38" t="s">
        <v>153</v>
      </c>
      <c r="R1" s="66" t="s">
        <v>160</v>
      </c>
      <c r="S1" s="66" t="s">
        <v>162</v>
      </c>
      <c r="T1" s="38" t="s">
        <v>199</v>
      </c>
      <c r="U1" s="66" t="s">
        <v>167</v>
      </c>
      <c r="V1" s="66" t="s">
        <v>169</v>
      </c>
      <c r="W1" s="66" t="s">
        <v>168</v>
      </c>
      <c r="X1" s="38" t="s">
        <v>200</v>
      </c>
      <c r="Y1" s="38" t="s">
        <v>201</v>
      </c>
    </row>
    <row r="2" spans="1:25" ht="15.75" x14ac:dyDescent="0.2">
      <c r="A2" s="39" t="s">
        <v>171</v>
      </c>
      <c r="B2" s="39" t="s">
        <v>162</v>
      </c>
      <c r="C2" s="39" t="s">
        <v>161</v>
      </c>
      <c r="D2" s="39" t="s">
        <v>193</v>
      </c>
      <c r="E2" s="39" t="s">
        <v>5</v>
      </c>
      <c r="F2" s="39" t="s">
        <v>28</v>
      </c>
      <c r="G2" s="39"/>
      <c r="H2" s="37" t="str">
        <f>IFERROR(VLOOKUP($A2,'Crew Sheet'!#REF!,2,FALSE),"")</f>
        <v/>
      </c>
      <c r="I2" s="39" t="str">
        <f>IF($T2&lt;&gt;"x","",
IF(TRIM($D2)="P","Picking",
IF(AND(COUNTIF($F2,"*Unload*"),COUNTIF($D2,"*U*")),"Unloading",
IF(AND(COUNTIF($D2,"*L*"),COUNTIFS($I$1:I1,"Loading",$T$1:T1,"x")&lt;ROUNDUP(_xlfn.XLOOKUP("Loaders",'Crew Sheet'!$H:$H,'Crew Sheet'!$L:$L),0)),"Loading",
IF(AND(COUNTIF($D2,"*R*"),COUNTIFS($I$1:I1,"Receiving",$T$1:T1,"x")&lt;ROUNDUP(SUM('Crew Sheet'!$L$10:$L$11),0)),"Receiving",
IF(AND(COUNTIF($F2,"*Pick*"),COUNTIF($D2,"*P*")),"Picking",
IF(AND(COUNTIF($F2,"*Task*"),COUNTIF($D2,"*T*")),"Replen/Pallets/Putaways",
IF(COUNTIF($D2,"*T*"),"Replen/Pallets/Putaways","Lead/Extra"))))))))</f>
        <v/>
      </c>
      <c r="J2" s="37"/>
      <c r="K2" s="39" t="s">
        <v>10</v>
      </c>
      <c r="L2" s="39" t="s">
        <v>11</v>
      </c>
      <c r="M2" s="37" t="s">
        <v>12</v>
      </c>
      <c r="N2" s="38" t="s">
        <v>149</v>
      </c>
      <c r="O2" s="38">
        <v>25</v>
      </c>
      <c r="R2" s="66" t="s">
        <v>161</v>
      </c>
      <c r="S2" s="66" t="s">
        <v>15</v>
      </c>
      <c r="T2" s="38">
        <f>IFERROR(VLOOKUP($A2,'Crew Sheet'!$A:$C,2,FALSE),"")</f>
        <v>1</v>
      </c>
      <c r="U2" s="38">
        <f t="shared" ref="U2:U44" si="0">IF($T2&lt;&gt;"x",-999,IF(IFERROR(ISNUMBER(SEARCH("P",$D2)),FALSE),100,0)+IF(IFERROR(ISNUMBER(SEARCH("Pick",$F2)),FALSE),1000,0)+IF($G2="Above Average",100,IF($G2="Average",50,0)))</f>
        <v>-999</v>
      </c>
      <c r="V2" s="38">
        <f t="shared" ref="V2:V46" si="1">IF($T2&lt;&gt;"x",-999,IF(IFERROR(ISNUMBER(SEARCH("L",$D2)),FALSE),100,0)+IF(IFERROR(ISNUMBER(SEARCH("Load",$F2)),FALSE),1000,0)+IF($G2="Above Average",100,IF($G2="Average",50,0)))</f>
        <v>-999</v>
      </c>
      <c r="W2" s="38">
        <f t="shared" ref="W2:W44" si="2">IF($T2&lt;&gt;"x",-999,IF(IFERROR(ISNUMBER(SEARCH("T",$D2)),FALSE),100,0)+IF(OR(IFERROR(ISNUMBER(SEARCH("Task",$F2)),FALSE),IFERROR(ISNUMBER(SEARCH("Putaway",$F2)),FALSE),IFERROR(ISNUMBER(SEARCH("Replen",$F2)),FALSE),IFERROR(ISNUMBER(SEARCH("Full Pallet",$F2)),FALSE)),1000,0)+IF($G2="Above Average",100,IF($G2="Average",50,0)))</f>
        <v>-999</v>
      </c>
      <c r="X2" s="38">
        <f t="shared" ref="X2:X46" si="3">IF($T2&lt;&gt;"x",-999,IF(IFERROR(ISNUMBER(SEARCH("U",$D2)),FALSE),100,0)+IF(IFERROR(ISNUMBER(SEARCH("Unload",$F2)),FALSE),1000,0)+IF($G2="Above Average",100,IF($G2="Average",50,0)))</f>
        <v>-999</v>
      </c>
      <c r="Y2" s="38">
        <f t="shared" ref="Y2:Y44" si="4">IF($T2&lt;&gt;"x",-999,IF(IFERROR(ISNUMBER(SEARCH("R",$D2)),FALSE),100,0)+IF(IFERROR(ISNUMBER(SEARCH("Receiv",$F2)),FALSE),1000,0)+IF($G2="Above Average",100,IF($G2="Average",50,0)))</f>
        <v>-999</v>
      </c>
    </row>
    <row r="3" spans="1:25" ht="15.75" x14ac:dyDescent="0.2">
      <c r="A3" s="39" t="s">
        <v>56</v>
      </c>
      <c r="B3" s="39" t="s">
        <v>162</v>
      </c>
      <c r="C3" s="39" t="s">
        <v>161</v>
      </c>
      <c r="D3" s="39" t="s">
        <v>194</v>
      </c>
      <c r="E3" s="39" t="s">
        <v>5</v>
      </c>
      <c r="F3" s="39" t="s">
        <v>28</v>
      </c>
      <c r="G3" s="39"/>
      <c r="H3" s="37" t="str">
        <f>IFERROR(VLOOKUP($A3,'Crew Sheet'!#REF!,2,FALSE),"")</f>
        <v/>
      </c>
      <c r="I3" s="39" t="str">
        <f>IF($T3&lt;&gt;"x","",
IF(TRIM($D3)="P","Picking",
IF(AND(COUNTIF($F3,"*Unload*"),COUNTIF($D3,"*U*")),"Unloading",
IF(AND(COUNTIF($D3,"*L*"),COUNTIFS($I$1:I2,"Loading",$T$1:T2,"x")&lt;ROUNDUP(_xlfn.XLOOKUP("Loaders",'Crew Sheet'!$H:$H,'Crew Sheet'!$L:$L),0)),"Loading",
IF(AND(COUNTIF($D3,"*R*"),COUNTIFS($I$1:I2,"Receiving",$T$1:T2,"x")&lt;ROUNDUP(SUM('Crew Sheet'!$L$10:$L$11),0)),"Receiving",
IF(AND(COUNTIF($F3,"*Pick*"),COUNTIF($D3,"*P*")),"Picking",
IF(AND(COUNTIF($F3,"*Task*"),COUNTIF($D3,"*T*")),"Replen/Pallets/Putaways",
IF(COUNTIF($D3,"*T*"),"Replen/Pallets/Putaways","Lead/Extra"))))))))</f>
        <v/>
      </c>
      <c r="J3" s="37"/>
      <c r="K3" s="39" t="s">
        <v>18</v>
      </c>
      <c r="L3" s="39" t="s">
        <v>19</v>
      </c>
      <c r="M3" s="37"/>
      <c r="N3" s="38" t="s">
        <v>150</v>
      </c>
      <c r="O3" s="38">
        <v>185</v>
      </c>
      <c r="T3" s="38">
        <f>IFERROR(VLOOKUP($A3,'Crew Sheet'!$A:$C,2,FALSE),"")</f>
        <v>1</v>
      </c>
      <c r="U3" s="38">
        <f t="shared" si="0"/>
        <v>-999</v>
      </c>
      <c r="V3" s="38">
        <f t="shared" si="1"/>
        <v>-999</v>
      </c>
      <c r="W3" s="38">
        <f t="shared" si="2"/>
        <v>-999</v>
      </c>
      <c r="X3" s="38">
        <f t="shared" si="3"/>
        <v>-999</v>
      </c>
      <c r="Y3" s="38">
        <f t="shared" si="4"/>
        <v>-999</v>
      </c>
    </row>
    <row r="4" spans="1:25" ht="15.75" x14ac:dyDescent="0.2">
      <c r="A4" s="39" t="s">
        <v>174</v>
      </c>
      <c r="B4" s="39" t="s">
        <v>162</v>
      </c>
      <c r="C4" s="39" t="s">
        <v>161</v>
      </c>
      <c r="D4" s="39" t="s">
        <v>193</v>
      </c>
      <c r="E4" s="39" t="s">
        <v>5</v>
      </c>
      <c r="F4" s="39" t="s">
        <v>28</v>
      </c>
      <c r="G4" s="39"/>
      <c r="H4" s="37" t="str">
        <f>IFERROR(VLOOKUP($A4,'Crew Sheet'!#REF!,2,FALSE),"")</f>
        <v/>
      </c>
      <c r="I4" s="39" t="str">
        <f>IF($T4&lt;&gt;"x","",
IF(TRIM($D4)="P","Picking",
IF(AND(COUNTIF($F4,"*Unload*"),COUNTIF($D4,"*U*")),"Unloading",
IF(AND(COUNTIF($D4,"*L*"),COUNTIFS($I$1:I3,"Loading",$T$1:T3,"x")&lt;ROUNDUP(_xlfn.XLOOKUP("Loaders",'Crew Sheet'!$H:$H,'Crew Sheet'!$L:$L),0)),"Loading",
IF(AND(COUNTIF($D4,"*R*"),COUNTIFS($I$1:I3,"Receiving",$T$1:T3,"x")&lt;ROUNDUP(SUM('Crew Sheet'!$L$10:$L$11),0)),"Receiving",
IF(AND(COUNTIF($F4,"*Pick*"),COUNTIF($D4,"*P*")),"Picking",
IF(AND(COUNTIF($F4,"*Task*"),COUNTIF($D4,"*T*")),"Replen/Pallets/Putaways",
IF(COUNTIF($D4,"*T*"),"Replen/Pallets/Putaways","Lead/Extra"))))))))</f>
        <v/>
      </c>
      <c r="J4" s="37"/>
      <c r="K4" s="39" t="s">
        <v>23</v>
      </c>
      <c r="L4" s="39" t="s">
        <v>24</v>
      </c>
      <c r="M4" s="37"/>
      <c r="N4" s="38" t="s">
        <v>151</v>
      </c>
      <c r="O4" s="38">
        <v>1</v>
      </c>
      <c r="T4" s="38">
        <f>IFERROR(VLOOKUP($A4,'Crew Sheet'!$A:$C,2,FALSE),"")</f>
        <v>1</v>
      </c>
      <c r="U4" s="38">
        <f t="shared" si="0"/>
        <v>-999</v>
      </c>
      <c r="V4" s="38">
        <f t="shared" si="1"/>
        <v>-999</v>
      </c>
      <c r="W4" s="38">
        <f t="shared" si="2"/>
        <v>-999</v>
      </c>
      <c r="X4" s="38">
        <f t="shared" si="3"/>
        <v>-999</v>
      </c>
      <c r="Y4" s="38">
        <f t="shared" si="4"/>
        <v>-999</v>
      </c>
    </row>
    <row r="5" spans="1:25" ht="15.75" x14ac:dyDescent="0.2">
      <c r="A5" s="39" t="s">
        <v>183</v>
      </c>
      <c r="B5" s="39" t="s">
        <v>162</v>
      </c>
      <c r="C5" s="39" t="s">
        <v>161</v>
      </c>
      <c r="D5" s="39" t="s">
        <v>193</v>
      </c>
      <c r="E5" s="39" t="s">
        <v>5</v>
      </c>
      <c r="F5" s="39" t="s">
        <v>28</v>
      </c>
      <c r="G5" s="39"/>
      <c r="H5" s="37" t="str">
        <f>IFERROR(VLOOKUP($A5,'Crew Sheet'!#REF!,2,FALSE),"")</f>
        <v/>
      </c>
      <c r="I5" s="39" t="str">
        <f>IF($T5&lt;&gt;"x","",
IF(TRIM($D5)="P","Picking",
IF(AND(COUNTIF($F5,"*Unload*"),COUNTIF($D5,"*U*")),"Unloading",
IF(AND(COUNTIF($D5,"*L*"),COUNTIFS($I$1:I4,"Loading",$T$1:T4,"x")&lt;ROUNDUP(_xlfn.XLOOKUP("Loaders",'Crew Sheet'!$H:$H,'Crew Sheet'!$L:$L),0)),"Loading",
IF(AND(COUNTIF($D5,"*R*"),COUNTIFS($I$1:I4,"Receiving",$T$1:T4,"x")&lt;ROUNDUP(SUM('Crew Sheet'!$L$10:$L$11),0)),"Receiving",
IF(AND(COUNTIF($F5,"*Pick*"),COUNTIF($D5,"*P*")),"Picking",
IF(AND(COUNTIF($F5,"*Task*"),COUNTIF($D5,"*T*")),"Replen/Pallets/Putaways",
IF(COUNTIF($D5,"*T*"),"Replen/Pallets/Putaways","Lead/Extra"))))))))</f>
        <v/>
      </c>
      <c r="J5" s="37"/>
      <c r="K5" s="39" t="s">
        <v>28</v>
      </c>
      <c r="L5" s="37"/>
      <c r="M5" s="37"/>
      <c r="N5" s="38" t="s">
        <v>152</v>
      </c>
      <c r="T5" s="38">
        <f>IFERROR(VLOOKUP($A5,'Crew Sheet'!$A:$C,2,FALSE),"")</f>
        <v>1</v>
      </c>
      <c r="U5" s="38">
        <f t="shared" si="0"/>
        <v>-999</v>
      </c>
      <c r="V5" s="38">
        <f t="shared" si="1"/>
        <v>-999</v>
      </c>
      <c r="W5" s="38">
        <f t="shared" si="2"/>
        <v>-999</v>
      </c>
      <c r="X5" s="38">
        <f t="shared" si="3"/>
        <v>-999</v>
      </c>
      <c r="Y5" s="38">
        <f t="shared" si="4"/>
        <v>-999</v>
      </c>
    </row>
    <row r="6" spans="1:25" ht="15.75" x14ac:dyDescent="0.2">
      <c r="A6" s="39" t="s">
        <v>71</v>
      </c>
      <c r="B6" s="39" t="s">
        <v>162</v>
      </c>
      <c r="C6" s="39" t="s">
        <v>160</v>
      </c>
      <c r="D6" s="39" t="s">
        <v>193</v>
      </c>
      <c r="E6" s="39" t="s">
        <v>5</v>
      </c>
      <c r="F6" s="39" t="s">
        <v>28</v>
      </c>
      <c r="G6" s="39"/>
      <c r="H6" s="37" t="str">
        <f>IFERROR(VLOOKUP($A6,'Crew Sheet'!#REF!,2,FALSE),"")</f>
        <v/>
      </c>
      <c r="I6" s="39" t="str">
        <f>IF($T6&lt;&gt;"x","",
IF(TRIM($D6)="P","Picking",
IF(AND(COUNTIF($F6,"*Unload*"),COUNTIF($D6,"*U*")),"Unloading",
IF(AND(COUNTIF($D6,"*L*"),COUNTIFS($I$1:I5,"Loading",$T$1:T5,"x")&lt;ROUNDUP(_xlfn.XLOOKUP("Loaders",'Crew Sheet'!$H:$H,'Crew Sheet'!$L:$L),0)),"Loading",
IF(AND(COUNTIF($D6,"*R*"),COUNTIFS($I$1:I5,"Receiving",$T$1:T5,"x")&lt;ROUNDUP(SUM('Crew Sheet'!$L$10:$L$11),0)),"Receiving",
IF(AND(COUNTIF($F6,"*Pick*"),COUNTIF($D6,"*P*")),"Picking",
IF(AND(COUNTIF($F6,"*Task*"),COUNTIF($D6,"*T*")),"Replen/Pallets/Putaways",
IF(COUNTIF($D6,"*T*"),"Replen/Pallets/Putaways","Lead/Extra"))))))))</f>
        <v/>
      </c>
      <c r="J6" s="37"/>
      <c r="K6" s="39" t="s">
        <v>197</v>
      </c>
      <c r="L6" s="37"/>
      <c r="M6" s="37"/>
      <c r="T6" s="38">
        <f>IFERROR(VLOOKUP($A6,'Crew Sheet'!$A:$C,2,FALSE),"")</f>
        <v>1</v>
      </c>
      <c r="U6" s="38">
        <f t="shared" si="0"/>
        <v>-999</v>
      </c>
      <c r="V6" s="38">
        <f t="shared" si="1"/>
        <v>-999</v>
      </c>
      <c r="W6" s="38">
        <f t="shared" si="2"/>
        <v>-999</v>
      </c>
      <c r="X6" s="38">
        <f t="shared" si="3"/>
        <v>-999</v>
      </c>
      <c r="Y6" s="38">
        <f t="shared" si="4"/>
        <v>-999</v>
      </c>
    </row>
    <row r="7" spans="1:25" ht="15.75" x14ac:dyDescent="0.2">
      <c r="A7" s="39" t="s">
        <v>144</v>
      </c>
      <c r="B7" s="39" t="s">
        <v>162</v>
      </c>
      <c r="C7" s="39" t="s">
        <v>161</v>
      </c>
      <c r="D7" s="39" t="s">
        <v>164</v>
      </c>
      <c r="E7" s="39" t="s">
        <v>5</v>
      </c>
      <c r="F7" s="39" t="s">
        <v>10</v>
      </c>
      <c r="G7" s="39"/>
      <c r="H7" s="37" t="str">
        <f>IFERROR(VLOOKUP($A7,'Crew Sheet'!#REF!,2,FALSE),"")</f>
        <v/>
      </c>
      <c r="I7" s="39" t="str">
        <f>IF($T7&lt;&gt;"x","",
IF(TRIM($D7)="P","Picking",
IF(AND(COUNTIF($F7,"*Unload*"),COUNTIF($D7,"*U*")),"Unloading",
IF(AND(COUNTIF($D7,"*L*"),COUNTIFS($I$1:I6,"Loading",$T$1:T6,"x")&lt;ROUNDUP(_xlfn.XLOOKUP("Loaders",'Crew Sheet'!$H:$H,'Crew Sheet'!$L:$L),0)),"Loading",
IF(AND(COUNTIF($D7,"*R*"),COUNTIFS($I$1:I6,"Receiving",$T$1:T6,"x")&lt;ROUNDUP(SUM('Crew Sheet'!$L$10:$L$11),0)),"Receiving",
IF(AND(COUNTIF($F7,"*Pick*"),COUNTIF($D7,"*P*")),"Picking",
IF(AND(COUNTIF($F7,"*Task*"),COUNTIF($D7,"*T*")),"Replen/Pallets/Putaways",
IF(COUNTIF($D7,"*T*"),"Replen/Pallets/Putaways","Lead/Extra"))))))))</f>
        <v/>
      </c>
      <c r="J7" s="37"/>
      <c r="K7" s="39"/>
      <c r="L7" s="37"/>
      <c r="M7" s="37"/>
      <c r="T7" s="38">
        <f>IFERROR(VLOOKUP($A7,'Crew Sheet'!$A:$C,2,FALSE),"")</f>
        <v>1</v>
      </c>
      <c r="U7" s="38">
        <f t="shared" si="0"/>
        <v>-999</v>
      </c>
      <c r="V7" s="38">
        <f t="shared" si="1"/>
        <v>-999</v>
      </c>
      <c r="W7" s="38">
        <f t="shared" si="2"/>
        <v>-999</v>
      </c>
      <c r="X7" s="38">
        <f t="shared" si="3"/>
        <v>-999</v>
      </c>
      <c r="Y7" s="38">
        <f t="shared" si="4"/>
        <v>-999</v>
      </c>
    </row>
    <row r="8" spans="1:25" ht="15.75" x14ac:dyDescent="0.2">
      <c r="A8" s="39" t="s">
        <v>188</v>
      </c>
      <c r="B8" s="39" t="s">
        <v>162</v>
      </c>
      <c r="C8" s="39" t="s">
        <v>161</v>
      </c>
      <c r="D8" s="39" t="s">
        <v>164</v>
      </c>
      <c r="E8" s="39" t="s">
        <v>12</v>
      </c>
      <c r="F8" s="39" t="s">
        <v>10</v>
      </c>
      <c r="G8" s="39"/>
      <c r="H8" s="37" t="str">
        <f>IFERROR(VLOOKUP($A8,'Crew Sheet'!#REF!,2,FALSE),"")</f>
        <v/>
      </c>
      <c r="I8" s="39" t="str">
        <f>IF($T8&lt;&gt;"x","",
IF(TRIM($D8)="P","Picking",
IF(AND(COUNTIF($F8,"*Unload*"),COUNTIF($D8,"*U*")),"Unloading",
IF(AND(COUNTIF($D8,"*L*"),COUNTIFS($I$1:I7,"Loading",$T$1:T7,"x")&lt;ROUNDUP(_xlfn.XLOOKUP("Loaders",'Crew Sheet'!$H:$H,'Crew Sheet'!$L:$L),0)),"Loading",
IF(AND(COUNTIF($D8,"*R*"),COUNTIFS($I$1:I7,"Receiving",$T$1:T7,"x")&lt;ROUNDUP(SUM('Crew Sheet'!$L$10:$L$11),0)),"Receiving",
IF(AND(COUNTIF($F8,"*Pick*"),COUNTIF($D8,"*P*")),"Picking",
IF(AND(COUNTIF($F8,"*Task*"),COUNTIF($D8,"*T*")),"Replen/Pallets/Putaways",
IF(COUNTIF($D8,"*T*"),"Replen/Pallets/Putaways","Lead/Extra"))))))))</f>
        <v/>
      </c>
      <c r="J8" s="37"/>
      <c r="K8" s="37"/>
      <c r="L8" s="37"/>
      <c r="M8" s="37"/>
      <c r="N8" s="64" t="s">
        <v>68</v>
      </c>
      <c r="O8" s="69" t="s">
        <v>164</v>
      </c>
      <c r="T8" s="38">
        <f>IFERROR(VLOOKUP($A8,'Crew Sheet'!$A:$C,2,FALSE),"")</f>
        <v>1</v>
      </c>
      <c r="U8" s="38">
        <f t="shared" si="0"/>
        <v>-999</v>
      </c>
      <c r="V8" s="38">
        <f t="shared" si="1"/>
        <v>-999</v>
      </c>
      <c r="W8" s="38">
        <f t="shared" si="2"/>
        <v>-999</v>
      </c>
      <c r="X8" s="38">
        <f t="shared" si="3"/>
        <v>-999</v>
      </c>
      <c r="Y8" s="38">
        <f t="shared" si="4"/>
        <v>-999</v>
      </c>
    </row>
    <row r="9" spans="1:25" ht="15.75" x14ac:dyDescent="0.2">
      <c r="A9" s="39" t="s">
        <v>22</v>
      </c>
      <c r="B9" s="39" t="s">
        <v>162</v>
      </c>
      <c r="C9" s="39" t="s">
        <v>160</v>
      </c>
      <c r="D9" s="39" t="s">
        <v>189</v>
      </c>
      <c r="E9" s="39" t="s">
        <v>5</v>
      </c>
      <c r="F9" s="39" t="s">
        <v>10</v>
      </c>
      <c r="G9" s="39"/>
      <c r="H9" s="37" t="str">
        <f>IFERROR(VLOOKUP($A9,'Crew Sheet'!#REF!,2,FALSE),"")</f>
        <v/>
      </c>
      <c r="I9" s="39" t="str">
        <f>IF($T9&lt;&gt;"x","",
IF(TRIM($D9)="P","Picking",
IF(AND(COUNTIF($F9,"*Unload*"),COUNTIF($D9,"*U*")),"Unloading",
IF(AND(COUNTIF($D9,"*L*"),COUNTIFS($I$1:I8,"Loading",$T$1:T8,"x")&lt;ROUNDUP(_xlfn.XLOOKUP("Loaders",'Crew Sheet'!$H:$H,'Crew Sheet'!$L:$L),0)),"Loading",
IF(AND(COUNTIF($D9,"*R*"),COUNTIFS($I$1:I8,"Receiving",$T$1:T8,"x")&lt;ROUNDUP(SUM('Crew Sheet'!$L$10:$L$11),0)),"Receiving",
IF(AND(COUNTIF($F9,"*Pick*"),COUNTIF($D9,"*P*")),"Picking",
IF(AND(COUNTIF($F9,"*Task*"),COUNTIF($D9,"*T*")),"Replen/Pallets/Putaways",
IF(COUNTIF($D9,"*T*"),"Replen/Pallets/Putaways","Lead/Extra"))))))))</f>
        <v/>
      </c>
      <c r="J9" s="37"/>
      <c r="K9" s="37"/>
      <c r="L9" s="37"/>
      <c r="M9" s="37"/>
      <c r="N9" s="71" t="s">
        <v>154</v>
      </c>
      <c r="O9" s="71" t="s">
        <v>186</v>
      </c>
      <c r="T9" s="38">
        <f>IFERROR(VLOOKUP($A9,'Crew Sheet'!$A:$C,2,FALSE),"")</f>
        <v>1</v>
      </c>
      <c r="U9" s="38">
        <f t="shared" si="0"/>
        <v>-999</v>
      </c>
      <c r="V9" s="38">
        <f t="shared" si="1"/>
        <v>-999</v>
      </c>
      <c r="W9" s="38">
        <f t="shared" si="2"/>
        <v>-999</v>
      </c>
      <c r="X9" s="38">
        <f t="shared" si="3"/>
        <v>-999</v>
      </c>
      <c r="Y9" s="38">
        <f t="shared" si="4"/>
        <v>-999</v>
      </c>
    </row>
    <row r="10" spans="1:25" ht="15.75" x14ac:dyDescent="0.2">
      <c r="A10" s="39" t="s">
        <v>51</v>
      </c>
      <c r="B10" s="39" t="s">
        <v>162</v>
      </c>
      <c r="C10" s="39" t="s">
        <v>160</v>
      </c>
      <c r="D10" s="39" t="s">
        <v>164</v>
      </c>
      <c r="E10" s="39" t="s">
        <v>5</v>
      </c>
      <c r="F10" s="39" t="s">
        <v>10</v>
      </c>
      <c r="G10" s="39"/>
      <c r="H10" s="37" t="str">
        <f>IFERROR(VLOOKUP($A10,'Crew Sheet'!#REF!,2,FALSE),"")</f>
        <v/>
      </c>
      <c r="I10" s="39" t="str">
        <f>IF($T10&lt;&gt;"x","",
IF(TRIM($D10)="P","Picking",
IF(AND(COUNTIF($F10,"*Unload*"),COUNTIF($D10,"*U*")),"Unloading",
IF(AND(COUNTIF($D10,"*L*"),COUNTIFS($I$1:I9,"Loading",$T$1:T9,"x")&lt;ROUNDUP(_xlfn.XLOOKUP("Loaders",'Crew Sheet'!$H:$H,'Crew Sheet'!$L:$L),0)),"Loading",
IF(AND(COUNTIF($D10,"*R*"),COUNTIFS($I$1:I9,"Receiving",$T$1:T9,"x")&lt;ROUNDUP(SUM('Crew Sheet'!$L$10:$L$11),0)),"Receiving",
IF(AND(COUNTIF($F10,"*Pick*"),COUNTIF($D10,"*P*")),"Picking",
IF(AND(COUNTIF($F10,"*Task*"),COUNTIF($D10,"*T*")),"Replen/Pallets/Putaways",
IF(COUNTIF($D10,"*T*"),"Replen/Pallets/Putaways","Lead/Extra"))))))))</f>
        <v/>
      </c>
      <c r="J10" s="37"/>
      <c r="K10" s="37"/>
      <c r="L10" s="37"/>
      <c r="M10" s="37"/>
      <c r="N10" s="72" t="s">
        <v>155</v>
      </c>
      <c r="O10" s="72" t="s">
        <v>187</v>
      </c>
      <c r="T10" s="38">
        <f>IFERROR(VLOOKUP($A10,'Crew Sheet'!$A:$C,2,FALSE),"")</f>
        <v>1</v>
      </c>
      <c r="U10" s="38">
        <f t="shared" si="0"/>
        <v>-999</v>
      </c>
      <c r="V10" s="38">
        <f t="shared" si="1"/>
        <v>-999</v>
      </c>
      <c r="W10" s="38">
        <f t="shared" si="2"/>
        <v>-999</v>
      </c>
      <c r="X10" s="38">
        <f t="shared" si="3"/>
        <v>-999</v>
      </c>
      <c r="Y10" s="38">
        <f t="shared" si="4"/>
        <v>-999</v>
      </c>
    </row>
    <row r="11" spans="1:25" ht="15.75" x14ac:dyDescent="0.2">
      <c r="A11" s="39" t="s">
        <v>173</v>
      </c>
      <c r="B11" s="39" t="s">
        <v>162</v>
      </c>
      <c r="C11" s="39" t="s">
        <v>161</v>
      </c>
      <c r="D11" s="39" t="s">
        <v>164</v>
      </c>
      <c r="E11" s="39" t="s">
        <v>5</v>
      </c>
      <c r="F11" s="39" t="s">
        <v>10</v>
      </c>
      <c r="G11" s="39"/>
      <c r="H11" s="37" t="str">
        <f>IFERROR(VLOOKUP($A11,'Crew Sheet'!#REF!,2,FALSE),"")</f>
        <v/>
      </c>
      <c r="I11" s="39" t="str">
        <f>IF($T11&lt;&gt;"x","",
IF(TRIM($D11)="P","Picking",
IF(AND(COUNTIF($F11,"*Unload*"),COUNTIF($D11,"*U*")),"Unloading",
IF(AND(COUNTIF($D11,"*L*"),COUNTIFS($I$1:I10,"Loading",$T$1:T10,"x")&lt;ROUNDUP(_xlfn.XLOOKUP("Loaders",'Crew Sheet'!$H:$H,'Crew Sheet'!$L:$L),0)),"Loading",
IF(AND(COUNTIF($D11,"*R*"),COUNTIFS($I$1:I10,"Receiving",$T$1:T10,"x")&lt;ROUNDUP(SUM('Crew Sheet'!$L$10:$L$11),0)),"Receiving",
IF(AND(COUNTIF($F11,"*Pick*"),COUNTIF($D11,"*P*")),"Picking",
IF(AND(COUNTIF($F11,"*Task*"),COUNTIF($D11,"*T*")),"Replen/Pallets/Putaways",
IF(COUNTIF($D11,"*T*"),"Replen/Pallets/Putaways","Lead/Extra"))))))))</f>
        <v/>
      </c>
      <c r="J11" s="37"/>
      <c r="K11" s="37"/>
      <c r="L11" s="37"/>
      <c r="M11" s="37"/>
      <c r="N11" s="65" t="s">
        <v>184</v>
      </c>
      <c r="O11" s="65" t="s">
        <v>185</v>
      </c>
      <c r="T11" s="38">
        <f>IFERROR(VLOOKUP($A11,'Crew Sheet'!$A:$C,2,FALSE),"")</f>
        <v>1</v>
      </c>
      <c r="U11" s="38">
        <f t="shared" si="0"/>
        <v>-999</v>
      </c>
      <c r="V11" s="38">
        <f t="shared" si="1"/>
        <v>-999</v>
      </c>
      <c r="W11" s="38">
        <f t="shared" si="2"/>
        <v>-999</v>
      </c>
      <c r="X11" s="38">
        <f t="shared" si="3"/>
        <v>-999</v>
      </c>
      <c r="Y11" s="38">
        <f t="shared" si="4"/>
        <v>-999</v>
      </c>
    </row>
    <row r="12" spans="1:25" ht="15.75" x14ac:dyDescent="0.2">
      <c r="A12" s="67" t="s">
        <v>180</v>
      </c>
      <c r="B12" s="67" t="s">
        <v>162</v>
      </c>
      <c r="C12" s="67" t="s">
        <v>161</v>
      </c>
      <c r="D12" s="39" t="s">
        <v>164</v>
      </c>
      <c r="E12" s="39" t="s">
        <v>12</v>
      </c>
      <c r="F12" s="39" t="s">
        <v>10</v>
      </c>
      <c r="G12" s="39"/>
      <c r="H12" s="37" t="str">
        <f>IFERROR(VLOOKUP($A12,'Crew Sheet'!#REF!,2,FALSE),"")</f>
        <v/>
      </c>
      <c r="I12" s="39" t="str">
        <f>IF($T12&lt;&gt;"x","",
IF(TRIM($D12)="P","Picking",
IF(AND(COUNTIF($F12,"*Unload*"),COUNTIF($D12,"*U*")),"Unloading",
IF(AND(COUNTIF($D12,"*L*"),COUNTIFS($I$1:I11,"Loading",$T$1:T11,"x")&lt;ROUNDUP(_xlfn.XLOOKUP("Loaders",'Crew Sheet'!$H:$H,'Crew Sheet'!$L:$L),0)),"Loading",
IF(AND(COUNTIF($D12,"*R*"),COUNTIFS($I$1:I11,"Receiving",$T$1:T11,"x")&lt;ROUNDUP(SUM('Crew Sheet'!$L$10:$L$11),0)),"Receiving",
IF(AND(COUNTIF($F12,"*Pick*"),COUNTIF($D12,"*P*")),"Picking",
IF(AND(COUNTIF($F12,"*Task*"),COUNTIF($D12,"*T*")),"Replen/Pallets/Putaways",
IF(COUNTIF($D12,"*T*"),"Replen/Pallets/Putaways","Lead/Extra"))))))))</f>
        <v/>
      </c>
      <c r="J12" s="37"/>
      <c r="K12" s="37"/>
      <c r="L12" s="37"/>
      <c r="M12" s="37"/>
      <c r="N12" s="63" t="s">
        <v>156</v>
      </c>
      <c r="O12" s="68" t="s">
        <v>165</v>
      </c>
      <c r="T12" s="38">
        <f>IFERROR(VLOOKUP($A12,'Crew Sheet'!$A:$C,2,FALSE),"")</f>
        <v>1</v>
      </c>
      <c r="U12" s="38">
        <f t="shared" si="0"/>
        <v>-999</v>
      </c>
      <c r="V12" s="38">
        <f t="shared" si="1"/>
        <v>-999</v>
      </c>
      <c r="W12" s="38">
        <f t="shared" si="2"/>
        <v>-999</v>
      </c>
      <c r="X12" s="38">
        <f t="shared" si="3"/>
        <v>-999</v>
      </c>
      <c r="Y12" s="38">
        <f t="shared" si="4"/>
        <v>-999</v>
      </c>
    </row>
    <row r="13" spans="1:25" ht="15.75" x14ac:dyDescent="0.2">
      <c r="A13" s="39" t="s">
        <v>60</v>
      </c>
      <c r="B13" s="39" t="s">
        <v>162</v>
      </c>
      <c r="C13" s="39" t="s">
        <v>160</v>
      </c>
      <c r="D13" s="39" t="s">
        <v>164</v>
      </c>
      <c r="E13" s="39" t="s">
        <v>5</v>
      </c>
      <c r="F13" s="39" t="s">
        <v>10</v>
      </c>
      <c r="G13" s="39"/>
      <c r="H13" s="37" t="str">
        <f>IFERROR(VLOOKUP($A13,'Crew Sheet'!#REF!,2,FALSE),"")</f>
        <v/>
      </c>
      <c r="I13" s="39" t="str">
        <f>IF($T13&lt;&gt;"x","",
IF(TRIM($D13)="P","Picking",
IF(AND(COUNTIF($F13,"*Unload*"),COUNTIF($D13,"*U*")),"Unloading",
IF(AND(COUNTIF($D13,"*L*"),COUNTIFS($I$1:I12,"Loading",$T$1:T12,"x")&lt;ROUNDUP(_xlfn.XLOOKUP("Loaders",'Crew Sheet'!$H:$H,'Crew Sheet'!$L:$L),0)),"Loading",
IF(AND(COUNTIF($D13,"*R*"),COUNTIFS($I$1:I12,"Receiving",$T$1:T12,"x")&lt;ROUNDUP(SUM('Crew Sheet'!$L$10:$L$11),0)),"Receiving",
IF(AND(COUNTIF($F13,"*Pick*"),COUNTIF($D13,"*P*")),"Picking",
IF(AND(COUNTIF($F13,"*Task*"),COUNTIF($D13,"*T*")),"Replen/Pallets/Putaways",
IF(COUNTIF($D13,"*T*"),"Replen/Pallets/Putaways","Lead/Extra"))))))))</f>
        <v/>
      </c>
      <c r="J13" s="37"/>
      <c r="K13" s="37"/>
      <c r="L13" s="37"/>
      <c r="M13" s="37"/>
      <c r="N13" s="63" t="s">
        <v>157</v>
      </c>
      <c r="T13" s="38">
        <f>IFERROR(VLOOKUP($A13,'Crew Sheet'!$A:$C,2,FALSE),"")</f>
        <v>1</v>
      </c>
      <c r="U13" s="38">
        <f t="shared" si="0"/>
        <v>-999</v>
      </c>
      <c r="V13" s="38">
        <f t="shared" si="1"/>
        <v>-999</v>
      </c>
      <c r="W13" s="38">
        <f t="shared" si="2"/>
        <v>-999</v>
      </c>
      <c r="X13" s="38">
        <f t="shared" si="3"/>
        <v>-999</v>
      </c>
      <c r="Y13" s="38">
        <f t="shared" si="4"/>
        <v>-999</v>
      </c>
    </row>
    <row r="14" spans="1:25" ht="15.75" x14ac:dyDescent="0.2">
      <c r="A14" s="39" t="s">
        <v>66</v>
      </c>
      <c r="B14" s="39" t="s">
        <v>162</v>
      </c>
      <c r="C14" s="39" t="s">
        <v>160</v>
      </c>
      <c r="D14" s="39" t="s">
        <v>164</v>
      </c>
      <c r="E14" s="39" t="s">
        <v>12</v>
      </c>
      <c r="F14" s="39" t="s">
        <v>10</v>
      </c>
      <c r="G14" s="39"/>
      <c r="H14" s="37" t="str">
        <f>IFERROR(VLOOKUP($A14,'Crew Sheet'!#REF!,2,FALSE),"")</f>
        <v/>
      </c>
      <c r="I14" s="39" t="str">
        <f>IF($T14&lt;&gt;"x","",
IF(TRIM($D14)="P","Picking",
IF(AND(COUNTIF($F14,"*Unload*"),COUNTIF($D14,"*U*")),"Unloading",
IF(AND(COUNTIF($D14,"*L*"),COUNTIFS($I$1:I13,"Loading",$T$1:T13,"x")&lt;ROUNDUP(_xlfn.XLOOKUP("Loaders",'Crew Sheet'!$H:$H,'Crew Sheet'!$L:$L),0)),"Loading",
IF(AND(COUNTIF($D14,"*R*"),COUNTIFS($I$1:I13,"Receiving",$T$1:T13,"x")&lt;ROUNDUP(SUM('Crew Sheet'!$L$10:$L$11),0)),"Receiving",
IF(AND(COUNTIF($F14,"*Pick*"),COUNTIF($D14,"*P*")),"Picking",
IF(AND(COUNTIF($F14,"*Task*"),COUNTIF($D14,"*T*")),"Replen/Pallets/Putaways",
IF(COUNTIF($D14,"*T*"),"Replen/Pallets/Putaways","Lead/Extra"))))))))</f>
        <v/>
      </c>
      <c r="J14" s="37"/>
      <c r="K14" s="37"/>
      <c r="L14" s="37"/>
      <c r="M14" s="37"/>
      <c r="N14" s="63" t="s">
        <v>207</v>
      </c>
      <c r="T14" s="38">
        <f>IFERROR(VLOOKUP($A14,'Crew Sheet'!$A:$C,2,FALSE),"")</f>
        <v>1</v>
      </c>
      <c r="U14" s="38">
        <f t="shared" si="0"/>
        <v>-999</v>
      </c>
      <c r="V14" s="38">
        <f t="shared" si="1"/>
        <v>-999</v>
      </c>
      <c r="W14" s="38">
        <f t="shared" si="2"/>
        <v>-999</v>
      </c>
      <c r="X14" s="38">
        <f t="shared" si="3"/>
        <v>-999</v>
      </c>
      <c r="Y14" s="38">
        <f t="shared" si="4"/>
        <v>-999</v>
      </c>
    </row>
    <row r="15" spans="1:25" ht="15.75" x14ac:dyDescent="0.2">
      <c r="A15" s="67" t="s">
        <v>175</v>
      </c>
      <c r="B15" s="67" t="s">
        <v>162</v>
      </c>
      <c r="C15" s="67" t="s">
        <v>161</v>
      </c>
      <c r="D15" s="39" t="s">
        <v>164</v>
      </c>
      <c r="E15" s="39" t="s">
        <v>12</v>
      </c>
      <c r="F15" s="39" t="s">
        <v>10</v>
      </c>
      <c r="G15" s="39"/>
      <c r="H15" s="37" t="str">
        <f>IFERROR(VLOOKUP($A15,'Crew Sheet'!#REF!,2,FALSE),"")</f>
        <v/>
      </c>
      <c r="I15" s="39" t="str">
        <f>IF($T15&lt;&gt;"x","",
IF(TRIM($D15)="P","Picking",
IF(AND(COUNTIF($F15,"*Unload*"),COUNTIF($D15,"*U*")),"Unloading",
IF(AND(COUNTIF($D15,"*L*"),COUNTIFS($I$1:I14,"Loading",$T$1:T14,"x")&lt;ROUNDUP(_xlfn.XLOOKUP("Loaders",'Crew Sheet'!$H:$H,'Crew Sheet'!$L:$L),0)),"Loading",
IF(AND(COUNTIF($D15,"*R*"),COUNTIFS($I$1:I14,"Receiving",$T$1:T14,"x")&lt;ROUNDUP(SUM('Crew Sheet'!$L$10:$L$11),0)),"Receiving",
IF(AND(COUNTIF($F15,"*Pick*"),COUNTIF($D15,"*P*")),"Picking",
IF(AND(COUNTIF($F15,"*Task*"),COUNTIF($D15,"*T*")),"Replen/Pallets/Putaways",
IF(COUNTIF($D15,"*T*"),"Replen/Pallets/Putaways","Lead/Extra"))))))))</f>
        <v/>
      </c>
      <c r="J15" s="37"/>
      <c r="K15" s="37"/>
      <c r="L15" s="37"/>
      <c r="M15" s="37"/>
      <c r="T15" s="38" t="str">
        <f>IFERROR(VLOOKUP($A15,'Crew Sheet'!$A:$C,2,FALSE),"")</f>
        <v/>
      </c>
      <c r="U15" s="38">
        <f t="shared" si="0"/>
        <v>-999</v>
      </c>
      <c r="V15" s="38">
        <f t="shared" si="1"/>
        <v>-999</v>
      </c>
      <c r="W15" s="38">
        <f t="shared" si="2"/>
        <v>-999</v>
      </c>
      <c r="X15" s="38">
        <f t="shared" si="3"/>
        <v>-999</v>
      </c>
      <c r="Y15" s="38">
        <f t="shared" si="4"/>
        <v>-999</v>
      </c>
    </row>
    <row r="16" spans="1:25" ht="15.75" x14ac:dyDescent="0.2">
      <c r="A16" s="67" t="s">
        <v>145</v>
      </c>
      <c r="B16" s="67" t="s">
        <v>162</v>
      </c>
      <c r="C16" s="67" t="s">
        <v>161</v>
      </c>
      <c r="D16" s="39" t="s">
        <v>182</v>
      </c>
      <c r="E16" s="39" t="s">
        <v>5</v>
      </c>
      <c r="F16" s="39" t="s">
        <v>10</v>
      </c>
      <c r="G16" s="39"/>
      <c r="H16" s="70" t="str">
        <f>IFERROR(VLOOKUP($A16,'Crew Sheet'!#REF!,2,FALSE),"")</f>
        <v/>
      </c>
      <c r="I16" s="39" t="str">
        <f>IF($T16&lt;&gt;"x","",
IF(TRIM($D16)="P","Picking",
IF(AND(COUNTIF($F16,"*Unload*"),COUNTIF($D16,"*U*")),"Unloading",
IF(AND(COUNTIF($D16,"*L*"),COUNTIFS($I$1:I15,"Loading",$T$1:T15,"x")&lt;ROUNDUP(_xlfn.XLOOKUP("Loaders",'Crew Sheet'!$H:$H,'Crew Sheet'!$L:$L),0)),"Loading",
IF(AND(COUNTIF($D16,"*R*"),COUNTIFS($I$1:I15,"Receiving",$T$1:T15,"x")&lt;ROUNDUP(SUM('Crew Sheet'!$L$10:$L$11),0)),"Receiving",
IF(AND(COUNTIF($F16,"*Pick*"),COUNTIF($D16,"*P*")),"Picking",
IF(AND(COUNTIF($F16,"*Task*"),COUNTIF($D16,"*T*")),"Replen/Pallets/Putaways",
IF(COUNTIF($D16,"*T*"),"Replen/Pallets/Putaways","Lead/Extra"))))))))</f>
        <v/>
      </c>
      <c r="J16" s="37"/>
      <c r="K16" s="37"/>
      <c r="L16" s="37"/>
      <c r="M16" s="37"/>
      <c r="T16" s="38">
        <f>IFERROR(VLOOKUP($A16,'Crew Sheet'!$A:$C,2,FALSE),"")</f>
        <v>1</v>
      </c>
      <c r="U16" s="38">
        <f t="shared" si="0"/>
        <v>-999</v>
      </c>
      <c r="V16" s="38">
        <f t="shared" si="1"/>
        <v>-999</v>
      </c>
      <c r="W16" s="38">
        <f t="shared" si="2"/>
        <v>-999</v>
      </c>
      <c r="X16" s="38">
        <f t="shared" si="3"/>
        <v>-999</v>
      </c>
      <c r="Y16" s="38">
        <f t="shared" si="4"/>
        <v>-999</v>
      </c>
    </row>
    <row r="17" spans="1:25" ht="15.75" x14ac:dyDescent="0.2">
      <c r="A17" s="39" t="s">
        <v>67</v>
      </c>
      <c r="B17" s="39" t="s">
        <v>162</v>
      </c>
      <c r="C17" s="39" t="s">
        <v>161</v>
      </c>
      <c r="D17" s="39" t="s">
        <v>164</v>
      </c>
      <c r="E17" s="39" t="s">
        <v>12</v>
      </c>
      <c r="F17" s="39" t="s">
        <v>10</v>
      </c>
      <c r="G17" s="39"/>
      <c r="H17" s="37" t="str">
        <f>IFERROR(VLOOKUP($A17,'Crew Sheet'!#REF!,2,FALSE),"")</f>
        <v/>
      </c>
      <c r="I17" s="39" t="str">
        <f>IF($T17&lt;&gt;"x","",
IF(TRIM($D17)="P","Picking",
IF(AND(COUNTIF($F17,"*Unload*"),COUNTIF($D17,"*U*")),"Unloading",
IF(AND(COUNTIF($D17,"*L*"),COUNTIFS($I$1:I16,"Loading",$T$1:T16,"x")&lt;ROUNDUP(_xlfn.XLOOKUP("Loaders",'Crew Sheet'!$H:$H,'Crew Sheet'!$L:$L),0)),"Loading",
IF(AND(COUNTIF($D17,"*R*"),COUNTIFS($I$1:I16,"Receiving",$T$1:T16,"x")&lt;ROUNDUP(SUM('Crew Sheet'!$L$10:$L$11),0)),"Receiving",
IF(AND(COUNTIF($F17,"*Pick*"),COUNTIF($D17,"*P*")),"Picking",
IF(AND(COUNTIF($F17,"*Task*"),COUNTIF($D17,"*T*")),"Replen/Pallets/Putaways",
IF(COUNTIF($D17,"*T*"),"Replen/Pallets/Putaways","Lead/Extra"))))))))</f>
        <v/>
      </c>
      <c r="J17" s="37"/>
      <c r="K17" s="37"/>
      <c r="L17" s="37"/>
      <c r="M17" s="37"/>
      <c r="T17" s="38">
        <f>IFERROR(VLOOKUP($A17,'Crew Sheet'!$A:$C,2,FALSE),"")</f>
        <v>1</v>
      </c>
      <c r="U17" s="38">
        <f t="shared" si="0"/>
        <v>-999</v>
      </c>
      <c r="V17" s="38">
        <f t="shared" si="1"/>
        <v>-999</v>
      </c>
      <c r="W17" s="38">
        <f t="shared" si="2"/>
        <v>-999</v>
      </c>
      <c r="X17" s="38">
        <f t="shared" si="3"/>
        <v>-999</v>
      </c>
      <c r="Y17" s="38">
        <f t="shared" si="4"/>
        <v>-999</v>
      </c>
    </row>
    <row r="18" spans="1:25" ht="15.75" x14ac:dyDescent="0.2">
      <c r="A18" s="39" t="s">
        <v>69</v>
      </c>
      <c r="B18" s="39" t="s">
        <v>162</v>
      </c>
      <c r="C18" s="39" t="s">
        <v>160</v>
      </c>
      <c r="D18" s="39" t="s">
        <v>189</v>
      </c>
      <c r="E18" s="39" t="s">
        <v>12</v>
      </c>
      <c r="F18" s="39" t="s">
        <v>10</v>
      </c>
      <c r="G18" s="39"/>
      <c r="H18" s="37" t="str">
        <f>IFERROR(VLOOKUP($A18,'Crew Sheet'!#REF!,2,FALSE),"")</f>
        <v/>
      </c>
      <c r="I18" s="39" t="str">
        <f>IF($T18&lt;&gt;"x","",
IF(TRIM($D18)="P","Picking",
IF(AND(COUNTIF($F18,"*Unload*"),COUNTIF($D18,"*U*")),"Unloading",
IF(AND(COUNTIF($D18,"*L*"),COUNTIFS($I$1:I17,"Loading",$T$1:T17,"x")&lt;ROUNDUP(_xlfn.XLOOKUP("Loaders",'Crew Sheet'!$H:$H,'Crew Sheet'!$L:$L),0)),"Loading",
IF(AND(COUNTIF($D18,"*R*"),COUNTIFS($I$1:I17,"Receiving",$T$1:T17,"x")&lt;ROUNDUP(SUM('Crew Sheet'!$L$10:$L$11),0)),"Receiving",
IF(AND(COUNTIF($F18,"*Pick*"),COUNTIF($D18,"*P*")),"Picking",
IF(AND(COUNTIF($F18,"*Task*"),COUNTIF($D18,"*T*")),"Replen/Pallets/Putaways",
IF(COUNTIF($D18,"*T*"),"Replen/Pallets/Putaways","Lead/Extra"))))))))</f>
        <v/>
      </c>
      <c r="J18" s="37"/>
      <c r="K18" s="37"/>
      <c r="L18" s="37"/>
      <c r="M18" s="37"/>
      <c r="T18" s="38">
        <f>IFERROR(VLOOKUP($A18,'Crew Sheet'!$A:$C,2,FALSE),"")</f>
        <v>1</v>
      </c>
      <c r="U18" s="38">
        <f t="shared" si="0"/>
        <v>-999</v>
      </c>
      <c r="V18" s="38">
        <f t="shared" si="1"/>
        <v>-999</v>
      </c>
      <c r="W18" s="38">
        <f t="shared" si="2"/>
        <v>-999</v>
      </c>
      <c r="X18" s="38">
        <f t="shared" si="3"/>
        <v>-999</v>
      </c>
      <c r="Y18" s="38">
        <f t="shared" si="4"/>
        <v>-999</v>
      </c>
    </row>
    <row r="19" spans="1:25" ht="15.75" x14ac:dyDescent="0.2">
      <c r="A19" s="39" t="s">
        <v>142</v>
      </c>
      <c r="B19" s="39" t="s">
        <v>162</v>
      </c>
      <c r="C19" s="39" t="s">
        <v>161</v>
      </c>
      <c r="D19" s="39" t="s">
        <v>164</v>
      </c>
      <c r="E19" s="39" t="s">
        <v>5</v>
      </c>
      <c r="F19" s="39" t="s">
        <v>10</v>
      </c>
      <c r="G19" s="39"/>
      <c r="H19" s="37" t="str">
        <f>IFERROR(VLOOKUP($A19,'Crew Sheet'!#REF!,2,FALSE),"")</f>
        <v/>
      </c>
      <c r="I19" s="39" t="str">
        <f>IF($T19&lt;&gt;"x","",
IF(TRIM($D19)="P","Picking",
IF(AND(COUNTIF($F19,"*Unload*"),COUNTIF($D19,"*U*")),"Unloading",
IF(AND(COUNTIF($D19,"*L*"),COUNTIFS($I$1:I18,"Loading",$T$1:T18,"x")&lt;ROUNDUP(_xlfn.XLOOKUP("Loaders",'Crew Sheet'!$H:$H,'Crew Sheet'!$L:$L),0)),"Loading",
IF(AND(COUNTIF($D19,"*R*"),COUNTIFS($I$1:I18,"Receiving",$T$1:T18,"x")&lt;ROUNDUP(SUM('Crew Sheet'!$L$10:$L$11),0)),"Receiving",
IF(AND(COUNTIF($F19,"*Pick*"),COUNTIF($D19,"*P*")),"Picking",
IF(AND(COUNTIF($F19,"*Task*"),COUNTIF($D19,"*T*")),"Replen/Pallets/Putaways",
IF(COUNTIF($D19,"*T*"),"Replen/Pallets/Putaways","Lead/Extra"))))))))</f>
        <v/>
      </c>
      <c r="J19" s="37"/>
      <c r="K19" s="37"/>
      <c r="L19" s="37"/>
      <c r="M19" s="37"/>
      <c r="T19" s="38">
        <f>IFERROR(VLOOKUP($A19,'Crew Sheet'!$A:$C,2,FALSE),"")</f>
        <v>1</v>
      </c>
      <c r="U19" s="38">
        <f t="shared" si="0"/>
        <v>-999</v>
      </c>
      <c r="V19" s="38">
        <f t="shared" si="1"/>
        <v>-999</v>
      </c>
      <c r="W19" s="38">
        <f t="shared" si="2"/>
        <v>-999</v>
      </c>
      <c r="X19" s="38">
        <f t="shared" si="3"/>
        <v>-999</v>
      </c>
      <c r="Y19" s="38">
        <f t="shared" si="4"/>
        <v>-999</v>
      </c>
    </row>
    <row r="20" spans="1:25" ht="15.75" x14ac:dyDescent="0.2">
      <c r="A20" s="39" t="s">
        <v>177</v>
      </c>
      <c r="B20" s="39" t="s">
        <v>162</v>
      </c>
      <c r="C20" s="39" t="s">
        <v>160</v>
      </c>
      <c r="D20" s="39" t="s">
        <v>189</v>
      </c>
      <c r="E20" s="39" t="s">
        <v>5</v>
      </c>
      <c r="F20" s="39" t="s">
        <v>10</v>
      </c>
      <c r="G20" s="39"/>
      <c r="H20" s="37" t="str">
        <f>IFERROR(VLOOKUP($A20,'Crew Sheet'!#REF!,2,FALSE),"")</f>
        <v/>
      </c>
      <c r="I20" s="39" t="str">
        <f>IF($T20&lt;&gt;"x","",
IF(TRIM($D20)="P","Picking",
IF(AND(COUNTIF($F20,"*Unload*"),COUNTIF($D20,"*U*")),"Unloading",
IF(AND(COUNTIF($D20,"*L*"),COUNTIFS($I$1:I19,"Loading",$T$1:T19,"x")&lt;ROUNDUP(_xlfn.XLOOKUP("Loaders",'Crew Sheet'!$H:$H,'Crew Sheet'!$L:$L),0)),"Loading",
IF(AND(COUNTIF($D20,"*R*"),COUNTIFS($I$1:I19,"Receiving",$T$1:T19,"x")&lt;ROUNDUP(SUM('Crew Sheet'!$L$10:$L$11),0)),"Receiving",
IF(AND(COUNTIF($F20,"*Pick*"),COUNTIF($D20,"*P*")),"Picking",
IF(AND(COUNTIF($F20,"*Task*"),COUNTIF($D20,"*T*")),"Replen/Pallets/Putaways",
IF(COUNTIF($D20,"*T*"),"Replen/Pallets/Putaways","Lead/Extra"))))))))</f>
        <v/>
      </c>
      <c r="J20" s="37"/>
      <c r="K20" s="37"/>
      <c r="L20" s="37"/>
      <c r="M20" s="37"/>
      <c r="T20" s="38">
        <f>IFERROR(VLOOKUP($A20,'Crew Sheet'!$A:$C,2,FALSE),"")</f>
        <v>1</v>
      </c>
      <c r="U20" s="38">
        <f t="shared" si="0"/>
        <v>-999</v>
      </c>
      <c r="V20" s="38">
        <f t="shared" si="1"/>
        <v>-999</v>
      </c>
      <c r="W20" s="38">
        <f t="shared" si="2"/>
        <v>-999</v>
      </c>
      <c r="X20" s="38">
        <f t="shared" si="3"/>
        <v>-999</v>
      </c>
      <c r="Y20" s="38">
        <f t="shared" si="4"/>
        <v>-999</v>
      </c>
    </row>
    <row r="21" spans="1:25" ht="15.75" x14ac:dyDescent="0.2">
      <c r="A21" s="39" t="s">
        <v>73</v>
      </c>
      <c r="B21" s="39" t="s">
        <v>162</v>
      </c>
      <c r="C21" s="39" t="s">
        <v>160</v>
      </c>
      <c r="D21" s="39" t="s">
        <v>189</v>
      </c>
      <c r="E21" s="39" t="s">
        <v>12</v>
      </c>
      <c r="F21" s="39" t="s">
        <v>10</v>
      </c>
      <c r="G21" s="39"/>
      <c r="H21" s="37" t="str">
        <f>IFERROR(VLOOKUP($A21,'Crew Sheet'!#REF!,2,FALSE),"")</f>
        <v/>
      </c>
      <c r="I21" s="39" t="str">
        <f>IF($T21&lt;&gt;"x","",
IF(TRIM($D21)="P","Picking",
IF(AND(COUNTIF($F21,"*Unload*"),COUNTIF($D21,"*U*")),"Unloading",
IF(AND(COUNTIF($D21,"*L*"),COUNTIFS($I$1:I20,"Loading",$T$1:T20,"x")&lt;ROUNDUP(_xlfn.XLOOKUP("Loaders",'Crew Sheet'!$H:$H,'Crew Sheet'!$L:$L),0)),"Loading",
IF(AND(COUNTIF($D21,"*R*"),COUNTIFS($I$1:I20,"Receiving",$T$1:T20,"x")&lt;ROUNDUP(SUM('Crew Sheet'!$L$10:$L$11),0)),"Receiving",
IF(AND(COUNTIF($F21,"*Pick*"),COUNTIF($D21,"*P*")),"Picking",
IF(AND(COUNTIF($F21,"*Task*"),COUNTIF($D21,"*T*")),"Replen/Pallets/Putaways",
IF(COUNTIF($D21,"*T*"),"Replen/Pallets/Putaways","Lead/Extra"))))))))</f>
        <v/>
      </c>
      <c r="J21" s="37"/>
      <c r="K21" s="37"/>
      <c r="L21" s="37"/>
      <c r="M21" s="37"/>
      <c r="T21" s="38">
        <f>IFERROR(VLOOKUP($A21,'Crew Sheet'!$A:$C,2,FALSE),"")</f>
        <v>1</v>
      </c>
      <c r="U21" s="38">
        <f t="shared" si="0"/>
        <v>-999</v>
      </c>
      <c r="V21" s="38">
        <f t="shared" si="1"/>
        <v>-999</v>
      </c>
      <c r="W21" s="38">
        <f t="shared" si="2"/>
        <v>-999</v>
      </c>
      <c r="X21" s="38">
        <f t="shared" si="3"/>
        <v>-999</v>
      </c>
      <c r="Y21" s="38">
        <f t="shared" si="4"/>
        <v>-999</v>
      </c>
    </row>
    <row r="22" spans="1:25" ht="15.75" x14ac:dyDescent="0.2">
      <c r="A22" s="39" t="s">
        <v>178</v>
      </c>
      <c r="B22" s="39" t="s">
        <v>162</v>
      </c>
      <c r="C22" s="39" t="s">
        <v>161</v>
      </c>
      <c r="D22" s="39" t="s">
        <v>164</v>
      </c>
      <c r="E22" s="39" t="s">
        <v>12</v>
      </c>
      <c r="F22" s="39" t="s">
        <v>10</v>
      </c>
      <c r="G22" s="39"/>
      <c r="H22" s="37" t="str">
        <f>IFERROR(VLOOKUP($A22,'Crew Sheet'!#REF!,2,FALSE),"")</f>
        <v/>
      </c>
      <c r="I22" s="39" t="str">
        <f>IF($T22&lt;&gt;"x","",
IF(TRIM($D22)="P","Picking",
IF(AND(COUNTIF($F22,"*Unload*"),COUNTIF($D22,"*U*")),"Unloading",
IF(AND(COUNTIF($D22,"*L*"),COUNTIFS($I$1:I21,"Loading",$T$1:T21,"x")&lt;ROUNDUP(_xlfn.XLOOKUP("Loaders",'Crew Sheet'!$H:$H,'Crew Sheet'!$L:$L),0)),"Loading",
IF(AND(COUNTIF($D22,"*R*"),COUNTIFS($I$1:I21,"Receiving",$T$1:T21,"x")&lt;ROUNDUP(SUM('Crew Sheet'!$L$10:$L$11),0)),"Receiving",
IF(AND(COUNTIF($F22,"*Pick*"),COUNTIF($D22,"*P*")),"Picking",
IF(AND(COUNTIF($F22,"*Task*"),COUNTIF($D22,"*T*")),"Replen/Pallets/Putaways",
IF(COUNTIF($D22,"*T*"),"Replen/Pallets/Putaways","Lead/Extra"))))))))</f>
        <v/>
      </c>
      <c r="J22" s="37"/>
      <c r="K22" s="37"/>
      <c r="L22" s="37"/>
      <c r="M22" s="37"/>
      <c r="T22" s="38">
        <f>IFERROR(VLOOKUP($A22,'Crew Sheet'!$A:$C,2,FALSE),"")</f>
        <v>1</v>
      </c>
      <c r="U22" s="38">
        <f t="shared" si="0"/>
        <v>-999</v>
      </c>
      <c r="V22" s="38">
        <f t="shared" si="1"/>
        <v>-999</v>
      </c>
      <c r="W22" s="38">
        <f t="shared" si="2"/>
        <v>-999</v>
      </c>
      <c r="X22" s="38">
        <f t="shared" si="3"/>
        <v>-999</v>
      </c>
      <c r="Y22" s="38">
        <f t="shared" si="4"/>
        <v>-999</v>
      </c>
    </row>
    <row r="23" spans="1:25" ht="15.75" x14ac:dyDescent="0.2">
      <c r="A23" s="39" t="s">
        <v>179</v>
      </c>
      <c r="B23" s="39" t="s">
        <v>162</v>
      </c>
      <c r="C23" s="39" t="s">
        <v>161</v>
      </c>
      <c r="D23" s="39" t="s">
        <v>164</v>
      </c>
      <c r="E23" s="39" t="s">
        <v>12</v>
      </c>
      <c r="F23" s="39" t="s">
        <v>10</v>
      </c>
      <c r="G23" s="39"/>
      <c r="H23" s="37" t="str">
        <f>IFERROR(VLOOKUP($A23,'Crew Sheet'!#REF!,2,FALSE),"")</f>
        <v/>
      </c>
      <c r="I23" s="39" t="str">
        <f>IF($T23&lt;&gt;"x","",
IF(TRIM($D23)="P","Picking",
IF(AND(COUNTIF($F23,"*Unload*"),COUNTIF($D23,"*U*")),"Unloading",
IF(AND(COUNTIF($D23,"*L*"),COUNTIFS($I$1:I22,"Loading",$T$1:T22,"x")&lt;ROUNDUP(_xlfn.XLOOKUP("Loaders",'Crew Sheet'!$H:$H,'Crew Sheet'!$L:$L),0)),"Loading",
IF(AND(COUNTIF($D23,"*R*"),COUNTIFS($I$1:I22,"Receiving",$T$1:T22,"x")&lt;ROUNDUP(SUM('Crew Sheet'!$L$10:$L$11),0)),"Receiving",
IF(AND(COUNTIF($F23,"*Pick*"),COUNTIF($D23,"*P*")),"Picking",
IF(AND(COUNTIF($F23,"*Task*"),COUNTIF($D23,"*T*")),"Replen/Pallets/Putaways",
IF(COUNTIF($D23,"*T*"),"Replen/Pallets/Putaways","Lead/Extra"))))))))</f>
        <v/>
      </c>
      <c r="J23" s="37"/>
      <c r="K23" s="37"/>
      <c r="L23" s="37"/>
      <c r="M23" s="37"/>
      <c r="T23" s="38">
        <f>IFERROR(VLOOKUP($A23,'Crew Sheet'!$A:$C,2,FALSE),"")</f>
        <v>1</v>
      </c>
      <c r="U23" s="38">
        <f t="shared" si="0"/>
        <v>-999</v>
      </c>
      <c r="V23" s="38">
        <f t="shared" si="1"/>
        <v>-999</v>
      </c>
      <c r="W23" s="38">
        <f t="shared" si="2"/>
        <v>-999</v>
      </c>
      <c r="X23" s="38">
        <f t="shared" si="3"/>
        <v>-999</v>
      </c>
      <c r="Y23" s="38">
        <f t="shared" si="4"/>
        <v>-999</v>
      </c>
    </row>
    <row r="24" spans="1:25" ht="15.75" x14ac:dyDescent="0.2">
      <c r="A24" s="39" t="s">
        <v>46</v>
      </c>
      <c r="B24" s="39" t="s">
        <v>162</v>
      </c>
      <c r="C24" s="39" t="s">
        <v>160</v>
      </c>
      <c r="D24" s="39" t="s">
        <v>186</v>
      </c>
      <c r="E24" s="39" t="s">
        <v>5</v>
      </c>
      <c r="F24" s="39" t="s">
        <v>23</v>
      </c>
      <c r="G24" s="39"/>
      <c r="H24" s="37" t="str">
        <f>IFERROR(VLOOKUP($A24,'Crew Sheet'!#REF!,2,FALSE),"")</f>
        <v/>
      </c>
      <c r="I24" s="39" t="str">
        <f>IF($T24&lt;&gt;"x","",
IF(TRIM($D24)="P","Picking",
IF(AND(COUNTIF($F24,"*Unload*"),COUNTIF($D24,"*U*")),"Unloading",
IF(AND(COUNTIF($D24,"*L*"),COUNTIFS($I$1:I23,"Loading",$T$1:T23,"x")&lt;ROUNDUP(_xlfn.XLOOKUP("Loaders",'Crew Sheet'!$H:$H,'Crew Sheet'!$L:$L),0)),"Loading",
IF(AND(COUNTIF($D24,"*R*"),COUNTIFS($I$1:I23,"Receiving",$T$1:T23,"x")&lt;ROUNDUP(SUM('Crew Sheet'!$L$10:$L$11),0)),"Receiving",
IF(AND(COUNTIF($F24,"*Pick*"),COUNTIF($D24,"*P*")),"Picking",
IF(AND(COUNTIF($F24,"*Task*"),COUNTIF($D24,"*T*")),"Replen/Pallets/Putaways",
IF(COUNTIF($D24,"*T*"),"Replen/Pallets/Putaways","Lead/Extra"))))))))</f>
        <v/>
      </c>
      <c r="J24" s="37"/>
      <c r="K24" s="37"/>
      <c r="L24" s="37"/>
      <c r="M24" s="37"/>
      <c r="T24" s="38">
        <f>IFERROR(VLOOKUP($A24,'Crew Sheet'!$A:$C,2,FALSE),"")</f>
        <v>1</v>
      </c>
      <c r="U24" s="38">
        <f t="shared" si="0"/>
        <v>-999</v>
      </c>
      <c r="V24" s="38">
        <f t="shared" si="1"/>
        <v>-999</v>
      </c>
      <c r="W24" s="38">
        <f t="shared" si="2"/>
        <v>-999</v>
      </c>
      <c r="X24" s="38">
        <f t="shared" si="3"/>
        <v>-999</v>
      </c>
      <c r="Y24" s="38">
        <f t="shared" si="4"/>
        <v>-999</v>
      </c>
    </row>
    <row r="25" spans="1:25" ht="15.75" x14ac:dyDescent="0.2">
      <c r="A25" s="39" t="s">
        <v>49</v>
      </c>
      <c r="B25" s="39" t="s">
        <v>162</v>
      </c>
      <c r="C25" s="39" t="s">
        <v>160</v>
      </c>
      <c r="D25" s="39" t="s">
        <v>192</v>
      </c>
      <c r="E25" s="39" t="s">
        <v>5</v>
      </c>
      <c r="F25" s="39" t="s">
        <v>23</v>
      </c>
      <c r="G25" s="39"/>
      <c r="H25" s="37" t="str">
        <f>IFERROR(VLOOKUP($A25,'Crew Sheet'!#REF!,2,FALSE),"")</f>
        <v/>
      </c>
      <c r="I25" s="39" t="str">
        <f>IF($T25&lt;&gt;"x","",
IF(TRIM($D25)="P","Picking",
IF(AND(COUNTIF($F25,"*Unload*"),COUNTIF($D25,"*U*")),"Unloading",
IF(AND(COUNTIF($D25,"*L*"),COUNTIFS($I$1:I24,"Loading",$T$1:T24,"x")&lt;ROUNDUP(_xlfn.XLOOKUP("Loaders",'Crew Sheet'!$H:$H,'Crew Sheet'!$L:$L),0)),"Loading",
IF(AND(COUNTIF($D25,"*R*"),COUNTIFS($I$1:I24,"Receiving",$T$1:T24,"x")&lt;ROUNDUP(SUM('Crew Sheet'!$L$10:$L$11),0)),"Receiving",
IF(AND(COUNTIF($F25,"*Pick*"),COUNTIF($D25,"*P*")),"Picking",
IF(AND(COUNTIF($F25,"*Task*"),COUNTIF($D25,"*T*")),"Replen/Pallets/Putaways",
IF(COUNTIF($D25,"*T*"),"Replen/Pallets/Putaways","Lead/Extra"))))))))</f>
        <v/>
      </c>
      <c r="J25" s="37"/>
      <c r="K25" s="37"/>
      <c r="L25" s="37"/>
      <c r="M25" s="37"/>
      <c r="T25" s="38">
        <f>IFERROR(VLOOKUP($A25,'Crew Sheet'!$A:$C,2,FALSE),"")</f>
        <v>1</v>
      </c>
      <c r="U25" s="38">
        <f t="shared" si="0"/>
        <v>-999</v>
      </c>
      <c r="V25" s="38">
        <f t="shared" si="1"/>
        <v>-999</v>
      </c>
      <c r="W25" s="38">
        <f t="shared" si="2"/>
        <v>-999</v>
      </c>
      <c r="X25" s="38">
        <f t="shared" si="3"/>
        <v>-999</v>
      </c>
      <c r="Y25" s="38">
        <f t="shared" si="4"/>
        <v>-999</v>
      </c>
    </row>
    <row r="26" spans="1:25" ht="15.75" x14ac:dyDescent="0.2">
      <c r="A26" s="39" t="s">
        <v>143</v>
      </c>
      <c r="B26" s="39" t="s">
        <v>162</v>
      </c>
      <c r="C26" s="39" t="s">
        <v>161</v>
      </c>
      <c r="D26" s="39" t="s">
        <v>192</v>
      </c>
      <c r="E26" s="39" t="s">
        <v>5</v>
      </c>
      <c r="F26" s="39" t="s">
        <v>23</v>
      </c>
      <c r="G26" s="39"/>
      <c r="H26" s="37" t="str">
        <f>IFERROR(VLOOKUP($A26,'Crew Sheet'!#REF!,2,FALSE),"")</f>
        <v/>
      </c>
      <c r="I26" s="39" t="str">
        <f>IF($T26&lt;&gt;"x","",
IF(TRIM($D26)="P","Picking",
IF(AND(COUNTIF($F26,"*Unload*"),COUNTIF($D26,"*U*")),"Unloading",
IF(AND(COUNTIF($D26,"*L*"),COUNTIFS($I$1:I25,"Loading",$T$1:T25,"x")&lt;ROUNDUP(_xlfn.XLOOKUP("Loaders",'Crew Sheet'!$H:$H,'Crew Sheet'!$L:$L),0)),"Loading",
IF(AND(COUNTIF($D26,"*R*"),COUNTIFS($I$1:I25,"Receiving",$T$1:T25,"x")&lt;ROUNDUP(SUM('Crew Sheet'!$L$10:$L$11),0)),"Receiving",
IF(AND(COUNTIF($F26,"*Pick*"),COUNTIF($D26,"*P*")),"Picking",
IF(AND(COUNTIF($F26,"*Task*"),COUNTIF($D26,"*T*")),"Replen/Pallets/Putaways",
IF(COUNTIF($D26,"*T*"),"Replen/Pallets/Putaways","Lead/Extra"))))))))</f>
        <v/>
      </c>
      <c r="J26" s="37"/>
      <c r="K26" s="37"/>
      <c r="L26" s="37"/>
      <c r="M26" s="37"/>
      <c r="T26" s="38">
        <f>IFERROR(VLOOKUP($A26,'Crew Sheet'!$A:$C,2,FALSE),"")</f>
        <v>1</v>
      </c>
      <c r="U26" s="38">
        <f t="shared" si="0"/>
        <v>-999</v>
      </c>
      <c r="V26" s="38">
        <f t="shared" si="1"/>
        <v>-999</v>
      </c>
      <c r="W26" s="38">
        <f t="shared" si="2"/>
        <v>-999</v>
      </c>
      <c r="X26" s="38">
        <f t="shared" si="3"/>
        <v>-999</v>
      </c>
      <c r="Y26" s="38">
        <f t="shared" si="4"/>
        <v>-999</v>
      </c>
    </row>
    <row r="27" spans="1:25" ht="15.75" x14ac:dyDescent="0.2">
      <c r="A27" s="39" t="s">
        <v>16</v>
      </c>
      <c r="B27" s="39" t="s">
        <v>162</v>
      </c>
      <c r="C27" s="39" t="s">
        <v>161</v>
      </c>
      <c r="D27" s="39" t="s">
        <v>189</v>
      </c>
      <c r="E27" s="39" t="s">
        <v>5</v>
      </c>
      <c r="F27" s="39" t="s">
        <v>197</v>
      </c>
      <c r="G27" s="39"/>
      <c r="H27" s="37" t="str">
        <f>IFERROR(VLOOKUP($A27,'Crew Sheet'!#REF!,2,FALSE),"")</f>
        <v/>
      </c>
      <c r="I27" s="39" t="str">
        <f>IF($T27&lt;&gt;"x","",
IF(TRIM($D27)="P","Picking",
IF(AND(COUNTIF($F27,"*Unload*"),COUNTIF($D27,"*U*")),"Unloading",
IF(AND(COUNTIF($D27,"*L*"),COUNTIFS($I$1:I26,"Loading",$T$1:T26,"x")&lt;ROUNDUP(_xlfn.XLOOKUP("Loaders",'Crew Sheet'!$H:$H,'Crew Sheet'!$L:$L),0)),"Loading",
IF(AND(COUNTIF($D27,"*R*"),COUNTIFS($I$1:I26,"Receiving",$T$1:T26,"x")&lt;ROUNDUP(SUM('Crew Sheet'!$L$10:$L$11),0)),"Receiving",
IF(AND(COUNTIF($F27,"*Pick*"),COUNTIF($D27,"*P*")),"Picking",
IF(AND(COUNTIF($F27,"*Task*"),COUNTIF($D27,"*T*")),"Replen/Pallets/Putaways",
IF(COUNTIF($D27,"*T*"),"Replen/Pallets/Putaways","Lead/Extra"))))))))</f>
        <v/>
      </c>
      <c r="J27" s="37"/>
      <c r="K27" s="37"/>
      <c r="L27" s="37"/>
      <c r="M27" s="37"/>
      <c r="T27" s="38">
        <f>IFERROR(VLOOKUP($A27,'Crew Sheet'!$A:$C,2,FALSE),"")</f>
        <v>1</v>
      </c>
      <c r="U27" s="38">
        <f t="shared" si="0"/>
        <v>-999</v>
      </c>
      <c r="V27" s="38">
        <f t="shared" si="1"/>
        <v>-999</v>
      </c>
      <c r="W27" s="38">
        <f t="shared" si="2"/>
        <v>-999</v>
      </c>
      <c r="X27" s="38">
        <f t="shared" si="3"/>
        <v>-999</v>
      </c>
      <c r="Y27" s="38">
        <f t="shared" si="4"/>
        <v>-999</v>
      </c>
    </row>
    <row r="28" spans="1:25" ht="15.75" x14ac:dyDescent="0.2">
      <c r="A28" s="39" t="s">
        <v>27</v>
      </c>
      <c r="B28" s="39" t="s">
        <v>162</v>
      </c>
      <c r="C28" s="39" t="s">
        <v>160</v>
      </c>
      <c r="D28" s="39" t="s">
        <v>189</v>
      </c>
      <c r="E28" s="39" t="s">
        <v>5</v>
      </c>
      <c r="F28" s="39" t="s">
        <v>197</v>
      </c>
      <c r="G28" s="39"/>
      <c r="H28" s="37" t="str">
        <f>IFERROR(VLOOKUP($A28,'Crew Sheet'!#REF!,2,FALSE),"")</f>
        <v/>
      </c>
      <c r="I28" s="39" t="str">
        <f>IF($T28&lt;&gt;"x","",
IF(TRIM($D28)="P","Picking",
IF(AND(COUNTIF($F28,"*Unload*"),COUNTIF($D28,"*U*")),"Unloading",
IF(AND(COUNTIF($D28,"*L*"),COUNTIFS($I$1:I27,"Loading",$T$1:T27,"x")&lt;ROUNDUP(_xlfn.XLOOKUP("Loaders",'Crew Sheet'!$H:$H,'Crew Sheet'!$L:$L),0)),"Loading",
IF(AND(COUNTIF($D28,"*R*"),COUNTIFS($I$1:I27,"Receiving",$T$1:T27,"x")&lt;ROUNDUP(SUM('Crew Sheet'!$L$10:$L$11),0)),"Receiving",
IF(AND(COUNTIF($F28,"*Pick*"),COUNTIF($D28,"*P*")),"Picking",
IF(AND(COUNTIF($F28,"*Task*"),COUNTIF($D28,"*T*")),"Replen/Pallets/Putaways",
IF(COUNTIF($D28,"*T*"),"Replen/Pallets/Putaways","Lead/Extra"))))))))</f>
        <v/>
      </c>
      <c r="J28" s="37"/>
      <c r="K28" s="37"/>
      <c r="L28" s="37"/>
      <c r="M28" s="37"/>
      <c r="T28" s="38">
        <f>IFERROR(VLOOKUP($A28,'Crew Sheet'!$A:$C,2,FALSE),"")</f>
        <v>1</v>
      </c>
      <c r="U28" s="38">
        <f t="shared" si="0"/>
        <v>-999</v>
      </c>
      <c r="V28" s="38">
        <f t="shared" si="1"/>
        <v>-999</v>
      </c>
      <c r="W28" s="38">
        <f t="shared" si="2"/>
        <v>-999</v>
      </c>
      <c r="X28" s="38">
        <f t="shared" si="3"/>
        <v>-999</v>
      </c>
      <c r="Y28" s="38">
        <f t="shared" si="4"/>
        <v>-999</v>
      </c>
    </row>
    <row r="29" spans="1:25" ht="15.75" x14ac:dyDescent="0.2">
      <c r="A29" s="39" t="s">
        <v>53</v>
      </c>
      <c r="B29" s="39" t="s">
        <v>162</v>
      </c>
      <c r="C29" s="39" t="s">
        <v>161</v>
      </c>
      <c r="D29" s="39" t="s">
        <v>191</v>
      </c>
      <c r="E29" s="39" t="s">
        <v>5</v>
      </c>
      <c r="F29" s="39" t="s">
        <v>197</v>
      </c>
      <c r="G29" s="39"/>
      <c r="H29" s="37" t="str">
        <f>IFERROR(VLOOKUP($A29,'Crew Sheet'!#REF!,2,FALSE),"")</f>
        <v/>
      </c>
      <c r="I29" s="39" t="str">
        <f>IF($T29&lt;&gt;"x","",
IF(TRIM($D29)="P","Picking",
IF(AND(COUNTIF($F29,"*Unload*"),COUNTIF($D29,"*U*")),"Unloading",
IF(AND(COUNTIF($D29,"*L*"),COUNTIFS($I$1:I28,"Loading",$T$1:T28,"x")&lt;ROUNDUP(_xlfn.XLOOKUP("Loaders",'Crew Sheet'!$H:$H,'Crew Sheet'!$L:$L),0)),"Loading",
IF(AND(COUNTIF($D29,"*R*"),COUNTIFS($I$1:I28,"Receiving",$T$1:T28,"x")&lt;ROUNDUP(SUM('Crew Sheet'!$L$10:$L$11),0)),"Receiving",
IF(AND(COUNTIF($F29,"*Pick*"),COUNTIF($D29,"*P*")),"Picking",
IF(AND(COUNTIF($F29,"*Task*"),COUNTIF($D29,"*T*")),"Replen/Pallets/Putaways",
IF(COUNTIF($D29,"*T*"),"Replen/Pallets/Putaways","Lead/Extra"))))))))</f>
        <v/>
      </c>
      <c r="J29" s="37"/>
      <c r="K29" s="37"/>
      <c r="L29" s="37"/>
      <c r="M29" s="37"/>
      <c r="T29" s="38">
        <f>IFERROR(VLOOKUP($A29,'Crew Sheet'!$A:$C,2,FALSE),"")</f>
        <v>1</v>
      </c>
      <c r="U29" s="38">
        <f t="shared" si="0"/>
        <v>-999</v>
      </c>
      <c r="V29" s="38">
        <f t="shared" si="1"/>
        <v>-999</v>
      </c>
      <c r="W29" s="38">
        <f t="shared" si="2"/>
        <v>-999</v>
      </c>
      <c r="X29" s="38">
        <f t="shared" si="3"/>
        <v>-999</v>
      </c>
      <c r="Y29" s="38">
        <f t="shared" si="4"/>
        <v>-999</v>
      </c>
    </row>
    <row r="30" spans="1:25" ht="15.75" x14ac:dyDescent="0.2">
      <c r="A30" s="39" t="s">
        <v>55</v>
      </c>
      <c r="B30" s="39" t="s">
        <v>162</v>
      </c>
      <c r="C30" s="39" t="s">
        <v>160</v>
      </c>
      <c r="D30" s="39" t="s">
        <v>189</v>
      </c>
      <c r="E30" s="39" t="s">
        <v>5</v>
      </c>
      <c r="F30" s="39" t="s">
        <v>197</v>
      </c>
      <c r="G30" s="39"/>
      <c r="H30" s="37" t="str">
        <f>IFERROR(VLOOKUP($A30,'Crew Sheet'!#REF!,2,FALSE),"")</f>
        <v/>
      </c>
      <c r="I30" s="39" t="str">
        <f>IF($T30&lt;&gt;"x","",
IF(TRIM($D30)="P","Picking",
IF(AND(COUNTIF($F30,"*Unload*"),COUNTIF($D30,"*U*")),"Unloading",
IF(AND(COUNTIF($D30,"*L*"),COUNTIFS($I$1:I29,"Loading",$T$1:T29,"x")&lt;ROUNDUP(_xlfn.XLOOKUP("Loaders",'Crew Sheet'!$H:$H,'Crew Sheet'!$L:$L),0)),"Loading",
IF(AND(COUNTIF($D30,"*R*"),COUNTIFS($I$1:I29,"Receiving",$T$1:T29,"x")&lt;ROUNDUP(SUM('Crew Sheet'!$L$10:$L$11),0)),"Receiving",
IF(AND(COUNTIF($F30,"*Pick*"),COUNTIF($D30,"*P*")),"Picking",
IF(AND(COUNTIF($F30,"*Task*"),COUNTIF($D30,"*T*")),"Replen/Pallets/Putaways",
IF(COUNTIF($D30,"*T*"),"Replen/Pallets/Putaways","Lead/Extra"))))))))</f>
        <v/>
      </c>
      <c r="J30" s="37"/>
      <c r="K30" s="37"/>
      <c r="L30" s="37"/>
      <c r="M30" s="37"/>
      <c r="T30" s="38">
        <f>IFERROR(VLOOKUP($A30,'Crew Sheet'!$A:$C,2,FALSE),"")</f>
        <v>1</v>
      </c>
      <c r="U30" s="38">
        <f t="shared" si="0"/>
        <v>-999</v>
      </c>
      <c r="V30" s="38">
        <f t="shared" si="1"/>
        <v>-999</v>
      </c>
      <c r="W30" s="38">
        <f t="shared" si="2"/>
        <v>-999</v>
      </c>
      <c r="X30" s="38">
        <f t="shared" si="3"/>
        <v>-999</v>
      </c>
      <c r="Y30" s="38">
        <f t="shared" si="4"/>
        <v>-999</v>
      </c>
    </row>
    <row r="31" spans="1:25" ht="15.75" x14ac:dyDescent="0.2">
      <c r="A31" s="39" t="s">
        <v>146</v>
      </c>
      <c r="B31" s="39" t="s">
        <v>162</v>
      </c>
      <c r="C31" s="39" t="s">
        <v>161</v>
      </c>
      <c r="D31" s="39" t="s">
        <v>195</v>
      </c>
      <c r="E31" s="39" t="s">
        <v>5</v>
      </c>
      <c r="F31" s="39" t="s">
        <v>197</v>
      </c>
      <c r="G31" s="39"/>
      <c r="H31" s="37" t="str">
        <f>IFERROR(VLOOKUP($A31,'Crew Sheet'!#REF!,2,FALSE),"")</f>
        <v/>
      </c>
      <c r="I31" s="39" t="str">
        <f>IF($T31&lt;&gt;"x","",
IF(TRIM($D31)="P","Picking",
IF(AND(COUNTIF($F31,"*Unload*"),COUNTIF($D31,"*U*")),"Unloading",
IF(AND(COUNTIF($D31,"*L*"),COUNTIFS($I$1:I30,"Loading",$T$1:T30,"x")&lt;ROUNDUP(_xlfn.XLOOKUP("Loaders",'Crew Sheet'!$H:$H,'Crew Sheet'!$L:$L),0)),"Loading",
IF(AND(COUNTIF($D31,"*R*"),COUNTIFS($I$1:I30,"Receiving",$T$1:T30,"x")&lt;ROUNDUP(SUM('Crew Sheet'!$L$10:$L$11),0)),"Receiving",
IF(AND(COUNTIF($F31,"*Pick*"),COUNTIF($D31,"*P*")),"Picking",
IF(AND(COUNTIF($F31,"*Task*"),COUNTIF($D31,"*T*")),"Replen/Pallets/Putaways",
IF(COUNTIF($D31,"*T*"),"Replen/Pallets/Putaways","Lead/Extra"))))))))</f>
        <v/>
      </c>
      <c r="J31" s="37"/>
      <c r="K31" s="37"/>
      <c r="L31" s="37"/>
      <c r="M31" s="37"/>
      <c r="T31" s="38">
        <f>IFERROR(VLOOKUP($A31,'Crew Sheet'!$A:$C,2,FALSE),"")</f>
        <v>1</v>
      </c>
      <c r="U31" s="38">
        <f t="shared" si="0"/>
        <v>-999</v>
      </c>
      <c r="V31" s="38">
        <f t="shared" si="1"/>
        <v>-999</v>
      </c>
      <c r="W31" s="38">
        <f t="shared" si="2"/>
        <v>-999</v>
      </c>
      <c r="X31" s="38">
        <f t="shared" si="3"/>
        <v>-999</v>
      </c>
      <c r="Y31" s="38">
        <f t="shared" si="4"/>
        <v>-999</v>
      </c>
    </row>
    <row r="32" spans="1:25" ht="15.75" x14ac:dyDescent="0.2">
      <c r="A32" s="39" t="s">
        <v>196</v>
      </c>
      <c r="B32" s="39" t="s">
        <v>162</v>
      </c>
      <c r="C32" s="39" t="s">
        <v>161</v>
      </c>
      <c r="D32" s="39" t="s">
        <v>193</v>
      </c>
      <c r="E32" s="39" t="s">
        <v>5</v>
      </c>
      <c r="F32" s="39" t="s">
        <v>197</v>
      </c>
      <c r="G32" s="39"/>
      <c r="H32" s="37" t="str">
        <f>IFERROR(VLOOKUP($A32,'Crew Sheet'!#REF!,2,FALSE),"")</f>
        <v/>
      </c>
      <c r="I32" s="39" t="str">
        <f>IF($T32&lt;&gt;"x","",
IF(TRIM($D32)="P","Picking",
IF(AND(COUNTIF($F32,"*Unload*"),COUNTIF($D32,"*U*")),"Unloading",
IF(AND(COUNTIF($D32,"*L*"),COUNTIFS($I$1:I31,"Loading",$T$1:T31,"x")&lt;ROUNDUP(_xlfn.XLOOKUP("Loaders",'Crew Sheet'!$H:$H,'Crew Sheet'!$L:$L),0)),"Loading",
IF(AND(COUNTIF($D32,"*R*"),COUNTIFS($I$1:I31,"Receiving",$T$1:T31,"x")&lt;ROUNDUP(SUM('Crew Sheet'!$L$10:$L$11),0)),"Receiving",
IF(AND(COUNTIF($F32,"*Pick*"),COUNTIF($D32,"*P*")),"Picking",
IF(AND(COUNTIF($F32,"*Task*"),COUNTIF($D32,"*T*")),"Replen/Pallets/Putaways",
IF(COUNTIF($D32,"*T*"),"Replen/Pallets/Putaways","Lead/Extra"))))))))</f>
        <v/>
      </c>
      <c r="J32" s="37"/>
      <c r="K32" s="37"/>
      <c r="L32" s="37"/>
      <c r="M32" s="37"/>
      <c r="T32" s="38" t="str">
        <f>IFERROR(VLOOKUP($A32,'Crew Sheet'!$A:$C,2,FALSE),"")</f>
        <v/>
      </c>
      <c r="U32" s="38">
        <f t="shared" si="0"/>
        <v>-999</v>
      </c>
      <c r="V32" s="38">
        <f t="shared" si="1"/>
        <v>-999</v>
      </c>
      <c r="W32" s="38">
        <f t="shared" si="2"/>
        <v>-999</v>
      </c>
      <c r="X32" s="38">
        <f t="shared" si="3"/>
        <v>-999</v>
      </c>
      <c r="Y32" s="38">
        <f t="shared" si="4"/>
        <v>-999</v>
      </c>
    </row>
    <row r="33" spans="1:25" ht="15.75" x14ac:dyDescent="0.2">
      <c r="A33" s="39" t="s">
        <v>203</v>
      </c>
      <c r="B33" s="39" t="s">
        <v>162</v>
      </c>
      <c r="C33" s="39" t="s">
        <v>160</v>
      </c>
      <c r="D33" s="39" t="s">
        <v>191</v>
      </c>
      <c r="E33" s="39" t="s">
        <v>5</v>
      </c>
      <c r="F33" s="39" t="s">
        <v>197</v>
      </c>
      <c r="G33" s="39"/>
      <c r="H33" s="37" t="str">
        <f>IFERROR(VLOOKUP($A33,'Crew Sheet'!#REF!,2,FALSE),"")</f>
        <v/>
      </c>
      <c r="I33" s="39" t="str">
        <f>IF($T33&lt;&gt;"x","",
IF(TRIM($D33)="P","Picking",
IF(AND(COUNTIF($F33,"*Unload*"),COUNTIF($D33,"*U*")),"Unloading",
IF(AND(COUNTIF($D33,"*L*"),COUNTIFS($I$1:I32,"Loading",$T$1:T32,"x")&lt;ROUNDUP(_xlfn.XLOOKUP("Loaders",'Crew Sheet'!$H:$H,'Crew Sheet'!$L:$L),0)),"Loading",
IF(AND(COUNTIF($D33,"*R*"),COUNTIFS($I$1:I32,"Receiving",$T$1:T32,"x")&lt;ROUNDUP(SUM('Crew Sheet'!$L$10:$L$11),0)),"Receiving",
IF(AND(COUNTIF($F33,"*Pick*"),COUNTIF($D33,"*P*")),"Picking",
IF(AND(COUNTIF($F33,"*Task*"),COUNTIF($D33,"*T*")),"Replen/Pallets/Putaways",
IF(COUNTIF($D33,"*T*"),"Replen/Pallets/Putaways","Lead/Extra"))))))))</f>
        <v/>
      </c>
      <c r="J33" s="37"/>
      <c r="K33" s="37"/>
      <c r="L33" s="37"/>
      <c r="M33" s="37"/>
      <c r="T33" s="38">
        <f>IFERROR(VLOOKUP($A33,'Crew Sheet'!$A:$C,2,FALSE),"")</f>
        <v>1</v>
      </c>
      <c r="U33" s="38">
        <f t="shared" si="0"/>
        <v>-999</v>
      </c>
      <c r="V33" s="38">
        <f t="shared" si="1"/>
        <v>-999</v>
      </c>
      <c r="W33" s="38">
        <f t="shared" si="2"/>
        <v>-999</v>
      </c>
      <c r="X33" s="38">
        <f t="shared" si="3"/>
        <v>-999</v>
      </c>
      <c r="Y33" s="38">
        <f t="shared" si="4"/>
        <v>-999</v>
      </c>
    </row>
    <row r="34" spans="1:25" ht="15.75" x14ac:dyDescent="0.2">
      <c r="A34" s="39" t="s">
        <v>181</v>
      </c>
      <c r="B34" s="39" t="s">
        <v>162</v>
      </c>
      <c r="C34" s="39" t="s">
        <v>161</v>
      </c>
      <c r="D34" s="39" t="s">
        <v>192</v>
      </c>
      <c r="E34" s="39" t="s">
        <v>5</v>
      </c>
      <c r="F34" s="39" t="s">
        <v>197</v>
      </c>
      <c r="G34" s="39"/>
      <c r="H34" s="37" t="str">
        <f>IFERROR(VLOOKUP($A34,'Crew Sheet'!#REF!,2,FALSE),"")</f>
        <v/>
      </c>
      <c r="I34" s="39" t="str">
        <f>IF($T34&lt;&gt;"x","",
IF(TRIM($D34)="P","Picking",
IF(AND(COUNTIF($F34,"*Unload*"),COUNTIF($D34,"*U*")),"Unloading",
IF(AND(COUNTIF($D34,"*L*"),COUNTIFS($I$1:I33,"Loading",$T$1:T33,"x")&lt;ROUNDUP(_xlfn.XLOOKUP("Loaders",'Crew Sheet'!$H:$H,'Crew Sheet'!$L:$L),0)),"Loading",
IF(AND(COUNTIF($D34,"*R*"),COUNTIFS($I$1:I33,"Receiving",$T$1:T33,"x")&lt;ROUNDUP(SUM('Crew Sheet'!$L$10:$L$11),0)),"Receiving",
IF(AND(COUNTIF($F34,"*Pick*"),COUNTIF($D34,"*P*")),"Picking",
IF(AND(COUNTIF($F34,"*Task*"),COUNTIF($D34,"*T*")),"Replen/Pallets/Putaways",
IF(COUNTIF($D34,"*T*"),"Replen/Pallets/Putaways","Lead/Extra"))))))))</f>
        <v/>
      </c>
      <c r="J34" s="37"/>
      <c r="K34" s="37"/>
      <c r="L34" s="37"/>
      <c r="M34" s="37"/>
      <c r="T34" s="38">
        <f>IFERROR(VLOOKUP($A34,'Crew Sheet'!$A:$C,2,FALSE),"")</f>
        <v>1</v>
      </c>
      <c r="U34" s="38">
        <f t="shared" si="0"/>
        <v>-999</v>
      </c>
      <c r="V34" s="38">
        <f t="shared" si="1"/>
        <v>-999</v>
      </c>
      <c r="W34" s="38">
        <f t="shared" si="2"/>
        <v>-999</v>
      </c>
      <c r="X34" s="38">
        <f t="shared" si="3"/>
        <v>-999</v>
      </c>
      <c r="Y34" s="38">
        <f t="shared" si="4"/>
        <v>-999</v>
      </c>
    </row>
    <row r="35" spans="1:25" ht="15.75" x14ac:dyDescent="0.2">
      <c r="A35" s="39" t="s">
        <v>163</v>
      </c>
      <c r="B35" s="39" t="s">
        <v>162</v>
      </c>
      <c r="C35" s="39" t="s">
        <v>160</v>
      </c>
      <c r="D35" s="39" t="s">
        <v>193</v>
      </c>
      <c r="E35" s="39" t="s">
        <v>5</v>
      </c>
      <c r="F35" s="39" t="s">
        <v>197</v>
      </c>
      <c r="G35" s="39"/>
      <c r="H35" s="37" t="str">
        <f>IFERROR(VLOOKUP($A35,'Crew Sheet'!#REF!,2,FALSE),"")</f>
        <v/>
      </c>
      <c r="I35" s="39" t="str">
        <f>IF($T35&lt;&gt;"x","",
IF(TRIM($D35)="P","Picking",
IF(AND(COUNTIF($F35,"*Unload*"),COUNTIF($D35,"*U*")),"Unloading",
IF(AND(COUNTIF($D35,"*L*"),COUNTIFS($I$1:I34,"Loading",$T$1:T34,"x")&lt;ROUNDUP(_xlfn.XLOOKUP("Loaders",'Crew Sheet'!$H:$H,'Crew Sheet'!$L:$L),0)),"Loading",
IF(AND(COUNTIF($D35,"*R*"),COUNTIFS($I$1:I34,"Receiving",$T$1:T34,"x")&lt;ROUNDUP(SUM('Crew Sheet'!$L$10:$L$11),0)),"Receiving",
IF(AND(COUNTIF($F35,"*Pick*"),COUNTIF($D35,"*P*")),"Picking",
IF(AND(COUNTIF($F35,"*Task*"),COUNTIF($D35,"*T*")),"Replen/Pallets/Putaways",
IF(COUNTIF($D35,"*T*"),"Replen/Pallets/Putaways","Lead/Extra"))))))))</f>
        <v/>
      </c>
      <c r="J35" s="37"/>
      <c r="K35" s="37"/>
      <c r="L35" s="37"/>
      <c r="M35" s="37"/>
      <c r="T35" s="38">
        <f>IFERROR(VLOOKUP($A35,'Crew Sheet'!$A:$C,2,FALSE),"")</f>
        <v>1</v>
      </c>
      <c r="U35" s="38">
        <f t="shared" si="0"/>
        <v>-999</v>
      </c>
      <c r="V35" s="38">
        <f t="shared" si="1"/>
        <v>-999</v>
      </c>
      <c r="W35" s="38">
        <f t="shared" si="2"/>
        <v>-999</v>
      </c>
      <c r="X35" s="38">
        <f t="shared" si="3"/>
        <v>-999</v>
      </c>
      <c r="Y35" s="38">
        <f t="shared" si="4"/>
        <v>-999</v>
      </c>
    </row>
    <row r="36" spans="1:25" ht="15.75" x14ac:dyDescent="0.2">
      <c r="A36" s="39" t="s">
        <v>70</v>
      </c>
      <c r="B36" s="39" t="s">
        <v>162</v>
      </c>
      <c r="C36" s="39" t="s">
        <v>160</v>
      </c>
      <c r="D36" s="39" t="s">
        <v>191</v>
      </c>
      <c r="E36" s="39" t="s">
        <v>5</v>
      </c>
      <c r="F36" s="39" t="s">
        <v>197</v>
      </c>
      <c r="G36" s="39"/>
      <c r="H36" s="37" t="str">
        <f>IFERROR(VLOOKUP($A36,'Crew Sheet'!#REF!,2,FALSE),"")</f>
        <v/>
      </c>
      <c r="I36" s="39" t="str">
        <f>IF($T36&lt;&gt;"x","",
IF(TRIM($D36)="P","Picking",
IF(AND(COUNTIF($F36,"*Unload*"),COUNTIF($D36,"*U*")),"Unloading",
IF(AND(COUNTIF($D36,"*L*"),COUNTIFS($I$1:I35,"Loading",$T$1:T35,"x")&lt;ROUNDUP(_xlfn.XLOOKUP("Loaders",'Crew Sheet'!$H:$H,'Crew Sheet'!$L:$L),0)),"Loading",
IF(AND(COUNTIF($D36,"*R*"),COUNTIFS($I$1:I35,"Receiving",$T$1:T35,"x")&lt;ROUNDUP(SUM('Crew Sheet'!$L$10:$L$11),0)),"Receiving",
IF(AND(COUNTIF($F36,"*Pick*"),COUNTIF($D36,"*P*")),"Picking",
IF(AND(COUNTIF($F36,"*Task*"),COUNTIF($D36,"*T*")),"Replen/Pallets/Putaways",
IF(COUNTIF($D36,"*T*"),"Replen/Pallets/Putaways","Lead/Extra"))))))))</f>
        <v/>
      </c>
      <c r="T36" s="38">
        <f>IFERROR(VLOOKUP($A36,'Crew Sheet'!$A:$C,2,FALSE),"")</f>
        <v>1</v>
      </c>
      <c r="U36" s="38">
        <f t="shared" si="0"/>
        <v>-999</v>
      </c>
      <c r="V36" s="38">
        <f t="shared" si="1"/>
        <v>-999</v>
      </c>
      <c r="W36" s="38">
        <f t="shared" si="2"/>
        <v>-999</v>
      </c>
      <c r="X36" s="38">
        <f t="shared" si="3"/>
        <v>-999</v>
      </c>
      <c r="Y36" s="38">
        <f t="shared" si="4"/>
        <v>-999</v>
      </c>
    </row>
    <row r="37" spans="1:25" ht="15.75" x14ac:dyDescent="0.2">
      <c r="A37" s="39" t="s">
        <v>72</v>
      </c>
      <c r="B37" s="39" t="s">
        <v>162</v>
      </c>
      <c r="C37" s="39" t="s">
        <v>161</v>
      </c>
      <c r="D37" s="39" t="s">
        <v>193</v>
      </c>
      <c r="E37" s="39" t="s">
        <v>12</v>
      </c>
      <c r="F37" s="39" t="s">
        <v>197</v>
      </c>
      <c r="G37" s="39"/>
      <c r="H37" s="37" t="str">
        <f>IFERROR(VLOOKUP($A37,'Crew Sheet'!#REF!,2,FALSE),"")</f>
        <v/>
      </c>
      <c r="I37" s="39" t="str">
        <f>IF($T37&lt;&gt;"x","",
IF(TRIM($D37)="P","Picking",
IF(AND(COUNTIF($F37,"*Unload*"),COUNTIF($D37,"*U*")),"Unloading",
IF(AND(COUNTIF($D37,"*L*"),COUNTIFS($I$1:I36,"Loading",$T$1:T36,"x")&lt;ROUNDUP(_xlfn.XLOOKUP("Loaders",'Crew Sheet'!$H:$H,'Crew Sheet'!$L:$L),0)),"Loading",
IF(AND(COUNTIF($D37,"*R*"),COUNTIFS($I$1:I36,"Receiving",$T$1:T36,"x")&lt;ROUNDUP(SUM('Crew Sheet'!$L$10:$L$11),0)),"Receiving",
IF(AND(COUNTIF($F37,"*Pick*"),COUNTIF($D37,"*P*")),"Picking",
IF(AND(COUNTIF($F37,"*Task*"),COUNTIF($D37,"*T*")),"Replen/Pallets/Putaways",
IF(COUNTIF($D37,"*T*"),"Replen/Pallets/Putaways","Lead/Extra"))))))))</f>
        <v/>
      </c>
      <c r="T37" s="38">
        <f>IFERROR(VLOOKUP($A37,'Crew Sheet'!$A:$C,2,FALSE),"")</f>
        <v>1</v>
      </c>
      <c r="U37" s="38">
        <f t="shared" si="0"/>
        <v>-999</v>
      </c>
      <c r="V37" s="38">
        <f t="shared" si="1"/>
        <v>-999</v>
      </c>
      <c r="W37" s="38">
        <f t="shared" si="2"/>
        <v>-999</v>
      </c>
      <c r="X37" s="38">
        <f t="shared" si="3"/>
        <v>-999</v>
      </c>
      <c r="Y37" s="38">
        <f t="shared" si="4"/>
        <v>-999</v>
      </c>
    </row>
    <row r="38" spans="1:25" ht="15.75" x14ac:dyDescent="0.2">
      <c r="A38" s="39" t="s">
        <v>176</v>
      </c>
      <c r="B38" s="39" t="s">
        <v>162</v>
      </c>
      <c r="C38" s="39" t="s">
        <v>161</v>
      </c>
      <c r="D38" s="39" t="s">
        <v>165</v>
      </c>
      <c r="E38" s="39" t="s">
        <v>5</v>
      </c>
      <c r="F38" s="39" t="s">
        <v>197</v>
      </c>
      <c r="G38" s="39"/>
      <c r="H38" s="37" t="str">
        <f>IFERROR(VLOOKUP($A38,'Crew Sheet'!#REF!,2,FALSE),"")</f>
        <v/>
      </c>
      <c r="I38" s="39" t="str">
        <f>IF($T38&lt;&gt;"x","",
IF(TRIM($D38)="P","Picking",
IF(AND(COUNTIF($F38,"*Unload*"),COUNTIF($D38,"*U*")),"Unloading",
IF(AND(COUNTIF($D38,"*L*"),COUNTIFS($I$1:I37,"Loading",$T$1:T37,"x")&lt;ROUNDUP(_xlfn.XLOOKUP("Loaders",'Crew Sheet'!$H:$H,'Crew Sheet'!$L:$L),0)),"Loading",
IF(AND(COUNTIF($D38,"*R*"),COUNTIFS($I$1:I37,"Receiving",$T$1:T37,"x")&lt;ROUNDUP(SUM('Crew Sheet'!$L$10:$L$11),0)),"Receiving",
IF(AND(COUNTIF($F38,"*Pick*"),COUNTIF($D38,"*P*")),"Picking",
IF(AND(COUNTIF($F38,"*Task*"),COUNTIF($D38,"*T*")),"Replen/Pallets/Putaways",
IF(COUNTIF($D38,"*T*"),"Replen/Pallets/Putaways","Lead/Extra"))))))))</f>
        <v/>
      </c>
      <c r="T38" s="38">
        <f>IFERROR(VLOOKUP($A38,'Crew Sheet'!$A:$C,2,FALSE),"")</f>
        <v>1</v>
      </c>
      <c r="U38" s="38">
        <f t="shared" si="0"/>
        <v>-999</v>
      </c>
      <c r="V38" s="38">
        <f t="shared" si="1"/>
        <v>-999</v>
      </c>
      <c r="W38" s="38">
        <f t="shared" si="2"/>
        <v>-999</v>
      </c>
      <c r="X38" s="38">
        <f t="shared" si="3"/>
        <v>-999</v>
      </c>
      <c r="Y38" s="38">
        <f t="shared" si="4"/>
        <v>-999</v>
      </c>
    </row>
    <row r="39" spans="1:25" ht="15.75" x14ac:dyDescent="0.2">
      <c r="A39" s="39" t="s">
        <v>74</v>
      </c>
      <c r="B39" s="39" t="s">
        <v>162</v>
      </c>
      <c r="C39" s="39" t="s">
        <v>160</v>
      </c>
      <c r="D39" s="39" t="s">
        <v>165</v>
      </c>
      <c r="E39" s="39" t="s">
        <v>12</v>
      </c>
      <c r="F39" s="39" t="s">
        <v>197</v>
      </c>
      <c r="G39" s="39"/>
      <c r="H39" s="37" t="str">
        <f>IFERROR(VLOOKUP($A39,'Crew Sheet'!#REF!,2,FALSE),"")</f>
        <v/>
      </c>
      <c r="I39" s="39" t="str">
        <f>IF($T39&lt;&gt;"x","",
IF(TRIM($D39)="P","Picking",
IF(AND(COUNTIF($F39,"*Unload*"),COUNTIF($D39,"*U*")),"Unloading",
IF(AND(COUNTIF($D39,"*L*"),COUNTIFS($I$1:I38,"Loading",$T$1:T38,"x")&lt;ROUNDUP(_xlfn.XLOOKUP("Loaders",'Crew Sheet'!$H:$H,'Crew Sheet'!$L:$L),0)),"Loading",
IF(AND(COUNTIF($D39,"*R*"),COUNTIFS($I$1:I38,"Receiving",$T$1:T38,"x")&lt;ROUNDUP(SUM('Crew Sheet'!$L$10:$L$11),0)),"Receiving",
IF(AND(COUNTIF($F39,"*Pick*"),COUNTIF($D39,"*P*")),"Picking",
IF(AND(COUNTIF($F39,"*Task*"),COUNTIF($D39,"*T*")),"Replen/Pallets/Putaways",
IF(COUNTIF($D39,"*T*"),"Replen/Pallets/Putaways","Lead/Extra"))))))))</f>
        <v/>
      </c>
      <c r="T39" s="38">
        <f>IFERROR(VLOOKUP($A39,'Crew Sheet'!$A:$C,2,FALSE),"")</f>
        <v>1</v>
      </c>
      <c r="U39" s="38">
        <f t="shared" si="0"/>
        <v>-999</v>
      </c>
      <c r="V39" s="38">
        <f t="shared" si="1"/>
        <v>-999</v>
      </c>
      <c r="W39" s="38">
        <f t="shared" si="2"/>
        <v>-999</v>
      </c>
      <c r="X39" s="38">
        <f t="shared" si="3"/>
        <v>-999</v>
      </c>
      <c r="Y39" s="38">
        <f t="shared" si="4"/>
        <v>-999</v>
      </c>
    </row>
    <row r="40" spans="1:25" ht="15.75" x14ac:dyDescent="0.2">
      <c r="A40" s="39" t="s">
        <v>276</v>
      </c>
      <c r="B40" s="39" t="s">
        <v>162</v>
      </c>
      <c r="C40" s="39" t="s">
        <v>160</v>
      </c>
      <c r="D40" s="39" t="s">
        <v>187</v>
      </c>
      <c r="E40" s="39" t="s">
        <v>5</v>
      </c>
      <c r="F40" s="39" t="s">
        <v>18</v>
      </c>
      <c r="G40" s="39"/>
      <c r="H40" s="37" t="str">
        <f>IFERROR(VLOOKUP($A40,'Crew Sheet'!#REF!,2,FALSE),"")</f>
        <v/>
      </c>
      <c r="I40" s="39" t="str">
        <f>IF($T40&lt;&gt;"x","",
IF(TRIM($D40)="P","Picking",
IF(AND(COUNTIF($F40,"*Unload*"),COUNTIF($D40,"*U*")),"Unloading",
IF(AND(COUNTIF($D40,"*L*"),COUNTIFS($I$1:I39,"Loading",$T$1:T39,"x")&lt;ROUNDUP(_xlfn.XLOOKUP("Loaders",'Crew Sheet'!$H:$H,'Crew Sheet'!$L:$L),0)),"Loading",
IF(AND(COUNTIF($D40,"*R*"),COUNTIFS($I$1:I39,"Receiving",$T$1:T39,"x")&lt;ROUNDUP(SUM('Crew Sheet'!$L$10:$L$11),0)),"Receiving",
IF(AND(COUNTIF($F40,"*Pick*"),COUNTIF($D40,"*P*")),"Picking",
IF(AND(COUNTIF($F40,"*Task*"),COUNTIF($D40,"*T*")),"Replen/Pallets/Putaways",
IF(COUNTIF($D40,"*T*"),"Replen/Pallets/Putaways","Lead/Extra"))))))))</f>
        <v/>
      </c>
      <c r="T40" s="38">
        <f>IFERROR(VLOOKUP($A40,'Crew Sheet'!$A:$C,2,FALSE),"")</f>
        <v>1</v>
      </c>
      <c r="U40" s="38">
        <f t="shared" si="0"/>
        <v>-999</v>
      </c>
      <c r="V40" s="38">
        <f t="shared" si="1"/>
        <v>-999</v>
      </c>
      <c r="W40" s="38">
        <f t="shared" si="2"/>
        <v>-999</v>
      </c>
      <c r="X40" s="38">
        <f t="shared" si="3"/>
        <v>-999</v>
      </c>
      <c r="Y40" s="38">
        <f t="shared" si="4"/>
        <v>-999</v>
      </c>
    </row>
    <row r="41" spans="1:25" ht="15.75" x14ac:dyDescent="0.2">
      <c r="A41" s="39" t="s">
        <v>172</v>
      </c>
      <c r="B41" s="39" t="s">
        <v>162</v>
      </c>
      <c r="C41" s="39" t="s">
        <v>161</v>
      </c>
      <c r="D41" s="39" t="s">
        <v>187</v>
      </c>
      <c r="E41" s="39" t="s">
        <v>12</v>
      </c>
      <c r="F41" s="39" t="s">
        <v>18</v>
      </c>
      <c r="G41" s="39"/>
      <c r="H41" s="37" t="str">
        <f>IFERROR(VLOOKUP($A41,'Crew Sheet'!#REF!,2,FALSE),"")</f>
        <v/>
      </c>
      <c r="I41" s="39" t="str">
        <f>IF($T41&lt;&gt;"x","",
IF(TRIM($D41)="P","Picking",
IF(AND(COUNTIF($F41,"*Unload*"),COUNTIF($D41,"*U*")),"Unloading",
IF(AND(COUNTIF($D41,"*L*"),COUNTIFS($I$1:I40,"Loading",$T$1:T40,"x")&lt;ROUNDUP(_xlfn.XLOOKUP("Loaders",'Crew Sheet'!$H:$H,'Crew Sheet'!$L:$L),0)),"Loading",
IF(AND(COUNTIF($D41,"*R*"),COUNTIFS($I$1:I40,"Receiving",$T$1:T40,"x")&lt;ROUNDUP(SUM('Crew Sheet'!$L$10:$L$11),0)),"Receiving",
IF(AND(COUNTIF($F41,"*Pick*"),COUNTIF($D41,"*P*")),"Picking",
IF(AND(COUNTIF($F41,"*Task*"),COUNTIF($D41,"*T*")),"Replen/Pallets/Putaways",
IF(COUNTIF($D41,"*T*"),"Replen/Pallets/Putaways","Lead/Extra"))))))))</f>
        <v/>
      </c>
      <c r="T41" s="38">
        <f>IFERROR(VLOOKUP($A41,'Crew Sheet'!$A:$C,2,FALSE),"")</f>
        <v>1</v>
      </c>
      <c r="U41" s="38">
        <f t="shared" si="0"/>
        <v>-999</v>
      </c>
      <c r="V41" s="38">
        <f t="shared" si="1"/>
        <v>-999</v>
      </c>
      <c r="W41" s="38">
        <f t="shared" si="2"/>
        <v>-999</v>
      </c>
      <c r="X41" s="38">
        <f t="shared" si="3"/>
        <v>-999</v>
      </c>
      <c r="Y41" s="38">
        <f t="shared" si="4"/>
        <v>-999</v>
      </c>
    </row>
    <row r="42" spans="1:25" ht="15.75" x14ac:dyDescent="0.2">
      <c r="A42" s="39" t="s">
        <v>61</v>
      </c>
      <c r="B42" s="39" t="s">
        <v>162</v>
      </c>
      <c r="C42" s="39" t="s">
        <v>160</v>
      </c>
      <c r="D42" s="39" t="s">
        <v>187</v>
      </c>
      <c r="E42" s="39" t="s">
        <v>12</v>
      </c>
      <c r="F42" s="39" t="s">
        <v>18</v>
      </c>
      <c r="G42" s="39"/>
      <c r="H42" s="37" t="str">
        <f>IFERROR(VLOOKUP($A42,'Crew Sheet'!#REF!,2,FALSE),"")</f>
        <v/>
      </c>
      <c r="I42" s="39" t="str">
        <f>IF($T42&lt;&gt;"x","",
IF(TRIM($D42)="P","Picking",
IF(AND(COUNTIF($F42,"*Unload*"),COUNTIF($D42,"*U*")),"Unloading",
IF(AND(COUNTIF($D42,"*L*"),COUNTIFS($I$1:I41,"Loading",$T$1:T41,"x")&lt;ROUNDUP(_xlfn.XLOOKUP("Loaders",'Crew Sheet'!$H:$H,'Crew Sheet'!$L:$L),0)),"Loading",
IF(AND(COUNTIF($D42,"*R*"),COUNTIFS($I$1:I41,"Receiving",$T$1:T41,"x")&lt;ROUNDUP(SUM('Crew Sheet'!$L$10:$L$11),0)),"Receiving",
IF(AND(COUNTIF($F42,"*Pick*"),COUNTIF($D42,"*P*")),"Picking",
IF(AND(COUNTIF($F42,"*Task*"),COUNTIF($D42,"*T*")),"Replen/Pallets/Putaways",
IF(COUNTIF($D42,"*T*"),"Replen/Pallets/Putaways","Lead/Extra"))))))))</f>
        <v/>
      </c>
      <c r="T42" s="38">
        <f>IFERROR(VLOOKUP($A42,'Crew Sheet'!$A:$C,2,FALSE),"")</f>
        <v>1</v>
      </c>
      <c r="U42" s="38">
        <f t="shared" si="0"/>
        <v>-999</v>
      </c>
      <c r="V42" s="38">
        <f t="shared" si="1"/>
        <v>-999</v>
      </c>
      <c r="W42" s="38">
        <f t="shared" si="2"/>
        <v>-999</v>
      </c>
      <c r="X42" s="38">
        <f t="shared" si="3"/>
        <v>-999</v>
      </c>
      <c r="Y42" s="38">
        <f t="shared" si="4"/>
        <v>-999</v>
      </c>
    </row>
    <row r="43" spans="1:25" ht="15.75" x14ac:dyDescent="0.2">
      <c r="A43" s="67" t="s">
        <v>190</v>
      </c>
      <c r="B43" s="67" t="s">
        <v>162</v>
      </c>
      <c r="C43" s="67" t="s">
        <v>161</v>
      </c>
      <c r="D43" s="39" t="s">
        <v>191</v>
      </c>
      <c r="E43" s="39" t="s">
        <v>5</v>
      </c>
      <c r="F43" s="39"/>
      <c r="G43" s="39"/>
      <c r="H43" s="37" t="str">
        <f>IFERROR(VLOOKUP($A43,'Crew Sheet'!#REF!,2,FALSE),"")</f>
        <v/>
      </c>
      <c r="I43" s="39" t="str">
        <f>IF($T43&lt;&gt;"x","",
IF(TRIM($D43)="P","Picking",
IF(AND(COUNTIF($F43,"*Unload*"),COUNTIF($D43,"*U*")),"Unloading",
IF(AND(COUNTIF($D43,"*L*"),COUNTIFS($I$1:I42,"Loading",$T$1:T42,"x")&lt;ROUNDUP(_xlfn.XLOOKUP("Loaders",'Crew Sheet'!$H:$H,'Crew Sheet'!$L:$L),0)),"Loading",
IF(AND(COUNTIF($D43,"*R*"),COUNTIFS($I$1:I42,"Receiving",$T$1:T42,"x")&lt;ROUNDUP(SUM('Crew Sheet'!$L$10:$L$11),0)),"Receiving",
IF(AND(COUNTIF($F43,"*Pick*"),COUNTIF($D43,"*P*")),"Picking",
IF(AND(COUNTIF($F43,"*Task*"),COUNTIF($D43,"*T*")),"Replen/Pallets/Putaways",
IF(COUNTIF($D43,"*T*"),"Replen/Pallets/Putaways","Lead/Extra"))))))))</f>
        <v/>
      </c>
      <c r="T43" s="38">
        <f>IFERROR(VLOOKUP($A43,'Crew Sheet'!$A:$C,2,FALSE),"")</f>
        <v>1</v>
      </c>
      <c r="U43" s="38">
        <f t="shared" si="0"/>
        <v>-999</v>
      </c>
      <c r="V43" s="38">
        <f t="shared" si="1"/>
        <v>-999</v>
      </c>
      <c r="W43" s="38">
        <f t="shared" si="2"/>
        <v>-999</v>
      </c>
      <c r="X43" s="38">
        <f t="shared" si="3"/>
        <v>-999</v>
      </c>
      <c r="Y43" s="38">
        <f t="shared" si="4"/>
        <v>-999</v>
      </c>
    </row>
    <row r="44" spans="1:25" ht="15.75" x14ac:dyDescent="0.2">
      <c r="A44" s="39" t="s">
        <v>205</v>
      </c>
      <c r="B44" s="39" t="s">
        <v>162</v>
      </c>
      <c r="C44" s="39" t="s">
        <v>160</v>
      </c>
      <c r="D44" s="39" t="s">
        <v>191</v>
      </c>
      <c r="E44" s="39" t="s">
        <v>5</v>
      </c>
      <c r="F44" s="39"/>
      <c r="G44" s="39"/>
      <c r="H44" s="37" t="str">
        <f>IFERROR(VLOOKUP($A44,'Crew Sheet'!#REF!,2,FALSE),"")</f>
        <v/>
      </c>
      <c r="I44" s="39" t="str">
        <f>IF($T44&lt;&gt;"x","",
IF(TRIM($D44)="P","Picking",
IF(AND(COUNTIF($F44,"*Unload*"),COUNTIF($D44,"*U*")),"Unloading",
IF(AND(COUNTIF($D44,"*L*"),COUNTIFS($I$1:I43,"Loading",$T$1:T43,"x")&lt;ROUNDUP(_xlfn.XLOOKUP("Loaders",'Crew Sheet'!$H:$H,'Crew Sheet'!$L:$L),0)),"Loading",
IF(AND(COUNTIF($D44,"*R*"),COUNTIFS($I$1:I43,"Receiving",$T$1:T43,"x")&lt;ROUNDUP(SUM('Crew Sheet'!$L$10:$L$11),0)),"Receiving",
IF(AND(COUNTIF($F44,"*Pick*"),COUNTIF($D44,"*P*")),"Picking",
IF(AND(COUNTIF($F44,"*Task*"),COUNTIF($D44,"*T*")),"Replen/Pallets/Putaways",
IF(COUNTIF($D44,"*T*"),"Replen/Pallets/Putaways","Lead/Extra"))))))))</f>
        <v/>
      </c>
      <c r="T44" s="38">
        <f>IFERROR(VLOOKUP($A44,'Crew Sheet'!$A:$C,2,FALSE),"")</f>
        <v>1</v>
      </c>
      <c r="U44" s="38">
        <f t="shared" si="0"/>
        <v>-999</v>
      </c>
      <c r="V44" s="38">
        <f t="shared" si="1"/>
        <v>-999</v>
      </c>
      <c r="W44" s="38">
        <f t="shared" si="2"/>
        <v>-999</v>
      </c>
      <c r="X44" s="38">
        <f t="shared" si="3"/>
        <v>-999</v>
      </c>
      <c r="Y44" s="38">
        <f t="shared" si="4"/>
        <v>-999</v>
      </c>
    </row>
    <row r="45" spans="1:25" ht="15.75" x14ac:dyDescent="0.2">
      <c r="A45" s="39" t="s">
        <v>219</v>
      </c>
      <c r="B45" s="39"/>
      <c r="C45" s="39"/>
      <c r="D45" s="39" t="s">
        <v>189</v>
      </c>
      <c r="E45" s="39" t="s">
        <v>12</v>
      </c>
      <c r="F45" s="39" t="s">
        <v>197</v>
      </c>
      <c r="G45" s="39"/>
      <c r="H45" s="37" t="str">
        <f>IFERROR(VLOOKUP($A45,'Crew Sheet'!#REF!,2,FALSE),"")</f>
        <v/>
      </c>
      <c r="I45" s="39" t="str">
        <f>IF($T45&lt;&gt;"x","",
IF(TRIM($D45)="P","Picking",
IF(AND(COUNTIF($F45,"*Unload*"),COUNTIF($D45,"*U*")),"Unloading",
IF(AND(COUNTIF($D45,"*L*"),COUNTIFS($I$1:I44,"Loading",$T$1:T44,"x")&lt;ROUNDUP(_xlfn.XLOOKUP("Loaders",'Crew Sheet'!$H:$H,'Crew Sheet'!$L:$L),0)),"Loading",
IF(AND(COUNTIF($D45,"*R*"),COUNTIFS($I$1:I44,"Receiving",$T$1:T44,"x")&lt;ROUNDUP(SUM('Crew Sheet'!$L$10:$L$11),0)),"Receiving",
IF(AND(COUNTIF($F45,"*Pick*"),COUNTIF($D45,"*P*")),"Picking",
IF(AND(COUNTIF($F45,"*Task*"),COUNTIF($D45,"*T*")),"Replen/Pallets/Putaways",
IF(COUNTIF($D45,"*T*"),"Replen/Pallets/Putaways","Lead/Extra"))))))))</f>
        <v/>
      </c>
      <c r="T45" s="38" t="str">
        <f>IFERROR(VLOOKUP($A45,'Crew Sheet'!#REF!,2,FALSE),"")</f>
        <v/>
      </c>
      <c r="U45" s="38">
        <f>IF($T45&lt;&gt;"x",-999,IF(ISNUMBER(SEARCH("P",$D45)),100,0)+IF(OR($F45="Picking",$F45="Picker"),500,0)+IF($G45="Above Average",1000,IF($G45="Average",100,0)))</f>
        <v>-999</v>
      </c>
      <c r="V45" s="38">
        <f t="shared" si="1"/>
        <v>-999</v>
      </c>
      <c r="W45" s="38">
        <f>IF($T45&lt;&gt;"x",-999,IF(ISNUMBER(SEARCH("T",$D45)),100,0)+IF(OR($F45="Tasking",$F45="Tasker",$F45="Putaway",$F45="Putaways",$F45="Replenishment",$F45="Full Pallet Puller"),500,0)+IF($G45="Above Average",1000,IF($G45="Average",100,0)))</f>
        <v>-999</v>
      </c>
      <c r="X45" s="38">
        <f t="shared" si="3"/>
        <v>-999</v>
      </c>
    </row>
    <row r="46" spans="1:25" ht="15.75" x14ac:dyDescent="0.2">
      <c r="A46" s="39" t="s">
        <v>220</v>
      </c>
      <c r="B46" s="39"/>
      <c r="C46" s="39"/>
      <c r="D46" s="39" t="s">
        <v>187</v>
      </c>
      <c r="E46" s="39" t="s">
        <v>5</v>
      </c>
      <c r="F46" s="39" t="s">
        <v>18</v>
      </c>
      <c r="G46" s="39"/>
      <c r="H46" s="37" t="str">
        <f>IFERROR(VLOOKUP($A46,'Crew Sheet'!#REF!,2,FALSE),"")</f>
        <v/>
      </c>
      <c r="I46" s="39" t="str">
        <f>IF($T46&lt;&gt;"x","",
IF(TRIM($D46)="P","Picking",
IF(AND(COUNTIF($F46,"*Unload*"),COUNTIF($D46,"*U*")),"Unloading",
IF(AND(COUNTIF($D46,"*L*"),COUNTIFS($I$1:I45,"Loading",$T$1:T45,"x")&lt;ROUNDUP(_xlfn.XLOOKUP("Loaders",'Crew Sheet'!$H:$H,'Crew Sheet'!$L:$L),0)),"Loading",
IF(AND(COUNTIF($D46,"*R*"),COUNTIFS($I$1:I45,"Receiving",$T$1:T45,"x")&lt;ROUNDUP(SUM('Crew Sheet'!$L$10:$L$11),0)),"Receiving",
IF(AND(COUNTIF($F46,"*Pick*"),COUNTIF($D46,"*P*")),"Picking",
IF(AND(COUNTIF($F46,"*Task*"),COUNTIF($D46,"*T*")),"Replen/Pallets/Putaways",
IF(COUNTIF($D46,"*T*"),"Replen/Pallets/Putaways","Lead/Extra"))))))))</f>
        <v/>
      </c>
      <c r="T46" s="38" t="str">
        <f>IFERROR(VLOOKUP($A46,'Crew Sheet'!#REF!,2,FALSE),"")</f>
        <v/>
      </c>
      <c r="U46" s="38">
        <f>IF($T46&lt;&gt;"x",-999,IF(ISNUMBER(SEARCH("P",$D46)),100,0)+IF(OR($F46="Picking",$F46="Picker"),500,0)+IF($G46="Above Average",1000,IF($G46="Average",100,0)))</f>
        <v>-999</v>
      </c>
      <c r="V46" s="38">
        <f t="shared" si="1"/>
        <v>-999</v>
      </c>
      <c r="W46" s="38">
        <f>IF($T46&lt;&gt;"x",-999,IF(ISNUMBER(SEARCH("T",$D46)),100,0)+IF(OR($F46="Tasking",$F46="Tasker",$F46="Putaway",$F46="Putaways",$F46="Replenishment",$F46="Full Pallet Puller"),500,0)+IF($G46="Above Average",1000,IF($G46="Average",100,0)))</f>
        <v>-999</v>
      </c>
      <c r="X46" s="38">
        <f t="shared" si="3"/>
        <v>-999</v>
      </c>
    </row>
    <row r="47" spans="1:25" ht="15.75" x14ac:dyDescent="0.2">
      <c r="A47" s="39" t="s">
        <v>221</v>
      </c>
      <c r="B47" s="39"/>
      <c r="C47" s="39"/>
      <c r="D47" s="39" t="s">
        <v>164</v>
      </c>
      <c r="E47" s="39" t="s">
        <v>12</v>
      </c>
      <c r="F47" s="39" t="s">
        <v>10</v>
      </c>
      <c r="G47" s="39"/>
      <c r="H47" s="37" t="str">
        <f>IFERROR(VLOOKUP($A47,'Crew Sheet'!#REF!,2,FALSE),"")</f>
        <v/>
      </c>
      <c r="I47" s="39" t="str">
        <f>IF($T47&lt;&gt;"x","",
IF(TRIM($D47)="P","Picking",
IF(AND(COUNTIF($F47,"*Unload*"),COUNTIF($D47,"*U*")),"Unloading",
IF(AND(COUNTIF($D47,"*L*"),COUNTIFS($I$1:I46,"Loading",$T$1:T46,"x")&lt;ROUNDUP(_xlfn.XLOOKUP("Loaders",'Crew Sheet'!$H:$H,'Crew Sheet'!$L:$L),0)),"Loading",
IF(AND(COUNTIF($D47,"*R*"),COUNTIFS($I$1:I46,"Receiving",$T$1:T46,"x")&lt;ROUNDUP(SUM('Crew Sheet'!$L$10:$L$11),0)),"Receiving",
IF(AND(COUNTIF($F47,"*Pick*"),COUNTIF($D47,"*P*")),"Picking",
IF(AND(COUNTIF($F47,"*Task*"),COUNTIF($D47,"*T*")),"Replen/Pallets/Putaways",
IF(COUNTIF($D47,"*T*"),"Replen/Pallets/Putaways","Lead/Extra"))))))))</f>
        <v/>
      </c>
      <c r="T47" s="38" t="str">
        <f>IFERROR(VLOOKUP($A47,'Crew Sheet'!#REF!,2,FALSE),"")</f>
        <v/>
      </c>
    </row>
    <row r="48" spans="1:25" ht="15.75" x14ac:dyDescent="0.2">
      <c r="A48" s="39" t="s">
        <v>222</v>
      </c>
      <c r="B48" s="67"/>
      <c r="C48" s="67"/>
      <c r="D48" s="39" t="s">
        <v>164</v>
      </c>
      <c r="E48" s="39" t="s">
        <v>12</v>
      </c>
      <c r="F48" s="39" t="s">
        <v>10</v>
      </c>
      <c r="G48" s="39"/>
      <c r="H48" s="37" t="str">
        <f>IFERROR(VLOOKUP(#REF!,'Crew Sheet'!#REF!,2,FALSE),"")</f>
        <v/>
      </c>
      <c r="I48" s="39" t="str">
        <f>IF($T48&lt;&gt;"x","",
IF(TRIM($D48)="P","Picking",
IF(AND(COUNTIF($F48,"*Unload*"),COUNTIF($D48,"*U*")),"Unloading",
IF(AND(COUNTIF($D48,"*L*"),COUNTIFS($I$1:I47,"Loading",$T$1:T47,"x")&lt;ROUNDUP(_xlfn.XLOOKUP("Loaders",'Crew Sheet'!$H:$H,'Crew Sheet'!$L:$L),0)),"Loading",
IF(AND(COUNTIF($D48,"*R*"),COUNTIFS($I$1:I47,"Receiving",$T$1:T47,"x")&lt;ROUNDUP(SUM('Crew Sheet'!$L$10:$L$11),0)),"Receiving",
IF(AND(COUNTIF($F48,"*Pick*"),COUNTIF($D48,"*P*")),"Picking",
IF(AND(COUNTIF($F48,"*Task*"),COUNTIF($D48,"*T*")),"Replen/Pallets/Putaways",
IF(COUNTIF($D48,"*T*"),"Replen/Pallets/Putaways","Lead/Extra"))))))))</f>
        <v/>
      </c>
    </row>
    <row r="49" spans="1:9" ht="15.75" x14ac:dyDescent="0.2">
      <c r="A49" s="39"/>
      <c r="B49" s="39"/>
      <c r="C49" s="39"/>
      <c r="D49" s="39"/>
      <c r="E49" s="39"/>
      <c r="F49" s="39"/>
      <c r="G49" s="39"/>
      <c r="H49" s="37" t="str">
        <f>IFERROR(VLOOKUP($A49,'Crew Sheet'!#REF!,2,FALSE),"")</f>
        <v/>
      </c>
      <c r="I49" s="39" t="str">
        <f>IF($T49&lt;&gt;"x","",
IF(TRIM($D49)="P","Picking",
IF(AND(COUNTIF($F49,"*Unload*"),COUNTIF($D49,"*U*")),"Unloading",
IF(AND(COUNTIF($D49,"*L*"),COUNTIFS($I$1:I48,"Loading",$T$1:T48,"x")&lt;ROUNDUP(_xlfn.XLOOKUP("Loaders",'Crew Sheet'!$H:$H,'Crew Sheet'!$L:$L),0)),"Loading",
IF(AND(COUNTIF($D49,"*R*"),COUNTIFS($I$1:I48,"Receiving",$T$1:T48,"x")&lt;ROUNDUP(SUM('Crew Sheet'!$L$10:$L$11),0)),"Receiving",
IF(AND(COUNTIF($F49,"*Pick*"),COUNTIF($D49,"*P*")),"Picking",
IF(AND(COUNTIF($F49,"*Task*"),COUNTIF($D49,"*T*")),"Replen/Pallets/Putaways",
IF(COUNTIF($D49,"*T*"),"Replen/Pallets/Putaways","Lead/Extra"))))))))</f>
        <v/>
      </c>
    </row>
    <row r="50" spans="1:9" ht="15.75" x14ac:dyDescent="0.2">
      <c r="A50" s="67"/>
      <c r="B50" s="39"/>
      <c r="C50" s="39"/>
      <c r="D50" s="39"/>
      <c r="E50" s="39"/>
      <c r="F50" s="39"/>
      <c r="G50" s="39"/>
      <c r="H50" s="37" t="str">
        <f>IFERROR(VLOOKUP($A48,'Crew Sheet'!#REF!,2,FALSE),"")</f>
        <v/>
      </c>
      <c r="I50" s="39" t="str">
        <f>IF($T50&lt;&gt;"x","",
IF(TRIM($D50)="P","Picking",
IF(AND(COUNTIF($F50,"*Unload*"),COUNTIF($D50,"*U*")),"Unloading",
IF(AND(COUNTIF($D50,"*L*"),COUNTIFS($I$1:I49,"Loading",$T$1:T49,"x")&lt;ROUNDUP(_xlfn.XLOOKUP("Loaders",'Crew Sheet'!$H:$H,'Crew Sheet'!$L:$L),0)),"Loading",
IF(AND(COUNTIF($D50,"*R*"),COUNTIFS($I$1:I49,"Receiving",$T$1:T49,"x")&lt;ROUNDUP(SUM('Crew Sheet'!$L$10:$L$11),0)),"Receiving",
IF(AND(COUNTIF($F50,"*Pick*"),COUNTIF($D50,"*P*")),"Picking",
IF(AND(COUNTIF($F50,"*Task*"),COUNTIF($D50,"*T*")),"Replen/Pallets/Putaways",
IF(COUNTIF($D50,"*T*"),"Replen/Pallets/Putaways","Lead/Extra"))))))))</f>
        <v/>
      </c>
    </row>
  </sheetData>
  <dataValidations count="6">
    <dataValidation type="list" allowBlank="1" showInputMessage="1" showErrorMessage="1" sqref="H1" xr:uid="{86647B25-3CB9-4B3F-B94D-87EC92B6E8F2}">
      <formula1>$O$1:$O$3</formula1>
    </dataValidation>
    <dataValidation type="list" allowBlank="1" showInputMessage="1" showErrorMessage="1" sqref="G2:G50" xr:uid="{E970C2F2-E80C-4826-B44C-BBA0896DF4F3}">
      <formula1>$L$2:$L$4</formula1>
    </dataValidation>
    <dataValidation type="list" allowBlank="1" showInputMessage="1" showErrorMessage="1" sqref="E2:E50" xr:uid="{15D39B27-E883-4547-A937-98B0AEF15C77}">
      <formula1>$M$1:$M$2</formula1>
    </dataValidation>
    <dataValidation type="list" allowBlank="1" showInputMessage="1" showErrorMessage="1" sqref="C2:C50" xr:uid="{62A92420-E032-48A1-9BCC-87B219E6FEB6}">
      <formula1>$R$1:$R$2</formula1>
    </dataValidation>
    <dataValidation type="list" allowBlank="1" showInputMessage="1" showErrorMessage="1" sqref="B2:B50" xr:uid="{6D99386C-DBB0-4FED-BA33-E27E62BCDE69}">
      <formula1>$S$1:$S$2</formula1>
    </dataValidation>
    <dataValidation type="list" allowBlank="1" showInputMessage="1" showErrorMessage="1" sqref="F2:F50" xr:uid="{A5EDA5E0-11A9-42FD-9B8C-91F0CD5A616A}">
      <formula1>$K$2:$K$9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944C8-EFA3-4D03-A494-6776752FEB82}">
  <sheetPr>
    <tabColor theme="4"/>
  </sheetPr>
  <dimension ref="A1:P51"/>
  <sheetViews>
    <sheetView workbookViewId="0">
      <selection activeCell="P2" sqref="P2"/>
    </sheetView>
  </sheetViews>
  <sheetFormatPr defaultRowHeight="15" x14ac:dyDescent="0.25"/>
  <cols>
    <col min="1" max="1" width="19.28515625" bestFit="1" customWidth="1"/>
    <col min="2" max="2" width="10.7109375" hidden="1" customWidth="1"/>
    <col min="3" max="3" width="25.28515625" hidden="1" customWidth="1"/>
    <col min="4" max="4" width="11" bestFit="1" customWidth="1"/>
    <col min="5" max="5" width="21.5703125" bestFit="1" customWidth="1"/>
    <col min="6" max="6" width="12.7109375" bestFit="1" customWidth="1"/>
    <col min="7" max="7" width="18.28515625" hidden="1" customWidth="1"/>
    <col min="8" max="8" width="13" hidden="1" customWidth="1"/>
    <col min="9" max="9" width="25.28515625" bestFit="1" customWidth="1"/>
  </cols>
  <sheetData>
    <row r="1" spans="1:16" ht="15.75" x14ac:dyDescent="0.25">
      <c r="A1" s="37" t="s">
        <v>0</v>
      </c>
      <c r="B1" s="37" t="s">
        <v>158</v>
      </c>
      <c r="C1" s="37" t="s">
        <v>159</v>
      </c>
      <c r="D1" s="37" t="s">
        <v>107</v>
      </c>
      <c r="E1" s="37" t="s">
        <v>108</v>
      </c>
      <c r="F1" s="37" t="s">
        <v>109</v>
      </c>
      <c r="G1" s="37" t="s">
        <v>110</v>
      </c>
      <c r="H1" s="37" t="s">
        <v>1</v>
      </c>
      <c r="I1" s="37" t="s">
        <v>166</v>
      </c>
      <c r="P1" t="s">
        <v>1</v>
      </c>
    </row>
    <row r="2" spans="1:16" ht="15.75" x14ac:dyDescent="0.25">
      <c r="A2" s="105" t="s">
        <v>275</v>
      </c>
      <c r="B2" s="67"/>
      <c r="C2" s="67"/>
      <c r="D2" s="73" t="s">
        <v>164</v>
      </c>
      <c r="E2" s="73" t="s">
        <v>83</v>
      </c>
      <c r="F2" s="73" t="s">
        <v>10</v>
      </c>
      <c r="G2" s="73"/>
      <c r="H2" s="103" t="str">
        <f>IFERROR(VLOOKUP($A2,'Crew Sheet'!#REF!,2,FALSE),"")</f>
        <v/>
      </c>
      <c r="I2" s="104" t="str">
        <f>IF($T2&lt;&gt;"x","",
IF(TRIM($D2)="P","Picking",
IF(AND(COUNTIF($F2,"*Unload*"),COUNTIF($D2,"*U*")),"Unloading",
IF(AND(COUNTIF($D2,"*L*"),COUNTIFS($I$1:I1,"Loading",$T$1:T1,"x")&lt;ROUNDUP(_xlfn.XLOOKUP("Loaders",'Crew Sheet'!$H:$H,'Crew Sheet'!$L:$L),0)),"Loading",
IF(AND(COUNTIF($D2,"*R*"),COUNTIFS($I$1:I1,"Receiving",$T$1:T1,"x")&lt;ROUNDUP(SUM('Crew Sheet'!$L$10:$L$11),0)),"Receiving",
IF(AND(COUNTIF($F2,"*Pick*"),COUNTIF($D2,"*P*")),"Picking",
IF(AND(COUNTIF($F2,"*Task*"),COUNTIF($D2,"*T*")),"Replen/Pallets/Putaways",
IF(COUNTIF($D2,"*T*"),"Replen/Pallets/Putaways","Lead/Extra"))))))))</f>
        <v/>
      </c>
    </row>
    <row r="3" spans="1:16" ht="15.75" x14ac:dyDescent="0.25">
      <c r="A3" s="98" t="s">
        <v>223</v>
      </c>
      <c r="B3" s="39"/>
      <c r="C3" s="39"/>
      <c r="D3" s="39" t="s">
        <v>189</v>
      </c>
      <c r="E3" s="39" t="s">
        <v>83</v>
      </c>
      <c r="F3" s="39" t="s">
        <v>197</v>
      </c>
      <c r="G3" s="39"/>
      <c r="H3" s="37" t="str">
        <f>IFERROR(VLOOKUP($A3,'Crew Sheet'!#REF!,2,FALSE),"")</f>
        <v/>
      </c>
      <c r="I3" s="39" t="str">
        <f>IF($T3&lt;&gt;"x","",
IF(TRIM($D3)="P","Picking",
IF(AND(COUNTIF($F3,"*Unload*"),COUNTIF($D3,"*U*")),"Unloading",
IF(AND(COUNTIF($D3,"*L*"),COUNTIFS($I$1:I2,"Loading",$T$1:T2,"x")&lt;ROUNDUP(_xlfn.XLOOKUP("Loaders",'Crew Sheet'!$H:$H,'Crew Sheet'!$L:$L),0)),"Loading",
IF(AND(COUNTIF($D3,"*R*"),COUNTIFS($I$1:I2,"Receiving",$T$1:T2,"x")&lt;ROUNDUP(SUM('Crew Sheet'!$L$10:$L$11),0)),"Receiving",
IF(AND(COUNTIF($F3,"*Pick*"),COUNTIF($D3,"*P*")),"Picking",
IF(AND(COUNTIF($F3,"*Task*"),COUNTIF($D3,"*T*")),"Replen/Pallets/Putaways",
IF(COUNTIF($D3,"*T*"),"Replen/Pallets/Putaways","Lead/Extra"))))))))</f>
        <v/>
      </c>
    </row>
    <row r="4" spans="1:16" ht="15.75" x14ac:dyDescent="0.25">
      <c r="A4" s="99" t="s">
        <v>224</v>
      </c>
      <c r="B4" s="39"/>
      <c r="C4" s="39"/>
      <c r="D4" s="39" t="s">
        <v>191</v>
      </c>
      <c r="E4" s="39" t="s">
        <v>83</v>
      </c>
      <c r="F4" s="39" t="s">
        <v>28</v>
      </c>
      <c r="G4" s="39"/>
      <c r="H4" s="37" t="str">
        <f>IFERROR(VLOOKUP($A4,'Crew Sheet'!#REF!,2,FALSE),"")</f>
        <v/>
      </c>
      <c r="I4" s="39" t="str">
        <f>IF($T4&lt;&gt;"x","",
IF(TRIM($D4)="P","Picking",
IF(AND(COUNTIF($F4,"*Unload*"),COUNTIF($D4,"*U*")),"Unloading",
IF(AND(COUNTIF($D4,"*L*"),COUNTIFS($I$1:I3,"Loading",$T$1:T3,"x")&lt;ROUNDUP(_xlfn.XLOOKUP("Loaders",'Crew Sheet'!$H:$H,'Crew Sheet'!$L:$L),0)),"Loading",
IF(AND(COUNTIF($D4,"*R*"),COUNTIFS($I$1:I3,"Receiving",$T$1:T3,"x")&lt;ROUNDUP(SUM('Crew Sheet'!$L$10:$L$11),0)),"Receiving",
IF(AND(COUNTIF($F4,"*Pick*"),COUNTIF($D4,"*P*")),"Picking",
IF(AND(COUNTIF($F4,"*Task*"),COUNTIF($D4,"*T*")),"Replen/Pallets/Putaways",
IF(COUNTIF($D4,"*T*"),"Replen/Pallets/Putaways","Lead/Extra"))))))))</f>
        <v/>
      </c>
    </row>
    <row r="5" spans="1:16" ht="15.75" x14ac:dyDescent="0.25">
      <c r="A5" s="100" t="s">
        <v>225</v>
      </c>
      <c r="B5" s="39"/>
      <c r="C5" s="39"/>
      <c r="D5" s="39" t="s">
        <v>191</v>
      </c>
      <c r="E5" s="39" t="s">
        <v>83</v>
      </c>
      <c r="F5" s="39" t="s">
        <v>28</v>
      </c>
      <c r="G5" s="39"/>
      <c r="H5" s="37" t="str">
        <f>IFERROR(VLOOKUP($A5,'Crew Sheet'!#REF!,2,FALSE),"")</f>
        <v/>
      </c>
      <c r="I5" s="39" t="str">
        <f>IF($T5&lt;&gt;"x","",
IF(TRIM($D5)="P","Picking",
IF(AND(COUNTIF($F5,"*Unload*"),COUNTIF($D5,"*U*")),"Unloading",
IF(AND(COUNTIF($D5,"*L*"),COUNTIFS($I$1:I4,"Loading",$T$1:T4,"x")&lt;ROUNDUP(_xlfn.XLOOKUP("Loaders",'Crew Sheet'!$H:$H,'Crew Sheet'!$L:$L),0)),"Loading",
IF(AND(COUNTIF($D5,"*R*"),COUNTIFS($I$1:I4,"Receiving",$T$1:T4,"x")&lt;ROUNDUP(SUM('Crew Sheet'!$L$10:$L$11),0)),"Receiving",
IF(AND(COUNTIF($F5,"*Pick*"),COUNTIF($D5,"*P*")),"Picking",
IF(AND(COUNTIF($F5,"*Task*"),COUNTIF($D5,"*T*")),"Replen/Pallets/Putaways",
IF(COUNTIF($D5,"*T*"),"Replen/Pallets/Putaways","Lead/Extra"))))))))</f>
        <v/>
      </c>
    </row>
    <row r="6" spans="1:16" ht="15.75" x14ac:dyDescent="0.25">
      <c r="A6" s="100" t="s">
        <v>226</v>
      </c>
      <c r="B6" s="39"/>
      <c r="C6" s="39"/>
      <c r="D6" s="39" t="s">
        <v>189</v>
      </c>
      <c r="E6" s="39" t="s">
        <v>83</v>
      </c>
      <c r="F6" s="39" t="s">
        <v>197</v>
      </c>
      <c r="G6" s="39"/>
      <c r="H6" s="37" t="str">
        <f>IFERROR(VLOOKUP($A6,'Crew Sheet'!#REF!,2,FALSE),"")</f>
        <v/>
      </c>
      <c r="I6" s="39" t="str">
        <f>IF($T6&lt;&gt;"x","",
IF(TRIM($D6)="P","Picking",
IF(AND(COUNTIF($F6,"*Unload*"),COUNTIF($D6,"*U*")),"Unloading",
IF(AND(COUNTIF($D6,"*L*"),COUNTIFS($I$1:I5,"Loading",$T$1:T5,"x")&lt;ROUNDUP(_xlfn.XLOOKUP("Loaders",'Crew Sheet'!$H:$H,'Crew Sheet'!$L:$L),0)),"Loading",
IF(AND(COUNTIF($D6,"*R*"),COUNTIFS($I$1:I5,"Receiving",$T$1:T5,"x")&lt;ROUNDUP(SUM('Crew Sheet'!$L$10:$L$11),0)),"Receiving",
IF(AND(COUNTIF($F6,"*Pick*"),COUNTIF($D6,"*P*")),"Picking",
IF(AND(COUNTIF($F6,"*Task*"),COUNTIF($D6,"*T*")),"Replen/Pallets/Putaways",
IF(COUNTIF($D6,"*T*"),"Replen/Pallets/Putaways","Lead/Extra"))))))))</f>
        <v/>
      </c>
    </row>
    <row r="7" spans="1:16" ht="15.75" x14ac:dyDescent="0.25">
      <c r="A7" s="101" t="s">
        <v>227</v>
      </c>
      <c r="B7" s="39"/>
      <c r="C7" s="39"/>
      <c r="D7" s="39" t="s">
        <v>164</v>
      </c>
      <c r="E7" s="39"/>
      <c r="F7" s="39" t="s">
        <v>10</v>
      </c>
      <c r="G7" s="39"/>
      <c r="H7" s="37" t="str">
        <f>IFERROR(VLOOKUP($A7,'Crew Sheet'!#REF!,2,FALSE),"")</f>
        <v/>
      </c>
      <c r="I7" s="39" t="str">
        <f>IF($T7&lt;&gt;"x","",
IF(TRIM($D7)="P","Picking",
IF(AND(COUNTIF($F7,"*Unload*"),COUNTIF($D7,"*U*")),"Unloading",
IF(AND(COUNTIF($D7,"*L*"),COUNTIFS($I$1:I6,"Loading",$T$1:T6,"x")&lt;ROUNDUP(_xlfn.XLOOKUP("Loaders",'Crew Sheet'!$H:$H,'Crew Sheet'!$L:$L),0)),"Loading",
IF(AND(COUNTIF($D7,"*R*"),COUNTIFS($I$1:I6,"Receiving",$T$1:T6,"x")&lt;ROUNDUP(SUM('Crew Sheet'!$L$10:$L$11),0)),"Receiving",
IF(AND(COUNTIF($F7,"*Pick*"),COUNTIF($D7,"*P*")),"Picking",
IF(AND(COUNTIF($F7,"*Task*"),COUNTIF($D7,"*T*")),"Replen/Pallets/Putaways",
IF(COUNTIF($D7,"*T*"),"Replen/Pallets/Putaways","Lead/Extra"))))))))</f>
        <v/>
      </c>
    </row>
    <row r="8" spans="1:16" ht="15.75" x14ac:dyDescent="0.25">
      <c r="A8" s="99" t="s">
        <v>228</v>
      </c>
      <c r="B8" s="39"/>
      <c r="C8" s="39"/>
      <c r="D8" s="39" t="s">
        <v>189</v>
      </c>
      <c r="E8" s="39" t="s">
        <v>83</v>
      </c>
      <c r="F8" s="39" t="s">
        <v>10</v>
      </c>
      <c r="G8" s="39"/>
      <c r="H8" s="37" t="str">
        <f>IFERROR(VLOOKUP($A8,'Crew Sheet'!#REF!,2,FALSE),"")</f>
        <v/>
      </c>
      <c r="I8" s="39" t="str">
        <f>IF($T8&lt;&gt;"x","",
IF(TRIM($D8)="P","Picking",
IF(AND(COUNTIF($F8,"*Unload*"),COUNTIF($D8,"*U*")),"Unloading",
IF(AND(COUNTIF($D8,"*L*"),COUNTIFS($I$1:I7,"Loading",$T$1:T7,"x")&lt;ROUNDUP(_xlfn.XLOOKUP("Loaders",'Crew Sheet'!$H:$H,'Crew Sheet'!$L:$L),0)),"Loading",
IF(AND(COUNTIF($D8,"*R*"),COUNTIFS($I$1:I7,"Receiving",$T$1:T7,"x")&lt;ROUNDUP(SUM('Crew Sheet'!$L$10:$L$11),0)),"Receiving",
IF(AND(COUNTIF($F8,"*Pick*"),COUNTIF($D8,"*P*")),"Picking",
IF(AND(COUNTIF($F8,"*Task*"),COUNTIF($D8,"*T*")),"Replen/Pallets/Putaways",
IF(COUNTIF($D8,"*T*"),"Replen/Pallets/Putaways","Lead/Extra"))))))))</f>
        <v/>
      </c>
    </row>
    <row r="9" spans="1:16" ht="15.75" x14ac:dyDescent="0.25">
      <c r="A9" s="99" t="s">
        <v>229</v>
      </c>
      <c r="B9" s="39"/>
      <c r="C9" s="39"/>
      <c r="D9" s="39" t="s">
        <v>191</v>
      </c>
      <c r="E9" s="39" t="s">
        <v>83</v>
      </c>
      <c r="F9" s="39" t="s">
        <v>197</v>
      </c>
      <c r="G9" s="39"/>
      <c r="H9" s="37" t="str">
        <f>IFERROR(VLOOKUP($A9,'Crew Sheet'!#REF!,2,FALSE),"")</f>
        <v/>
      </c>
      <c r="I9" s="39" t="str">
        <f>IF($T9&lt;&gt;"x","",
IF(TRIM($D9)="P","Picking",
IF(AND(COUNTIF($F9,"*Unload*"),COUNTIF($D9,"*U*")),"Unloading",
IF(AND(COUNTIF($D9,"*L*"),COUNTIFS($I$1:I8,"Loading",$T$1:T8,"x")&lt;ROUNDUP(_xlfn.XLOOKUP("Loaders",'Crew Sheet'!$H:$H,'Crew Sheet'!$L:$L),0)),"Loading",
IF(AND(COUNTIF($D9,"*R*"),COUNTIFS($I$1:I8,"Receiving",$T$1:T8,"x")&lt;ROUNDUP(SUM('Crew Sheet'!$L$10:$L$11),0)),"Receiving",
IF(AND(COUNTIF($F9,"*Pick*"),COUNTIF($D9,"*P*")),"Picking",
IF(AND(COUNTIF($F9,"*Task*"),COUNTIF($D9,"*T*")),"Replen/Pallets/Putaways",
IF(COUNTIF($D9,"*T*"),"Replen/Pallets/Putaways","Lead/Extra"))))))))</f>
        <v/>
      </c>
    </row>
    <row r="10" spans="1:16" ht="15.75" x14ac:dyDescent="0.25">
      <c r="A10" s="99" t="s">
        <v>230</v>
      </c>
      <c r="B10" s="39"/>
      <c r="C10" s="39"/>
      <c r="D10" s="39" t="s">
        <v>164</v>
      </c>
      <c r="E10" s="39" t="s">
        <v>132</v>
      </c>
      <c r="F10" s="39" t="s">
        <v>10</v>
      </c>
      <c r="G10" s="39"/>
      <c r="H10" s="37" t="str">
        <f>IFERROR(VLOOKUP($A10,'Crew Sheet'!#REF!,2,FALSE),"")</f>
        <v/>
      </c>
      <c r="I10" s="39" t="str">
        <f>IF($T10&lt;&gt;"x","",
IF(TRIM($D10)="P","Picking",
IF(AND(COUNTIF($F10,"*Unload*"),COUNTIF($D10,"*U*")),"Unloading",
IF(AND(COUNTIF($D10,"*L*"),COUNTIFS($I$1:I9,"Loading",$T$1:T9,"x")&lt;ROUNDUP(_xlfn.XLOOKUP("Loaders",'Crew Sheet'!$H:$H,'Crew Sheet'!$L:$L),0)),"Loading",
IF(AND(COUNTIF($D10,"*R*"),COUNTIFS($I$1:I9,"Receiving",$T$1:T9,"x")&lt;ROUNDUP(SUM('Crew Sheet'!$L$10:$L$11),0)),"Receiving",
IF(AND(COUNTIF($F10,"*Pick*"),COUNTIF($D10,"*P*")),"Picking",
IF(AND(COUNTIF($F10,"*Task*"),COUNTIF($D10,"*T*")),"Replen/Pallets/Putaways",
IF(COUNTIF($D10,"*T*"),"Replen/Pallets/Putaways","Lead/Extra"))))))))</f>
        <v/>
      </c>
    </row>
    <row r="11" spans="1:16" ht="15.75" x14ac:dyDescent="0.25">
      <c r="A11" s="99" t="s">
        <v>231</v>
      </c>
      <c r="B11" s="39"/>
      <c r="C11" s="39"/>
      <c r="D11" s="39" t="s">
        <v>165</v>
      </c>
      <c r="E11" s="39" t="s">
        <v>83</v>
      </c>
      <c r="F11" s="39" t="s">
        <v>197</v>
      </c>
      <c r="G11" s="39"/>
      <c r="H11" s="37" t="str">
        <f>IFERROR(VLOOKUP($A11,'Crew Sheet'!#REF!,2,FALSE),"")</f>
        <v/>
      </c>
      <c r="I11" s="39" t="str">
        <f>IF($T11&lt;&gt;"x","",
IF(TRIM($D11)="P","Picking",
IF(AND(COUNTIF($F11,"*Unload*"),COUNTIF($D11,"*U*")),"Unloading",
IF(AND(COUNTIF($D11,"*L*"),COUNTIFS($I$1:I10,"Loading",$T$1:T10,"x")&lt;ROUNDUP(_xlfn.XLOOKUP("Loaders",'Crew Sheet'!$H:$H,'Crew Sheet'!$L:$L),0)),"Loading",
IF(AND(COUNTIF($D11,"*R*"),COUNTIFS($I$1:I10,"Receiving",$T$1:T10,"x")&lt;ROUNDUP(SUM('Crew Sheet'!$L$10:$L$11),0)),"Receiving",
IF(AND(COUNTIF($F11,"*Pick*"),COUNTIF($D11,"*P*")),"Picking",
IF(AND(COUNTIF($F11,"*Task*"),COUNTIF($D11,"*T*")),"Replen/Pallets/Putaways",
IF(COUNTIF($D11,"*T*"),"Replen/Pallets/Putaways","Lead/Extra"))))))))</f>
        <v/>
      </c>
    </row>
    <row r="12" spans="1:16" ht="15.75" x14ac:dyDescent="0.25">
      <c r="A12" s="100" t="s">
        <v>232</v>
      </c>
      <c r="B12" s="39"/>
      <c r="C12" s="39"/>
      <c r="D12" s="39" t="s">
        <v>194</v>
      </c>
      <c r="E12" s="39" t="s">
        <v>83</v>
      </c>
      <c r="F12" s="39" t="s">
        <v>28</v>
      </c>
      <c r="G12" s="39"/>
      <c r="H12" s="37" t="str">
        <f>IFERROR(VLOOKUP($A12,'Crew Sheet'!#REF!,2,FALSE),"")</f>
        <v/>
      </c>
      <c r="I12" s="39" t="str">
        <f>IF($T12&lt;&gt;"x","",
IF(TRIM($D12)="P","Picking",
IF(AND(COUNTIF($F12,"*Unload*"),COUNTIF($D12,"*U*")),"Unloading",
IF(AND(COUNTIF($D12,"*L*"),COUNTIFS($I$1:I11,"Loading",$T$1:T11,"x")&lt;ROUNDUP(_xlfn.XLOOKUP("Loaders",'Crew Sheet'!$H:$H,'Crew Sheet'!$L:$L),0)),"Loading",
IF(AND(COUNTIF($D12,"*R*"),COUNTIFS($I$1:I11,"Receiving",$T$1:T11,"x")&lt;ROUNDUP(SUM('Crew Sheet'!$L$10:$L$11),0)),"Receiving",
IF(AND(COUNTIF($F12,"*Pick*"),COUNTIF($D12,"*P*")),"Picking",
IF(AND(COUNTIF($F12,"*Task*"),COUNTIF($D12,"*T*")),"Replen/Pallets/Putaways",
IF(COUNTIF($D12,"*T*"),"Replen/Pallets/Putaways","Lead/Extra"))))))))</f>
        <v/>
      </c>
    </row>
    <row r="13" spans="1:16" ht="15.75" x14ac:dyDescent="0.25">
      <c r="A13" s="100" t="s">
        <v>233</v>
      </c>
      <c r="B13" s="67"/>
      <c r="C13" s="67"/>
      <c r="D13" s="39" t="s">
        <v>164</v>
      </c>
      <c r="E13" s="39"/>
      <c r="F13" s="39" t="s">
        <v>10</v>
      </c>
      <c r="G13" s="39"/>
      <c r="H13" s="37" t="str">
        <f>IFERROR(VLOOKUP($A13,'Crew Sheet'!#REF!,2,FALSE),"")</f>
        <v/>
      </c>
      <c r="I13" s="39" t="str">
        <f>IF($T13&lt;&gt;"x","",
IF(TRIM($D13)="P","Picking",
IF(AND(COUNTIF($F13,"*Unload*"),COUNTIF($D13,"*U*")),"Unloading",
IF(AND(COUNTIF($D13,"*L*"),COUNTIFS($I$1:I12,"Loading",$T$1:T12,"x")&lt;ROUNDUP(_xlfn.XLOOKUP("Loaders",'Crew Sheet'!$H:$H,'Crew Sheet'!$L:$L),0)),"Loading",
IF(AND(COUNTIF($D13,"*R*"),COUNTIFS($I$1:I12,"Receiving",$T$1:T12,"x")&lt;ROUNDUP(SUM('Crew Sheet'!$L$10:$L$11),0)),"Receiving",
IF(AND(COUNTIF($F13,"*Pick*"),COUNTIF($D13,"*P*")),"Picking",
IF(AND(COUNTIF($F13,"*Task*"),COUNTIF($D13,"*T*")),"Replen/Pallets/Putaways",
IF(COUNTIF($D13,"*T*"),"Replen/Pallets/Putaways","Lead/Extra"))))))))</f>
        <v/>
      </c>
    </row>
    <row r="14" spans="1:16" ht="15.75" x14ac:dyDescent="0.25">
      <c r="A14" s="99" t="s">
        <v>234</v>
      </c>
      <c r="B14" s="39"/>
      <c r="C14" s="39"/>
      <c r="D14" s="39" t="s">
        <v>189</v>
      </c>
      <c r="E14" s="39" t="s">
        <v>83</v>
      </c>
      <c r="F14" s="39" t="s">
        <v>197</v>
      </c>
      <c r="G14" s="39"/>
      <c r="H14" s="37" t="str">
        <f>IFERROR(VLOOKUP($A14,'Crew Sheet'!#REF!,2,FALSE),"")</f>
        <v/>
      </c>
      <c r="I14" s="39" t="str">
        <f>IF($T14&lt;&gt;"x","",
IF(TRIM($D14)="P","Picking",
IF(AND(COUNTIF($F14,"*Unload*"),COUNTIF($D14,"*U*")),"Unloading",
IF(AND(COUNTIF($D14,"*L*"),COUNTIFS($I$1:I13,"Loading",$T$1:T13,"x")&lt;ROUNDUP(_xlfn.XLOOKUP("Loaders",'Crew Sheet'!$H:$H,'Crew Sheet'!$L:$L),0)),"Loading",
IF(AND(COUNTIF($D14,"*R*"),COUNTIFS($I$1:I13,"Receiving",$T$1:T13,"x")&lt;ROUNDUP(SUM('Crew Sheet'!$L$10:$L$11),0)),"Receiving",
IF(AND(COUNTIF($F14,"*Pick*"),COUNTIF($D14,"*P*")),"Picking",
IF(AND(COUNTIF($F14,"*Task*"),COUNTIF($D14,"*T*")),"Replen/Pallets/Putaways",
IF(COUNTIF($D14,"*T*"),"Replen/Pallets/Putaways","Lead/Extra"))))))))</f>
        <v/>
      </c>
    </row>
    <row r="15" spans="1:16" ht="15.75" x14ac:dyDescent="0.25">
      <c r="A15" s="100" t="s">
        <v>235</v>
      </c>
      <c r="B15" s="39"/>
      <c r="C15" s="39"/>
      <c r="D15" s="39" t="s">
        <v>274</v>
      </c>
      <c r="E15" s="39" t="s">
        <v>132</v>
      </c>
      <c r="F15" s="39" t="s">
        <v>18</v>
      </c>
      <c r="G15" s="39"/>
      <c r="H15" s="37" t="str">
        <f>IFERROR(VLOOKUP($A15,'Crew Sheet'!#REF!,2,FALSE),"")</f>
        <v/>
      </c>
      <c r="I15" s="39" t="str">
        <f>IF($T15&lt;&gt;"x","",
IF(TRIM($D15)="P","Picking",
IF(AND(COUNTIF($F15,"*Unload*"),COUNTIF($D15,"*U*")),"Unloading",
IF(AND(COUNTIF($D15,"*L*"),COUNTIFS($I$1:I14,"Loading",$T$1:T14,"x")&lt;ROUNDUP(_xlfn.XLOOKUP("Loaders",'Crew Sheet'!$H:$H,'Crew Sheet'!$L:$L),0)),"Loading",
IF(AND(COUNTIF($D15,"*R*"),COUNTIFS($I$1:I14,"Receiving",$T$1:T14,"x")&lt;ROUNDUP(SUM('Crew Sheet'!$L$10:$L$11),0)),"Receiving",
IF(AND(COUNTIF($F15,"*Pick*"),COUNTIF($D15,"*P*")),"Picking",
IF(AND(COUNTIF($F15,"*Task*"),COUNTIF($D15,"*T*")),"Replen/Pallets/Putaways",
IF(COUNTIF($D15,"*T*"),"Replen/Pallets/Putaways","Lead/Extra"))))))))</f>
        <v/>
      </c>
    </row>
    <row r="16" spans="1:16" ht="15.75" x14ac:dyDescent="0.25">
      <c r="A16" s="100" t="s">
        <v>236</v>
      </c>
      <c r="B16" s="67"/>
      <c r="C16" s="67"/>
      <c r="D16" s="39" t="s">
        <v>164</v>
      </c>
      <c r="E16" s="39" t="s">
        <v>132</v>
      </c>
      <c r="F16" s="39" t="s">
        <v>10</v>
      </c>
      <c r="G16" s="39"/>
      <c r="H16" s="37" t="str">
        <f>IFERROR(VLOOKUP($A16,'Crew Sheet'!#REF!,2,FALSE),"")</f>
        <v/>
      </c>
      <c r="I16" s="39" t="str">
        <f>IF($T16&lt;&gt;"x","",
IF(TRIM($D16)="P","Picking",
IF(AND(COUNTIF($F16,"*Unload*"),COUNTIF($D16,"*U*")),"Unloading",
IF(AND(COUNTIF($D16,"*L*"),COUNTIFS($I$1:I15,"Loading",$T$1:T15,"x")&lt;ROUNDUP(_xlfn.XLOOKUP("Loaders",'Crew Sheet'!$H:$H,'Crew Sheet'!$L:$L),0)),"Loading",
IF(AND(COUNTIF($D16,"*R*"),COUNTIFS($I$1:I15,"Receiving",$T$1:T15,"x")&lt;ROUNDUP(SUM('Crew Sheet'!$L$10:$L$11),0)),"Receiving",
IF(AND(COUNTIF($F16,"*Pick*"),COUNTIF($D16,"*P*")),"Picking",
IF(AND(COUNTIF($F16,"*Task*"),COUNTIF($D16,"*T*")),"Replen/Pallets/Putaways",
IF(COUNTIF($D16,"*T*"),"Replen/Pallets/Putaways","Lead/Extra"))))))))</f>
        <v/>
      </c>
    </row>
    <row r="17" spans="1:9" ht="15.75" x14ac:dyDescent="0.25">
      <c r="A17" s="100" t="s">
        <v>237</v>
      </c>
      <c r="B17" s="67"/>
      <c r="C17" s="67"/>
      <c r="D17" s="39" t="s">
        <v>274</v>
      </c>
      <c r="E17" s="39" t="s">
        <v>132</v>
      </c>
      <c r="F17" s="39" t="s">
        <v>10</v>
      </c>
      <c r="G17" s="39"/>
      <c r="H17" s="70" t="str">
        <f>IFERROR(VLOOKUP($A17,'Crew Sheet'!#REF!,2,FALSE),"")</f>
        <v/>
      </c>
      <c r="I17" s="39" t="str">
        <f>IF($T17&lt;&gt;"x","",
IF(TRIM($D17)="P","Picking",
IF(AND(COUNTIF($F17,"*Unload*"),COUNTIF($D17,"*U*")),"Unloading",
IF(AND(COUNTIF($D17,"*L*"),COUNTIFS($I$1:I16,"Loading",$T$1:T16,"x")&lt;ROUNDUP(_xlfn.XLOOKUP("Loaders",'Crew Sheet'!$H:$H,'Crew Sheet'!$L:$L),0)),"Loading",
IF(AND(COUNTIF($D17,"*R*"),COUNTIFS($I$1:I16,"Receiving",$T$1:T16,"x")&lt;ROUNDUP(SUM('Crew Sheet'!$L$10:$L$11),0)),"Receiving",
IF(AND(COUNTIF($F17,"*Pick*"),COUNTIF($D17,"*P*")),"Picking",
IF(AND(COUNTIF($F17,"*Task*"),COUNTIF($D17,"*T*")),"Replen/Pallets/Putaways",
IF(COUNTIF($D17,"*T*"),"Replen/Pallets/Putaways","Lead/Extra"))))))))</f>
        <v/>
      </c>
    </row>
    <row r="18" spans="1:9" ht="15.75" x14ac:dyDescent="0.25">
      <c r="A18" s="100" t="s">
        <v>238</v>
      </c>
      <c r="B18" s="39"/>
      <c r="C18" s="39"/>
      <c r="D18" s="39" t="s">
        <v>189</v>
      </c>
      <c r="E18" s="39"/>
      <c r="F18" s="39" t="s">
        <v>10</v>
      </c>
      <c r="G18" s="39"/>
      <c r="H18" s="37" t="str">
        <f>IFERROR(VLOOKUP($A18,'Crew Sheet'!#REF!,2,FALSE),"")</f>
        <v/>
      </c>
      <c r="I18" s="39" t="str">
        <f>IF($T18&lt;&gt;"x","",
IF(TRIM($D18)="P","Picking",
IF(AND(COUNTIF($F18,"*Unload*"),COUNTIF($D18,"*U*")),"Unloading",
IF(AND(COUNTIF($D18,"*L*"),COUNTIFS($I$1:I17,"Loading",$T$1:T17,"x")&lt;ROUNDUP(_xlfn.XLOOKUP("Loaders",'Crew Sheet'!$H:$H,'Crew Sheet'!$L:$L),0)),"Loading",
IF(AND(COUNTIF($D18,"*R*"),COUNTIFS($I$1:I17,"Receiving",$T$1:T17,"x")&lt;ROUNDUP(SUM('Crew Sheet'!$L$10:$L$11),0)),"Receiving",
IF(AND(COUNTIF($F18,"*Pick*"),COUNTIF($D18,"*P*")),"Picking",
IF(AND(COUNTIF($F18,"*Task*"),COUNTIF($D18,"*T*")),"Replen/Pallets/Putaways",
IF(COUNTIF($D18,"*T*"),"Replen/Pallets/Putaways","Lead/Extra"))))))))</f>
        <v/>
      </c>
    </row>
    <row r="19" spans="1:9" ht="15.75" x14ac:dyDescent="0.25">
      <c r="A19" s="100" t="s">
        <v>239</v>
      </c>
      <c r="B19" s="39"/>
      <c r="C19" s="39"/>
      <c r="D19" s="39" t="s">
        <v>164</v>
      </c>
      <c r="E19" s="39" t="s">
        <v>132</v>
      </c>
      <c r="F19" s="39" t="s">
        <v>10</v>
      </c>
      <c r="G19" s="39"/>
      <c r="H19" s="37" t="str">
        <f>IFERROR(VLOOKUP($A19,'Crew Sheet'!#REF!,2,FALSE),"")</f>
        <v/>
      </c>
      <c r="I19" s="39" t="str">
        <f>IF($T19&lt;&gt;"x","",
IF(TRIM($D19)="P","Picking",
IF(AND(COUNTIF($F19,"*Unload*"),COUNTIF($D19,"*U*")),"Unloading",
IF(AND(COUNTIF($D19,"*L*"),COUNTIFS($I$1:I18,"Loading",$T$1:T18,"x")&lt;ROUNDUP(_xlfn.XLOOKUP("Loaders",'Crew Sheet'!$H:$H,'Crew Sheet'!$L:$L),0)),"Loading",
IF(AND(COUNTIF($D19,"*R*"),COUNTIFS($I$1:I18,"Receiving",$T$1:T18,"x")&lt;ROUNDUP(SUM('Crew Sheet'!$L$10:$L$11),0)),"Receiving",
IF(AND(COUNTIF($F19,"*Pick*"),COUNTIF($D19,"*P*")),"Picking",
IF(AND(COUNTIF($F19,"*Task*"),COUNTIF($D19,"*T*")),"Replen/Pallets/Putaways",
IF(COUNTIF($D19,"*T*"),"Replen/Pallets/Putaways","Lead/Extra"))))))))</f>
        <v/>
      </c>
    </row>
    <row r="20" spans="1:9" ht="15.75" x14ac:dyDescent="0.25">
      <c r="A20" s="100" t="s">
        <v>240</v>
      </c>
      <c r="B20" s="39"/>
      <c r="C20" s="39"/>
      <c r="D20" s="39" t="s">
        <v>164</v>
      </c>
      <c r="E20" s="39" t="s">
        <v>83</v>
      </c>
      <c r="F20" s="39" t="s">
        <v>10</v>
      </c>
      <c r="G20" s="39"/>
      <c r="H20" s="37" t="str">
        <f>IFERROR(VLOOKUP($A20,'Crew Sheet'!#REF!,2,FALSE),"")</f>
        <v/>
      </c>
      <c r="I20" s="39" t="str">
        <f>IF($T20&lt;&gt;"x","",
IF(TRIM($D20)="P","Picking",
IF(AND(COUNTIF($F20,"*Unload*"),COUNTIF($D20,"*U*")),"Unloading",
IF(AND(COUNTIF($D20,"*L*"),COUNTIFS($I$1:I19,"Loading",$T$1:T19,"x")&lt;ROUNDUP(_xlfn.XLOOKUP("Loaders",'Crew Sheet'!$H:$H,'Crew Sheet'!$L:$L),0)),"Loading",
IF(AND(COUNTIF($D20,"*R*"),COUNTIFS($I$1:I19,"Receiving",$T$1:T19,"x")&lt;ROUNDUP(SUM('Crew Sheet'!$L$10:$L$11),0)),"Receiving",
IF(AND(COUNTIF($F20,"*Pick*"),COUNTIF($D20,"*P*")),"Picking",
IF(AND(COUNTIF($F20,"*Task*"),COUNTIF($D20,"*T*")),"Replen/Pallets/Putaways",
IF(COUNTIF($D20,"*T*"),"Replen/Pallets/Putaways","Lead/Extra"))))))))</f>
        <v/>
      </c>
    </row>
    <row r="21" spans="1:9" ht="15.75" x14ac:dyDescent="0.25">
      <c r="A21" s="99" t="s">
        <v>241</v>
      </c>
      <c r="B21" s="39"/>
      <c r="C21" s="39"/>
      <c r="D21" s="39" t="s">
        <v>189</v>
      </c>
      <c r="E21" s="39" t="s">
        <v>83</v>
      </c>
      <c r="F21" s="39" t="s">
        <v>197</v>
      </c>
      <c r="G21" s="39"/>
      <c r="H21" s="37" t="str">
        <f>IFERROR(VLOOKUP($A21,'Crew Sheet'!#REF!,2,FALSE),"")</f>
        <v/>
      </c>
      <c r="I21" s="39" t="str">
        <f>IF($T21&lt;&gt;"x","",
IF(TRIM($D21)="P","Picking",
IF(AND(COUNTIF($F21,"*Unload*"),COUNTIF($D21,"*U*")),"Unloading",
IF(AND(COUNTIF($D21,"*L*"),COUNTIFS($I$1:I20,"Loading",$T$1:T20,"x")&lt;ROUNDUP(_xlfn.XLOOKUP("Loaders",'Crew Sheet'!$H:$H,'Crew Sheet'!$L:$L),0)),"Loading",
IF(AND(COUNTIF($D21,"*R*"),COUNTIFS($I$1:I20,"Receiving",$T$1:T20,"x")&lt;ROUNDUP(SUM('Crew Sheet'!$L$10:$L$11),0)),"Receiving",
IF(AND(COUNTIF($F21,"*Pick*"),COUNTIF($D21,"*P*")),"Picking",
IF(AND(COUNTIF($F21,"*Task*"),COUNTIF($D21,"*T*")),"Replen/Pallets/Putaways",
IF(COUNTIF($D21,"*T*"),"Replen/Pallets/Putaways","Lead/Extra"))))))))</f>
        <v/>
      </c>
    </row>
    <row r="22" spans="1:9" ht="15.75" x14ac:dyDescent="0.25">
      <c r="A22" s="99" t="s">
        <v>242</v>
      </c>
      <c r="B22" s="39"/>
      <c r="C22" s="39"/>
      <c r="D22" s="39" t="s">
        <v>189</v>
      </c>
      <c r="E22" s="39" t="s">
        <v>83</v>
      </c>
      <c r="F22" s="39" t="s">
        <v>10</v>
      </c>
      <c r="G22" s="39"/>
      <c r="H22" s="37" t="str">
        <f>IFERROR(VLOOKUP($A22,'Crew Sheet'!#REF!,2,FALSE),"")</f>
        <v/>
      </c>
      <c r="I22" s="39" t="str">
        <f>IF($T22&lt;&gt;"x","",
IF(TRIM($D22)="P","Picking",
IF(AND(COUNTIF($F22,"*Unload*"),COUNTIF($D22,"*U*")),"Unloading",
IF(AND(COUNTIF($D22,"*L*"),COUNTIFS($I$1:I21,"Loading",$T$1:T21,"x")&lt;ROUNDUP(_xlfn.XLOOKUP("Loaders",'Crew Sheet'!$H:$H,'Crew Sheet'!$L:$L),0)),"Loading",
IF(AND(COUNTIF($D22,"*R*"),COUNTIFS($I$1:I21,"Receiving",$T$1:T21,"x")&lt;ROUNDUP(SUM('Crew Sheet'!$L$10:$L$11),0)),"Receiving",
IF(AND(COUNTIF($F22,"*Pick*"),COUNTIF($D22,"*P*")),"Picking",
IF(AND(COUNTIF($F22,"*Task*"),COUNTIF($D22,"*T*")),"Replen/Pallets/Putaways",
IF(COUNTIF($D22,"*T*"),"Replen/Pallets/Putaways","Lead/Extra"))))))))</f>
        <v/>
      </c>
    </row>
    <row r="23" spans="1:9" ht="15.75" x14ac:dyDescent="0.25">
      <c r="A23" s="100" t="s">
        <v>243</v>
      </c>
      <c r="B23" s="39"/>
      <c r="C23" s="39"/>
      <c r="D23" s="39" t="s">
        <v>191</v>
      </c>
      <c r="E23" s="39"/>
      <c r="F23" s="39"/>
      <c r="G23" s="39"/>
      <c r="H23" s="37" t="str">
        <f>IFERROR(VLOOKUP($A23,'Crew Sheet'!#REF!,2,FALSE),"")</f>
        <v/>
      </c>
      <c r="I23" s="39" t="str">
        <f>IF($T23&lt;&gt;"x","",
IF(TRIM($D23)="P","Picking",
IF(AND(COUNTIF($F23,"*Unload*"),COUNTIF($D23,"*U*")),"Unloading",
IF(AND(COUNTIF($D23,"*L*"),COUNTIFS($I$1:I22,"Loading",$T$1:T22,"x")&lt;ROUNDUP(_xlfn.XLOOKUP("Loaders",'Crew Sheet'!$H:$H,'Crew Sheet'!$L:$L),0)),"Loading",
IF(AND(COUNTIF($D23,"*R*"),COUNTIFS($I$1:I22,"Receiving",$T$1:T22,"x")&lt;ROUNDUP(SUM('Crew Sheet'!$L$10:$L$11),0)),"Receiving",
IF(AND(COUNTIF($F23,"*Pick*"),COUNTIF($D23,"*P*")),"Picking",
IF(AND(COUNTIF($F23,"*Task*"),COUNTIF($D23,"*T*")),"Replen/Pallets/Putaways",
IF(COUNTIF($D23,"*T*"),"Replen/Pallets/Putaways","Lead/Extra"))))))))</f>
        <v/>
      </c>
    </row>
    <row r="24" spans="1:9" ht="15.75" x14ac:dyDescent="0.25">
      <c r="A24" s="99" t="s">
        <v>244</v>
      </c>
      <c r="B24" s="39"/>
      <c r="C24" s="39"/>
      <c r="D24" s="39" t="s">
        <v>164</v>
      </c>
      <c r="E24" s="39" t="s">
        <v>132</v>
      </c>
      <c r="F24" s="39" t="s">
        <v>10</v>
      </c>
      <c r="G24" s="39"/>
      <c r="H24" s="37" t="str">
        <f>IFERROR(VLOOKUP($A24,'Crew Sheet'!#REF!,2,FALSE),"")</f>
        <v/>
      </c>
      <c r="I24" s="39" t="str">
        <f>IF($T24&lt;&gt;"x","",
IF(TRIM($D24)="P","Picking",
IF(AND(COUNTIF($F24,"*Unload*"),COUNTIF($D24,"*U*")),"Unloading",
IF(AND(COUNTIF($D24,"*L*"),COUNTIFS($I$1:I23,"Loading",$T$1:T23,"x")&lt;ROUNDUP(_xlfn.XLOOKUP("Loaders",'Crew Sheet'!$H:$H,'Crew Sheet'!$L:$L),0)),"Loading",
IF(AND(COUNTIF($D24,"*R*"),COUNTIFS($I$1:I23,"Receiving",$T$1:T23,"x")&lt;ROUNDUP(SUM('Crew Sheet'!$L$10:$L$11),0)),"Receiving",
IF(AND(COUNTIF($F24,"*Pick*"),COUNTIF($D24,"*P*")),"Picking",
IF(AND(COUNTIF($F24,"*Task*"),COUNTIF($D24,"*T*")),"Replen/Pallets/Putaways",
IF(COUNTIF($D24,"*T*"),"Replen/Pallets/Putaways","Lead/Extra"))))))))</f>
        <v/>
      </c>
    </row>
    <row r="25" spans="1:9" ht="15.75" x14ac:dyDescent="0.25">
      <c r="A25" s="99" t="s">
        <v>245</v>
      </c>
      <c r="B25" s="39"/>
      <c r="C25" s="39"/>
      <c r="D25" s="39" t="s">
        <v>189</v>
      </c>
      <c r="E25" s="39" t="s">
        <v>83</v>
      </c>
      <c r="F25" s="39" t="s">
        <v>197</v>
      </c>
      <c r="G25" s="39"/>
      <c r="H25" s="37" t="str">
        <f>IFERROR(VLOOKUP($A25,'Crew Sheet'!#REF!,2,FALSE),"")</f>
        <v/>
      </c>
      <c r="I25" s="39" t="str">
        <f>IF($T25&lt;&gt;"x","",
IF(TRIM($D25)="P","Picking",
IF(AND(COUNTIF($F25,"*Unload*"),COUNTIF($D25,"*U*")),"Unloading",
IF(AND(COUNTIF($D25,"*L*"),COUNTIFS($I$1:I24,"Loading",$T$1:T24,"x")&lt;ROUNDUP(_xlfn.XLOOKUP("Loaders",'Crew Sheet'!$H:$H,'Crew Sheet'!$L:$L),0)),"Loading",
IF(AND(COUNTIF($D25,"*R*"),COUNTIFS($I$1:I24,"Receiving",$T$1:T24,"x")&lt;ROUNDUP(SUM('Crew Sheet'!$L$10:$L$11),0)),"Receiving",
IF(AND(COUNTIF($F25,"*Pick*"),COUNTIF($D25,"*P*")),"Picking",
IF(AND(COUNTIF($F25,"*Task*"),COUNTIF($D25,"*T*")),"Replen/Pallets/Putaways",
IF(COUNTIF($D25,"*T*"),"Replen/Pallets/Putaways","Lead/Extra"))))))))</f>
        <v/>
      </c>
    </row>
    <row r="26" spans="1:9" ht="15.75" x14ac:dyDescent="0.25">
      <c r="A26" s="99" t="s">
        <v>246</v>
      </c>
      <c r="B26" s="39"/>
      <c r="C26" s="39"/>
      <c r="D26" s="39" t="s">
        <v>164</v>
      </c>
      <c r="E26" s="39" t="s">
        <v>132</v>
      </c>
      <c r="F26" s="39" t="s">
        <v>10</v>
      </c>
      <c r="G26" s="39"/>
      <c r="H26" s="37" t="str">
        <f>IFERROR(VLOOKUP($A26,'Crew Sheet'!#REF!,2,FALSE),"")</f>
        <v/>
      </c>
      <c r="I26" s="39" t="str">
        <f>IF($T26&lt;&gt;"x","",
IF(TRIM($D26)="P","Picking",
IF(AND(COUNTIF($F26,"*Unload*"),COUNTIF($D26,"*U*")),"Unloading",
IF(AND(COUNTIF($D26,"*L*"),COUNTIFS($I$1:I25,"Loading",$T$1:T25,"x")&lt;ROUNDUP(_xlfn.XLOOKUP("Loaders",'Crew Sheet'!$H:$H,'Crew Sheet'!$L:$L),0)),"Loading",
IF(AND(COUNTIF($D26,"*R*"),COUNTIFS($I$1:I25,"Receiving",$T$1:T25,"x")&lt;ROUNDUP(SUM('Crew Sheet'!$L$10:$L$11),0)),"Receiving",
IF(AND(COUNTIF($F26,"*Pick*"),COUNTIF($D26,"*P*")),"Picking",
IF(AND(COUNTIF($F26,"*Task*"),COUNTIF($D26,"*T*")),"Replen/Pallets/Putaways",
IF(COUNTIF($D26,"*T*"),"Replen/Pallets/Putaways","Lead/Extra"))))))))</f>
        <v/>
      </c>
    </row>
    <row r="27" spans="1:9" ht="15.75" x14ac:dyDescent="0.25">
      <c r="A27" s="99" t="s">
        <v>247</v>
      </c>
      <c r="B27" s="39"/>
      <c r="C27" s="39"/>
      <c r="D27" s="39" t="s">
        <v>164</v>
      </c>
      <c r="E27" s="39"/>
      <c r="F27" s="39" t="s">
        <v>10</v>
      </c>
      <c r="G27" s="39"/>
      <c r="H27" s="37" t="str">
        <f>IFERROR(VLOOKUP($A27,'Crew Sheet'!#REF!,2,FALSE),"")</f>
        <v/>
      </c>
      <c r="I27" s="39" t="str">
        <f>IF($T27&lt;&gt;"x","",
IF(TRIM($D27)="P","Picking",
IF(AND(COUNTIF($F27,"*Unload*"),COUNTIF($D27,"*U*")),"Unloading",
IF(AND(COUNTIF($D27,"*L*"),COUNTIFS($I$1:I26,"Loading",$T$1:T26,"x")&lt;ROUNDUP(_xlfn.XLOOKUP("Loaders",'Crew Sheet'!$H:$H,'Crew Sheet'!$L:$L),0)),"Loading",
IF(AND(COUNTIF($D27,"*R*"),COUNTIFS($I$1:I26,"Receiving",$T$1:T26,"x")&lt;ROUNDUP(SUM('Crew Sheet'!$L$10:$L$11),0)),"Receiving",
IF(AND(COUNTIF($F27,"*Pick*"),COUNTIF($D27,"*P*")),"Picking",
IF(AND(COUNTIF($F27,"*Task*"),COUNTIF($D27,"*T*")),"Replen/Pallets/Putaways",
IF(COUNTIF($D27,"*T*"),"Replen/Pallets/Putaways","Lead/Extra"))))))))</f>
        <v/>
      </c>
    </row>
    <row r="28" spans="1:9" ht="15.75" x14ac:dyDescent="0.25">
      <c r="A28" s="100" t="s">
        <v>248</v>
      </c>
      <c r="B28" s="39"/>
      <c r="C28" s="39"/>
      <c r="D28" s="39" t="s">
        <v>191</v>
      </c>
      <c r="E28" s="39"/>
      <c r="F28" s="39" t="s">
        <v>197</v>
      </c>
      <c r="G28" s="39"/>
      <c r="H28" s="37" t="str">
        <f>IFERROR(VLOOKUP($A28,'Crew Sheet'!#REF!,2,FALSE),"")</f>
        <v/>
      </c>
      <c r="I28" s="39" t="str">
        <f>IF($T28&lt;&gt;"x","",
IF(TRIM($D28)="P","Picking",
IF(AND(COUNTIF($F28,"*Unload*"),COUNTIF($D28,"*U*")),"Unloading",
IF(AND(COUNTIF($D28,"*L*"),COUNTIFS($I$1:I27,"Loading",$T$1:T27,"x")&lt;ROUNDUP(_xlfn.XLOOKUP("Loaders",'Crew Sheet'!$H:$H,'Crew Sheet'!$L:$L),0)),"Loading",
IF(AND(COUNTIF($D28,"*R*"),COUNTIFS($I$1:I27,"Receiving",$T$1:T27,"x")&lt;ROUNDUP(SUM('Crew Sheet'!$L$10:$L$11),0)),"Receiving",
IF(AND(COUNTIF($F28,"*Pick*"),COUNTIF($D28,"*P*")),"Picking",
IF(AND(COUNTIF($F28,"*Task*"),COUNTIF($D28,"*T*")),"Replen/Pallets/Putaways",
IF(COUNTIF($D28,"*T*"),"Replen/Pallets/Putaways","Lead/Extra"))))))))</f>
        <v/>
      </c>
    </row>
    <row r="29" spans="1:9" ht="15.75" x14ac:dyDescent="0.25">
      <c r="A29" s="98" t="s">
        <v>249</v>
      </c>
      <c r="B29" s="39"/>
      <c r="C29" s="39"/>
      <c r="D29" s="39" t="s">
        <v>191</v>
      </c>
      <c r="E29" s="39" t="s">
        <v>83</v>
      </c>
      <c r="F29" s="39" t="s">
        <v>197</v>
      </c>
      <c r="G29" s="39"/>
      <c r="H29" s="37" t="str">
        <f>IFERROR(VLOOKUP($A29,'Crew Sheet'!#REF!,2,FALSE),"")</f>
        <v/>
      </c>
      <c r="I29" s="39" t="str">
        <f>IF($T29&lt;&gt;"x","",
IF(TRIM($D29)="P","Picking",
IF(AND(COUNTIF($F29,"*Unload*"),COUNTIF($D29,"*U*")),"Unloading",
IF(AND(COUNTIF($D29,"*L*"),COUNTIFS($I$1:I28,"Loading",$T$1:T28,"x")&lt;ROUNDUP(_xlfn.XLOOKUP("Loaders",'Crew Sheet'!$H:$H,'Crew Sheet'!$L:$L),0)),"Loading",
IF(AND(COUNTIF($D29,"*R*"),COUNTIFS($I$1:I28,"Receiving",$T$1:T28,"x")&lt;ROUNDUP(SUM('Crew Sheet'!$L$10:$L$11),0)),"Receiving",
IF(AND(COUNTIF($F29,"*Pick*"),COUNTIF($D29,"*P*")),"Picking",
IF(AND(COUNTIF($F29,"*Task*"),COUNTIF($D29,"*T*")),"Replen/Pallets/Putaways",
IF(COUNTIF($D29,"*T*"),"Replen/Pallets/Putaways","Lead/Extra"))))))))</f>
        <v/>
      </c>
    </row>
    <row r="30" spans="1:9" ht="15.75" x14ac:dyDescent="0.25">
      <c r="A30" s="98" t="s">
        <v>250</v>
      </c>
      <c r="B30" s="39"/>
      <c r="C30" s="39"/>
      <c r="D30" s="39" t="s">
        <v>164</v>
      </c>
      <c r="E30" s="39" t="s">
        <v>132</v>
      </c>
      <c r="F30" s="39" t="s">
        <v>10</v>
      </c>
      <c r="G30" s="39"/>
      <c r="H30" s="37" t="str">
        <f>IFERROR(VLOOKUP($A30,'Crew Sheet'!#REF!,2,FALSE),"")</f>
        <v/>
      </c>
      <c r="I30" s="39" t="str">
        <f>IF($T30&lt;&gt;"x","",
IF(TRIM($D30)="P","Picking",
IF(AND(COUNTIF($F30,"*Unload*"),COUNTIF($D30,"*U*")),"Unloading",
IF(AND(COUNTIF($D30,"*L*"),COUNTIFS($I$1:I29,"Loading",$T$1:T29,"x")&lt;ROUNDUP(_xlfn.XLOOKUP("Loaders",'Crew Sheet'!$H:$H,'Crew Sheet'!$L:$L),0)),"Loading",
IF(AND(COUNTIF($D30,"*R*"),COUNTIFS($I$1:I29,"Receiving",$T$1:T29,"x")&lt;ROUNDUP(SUM('Crew Sheet'!$L$10:$L$11),0)),"Receiving",
IF(AND(COUNTIF($F30,"*Pick*"),COUNTIF($D30,"*P*")),"Picking",
IF(AND(COUNTIF($F30,"*Task*"),COUNTIF($D30,"*T*")),"Replen/Pallets/Putaways",
IF(COUNTIF($D30,"*T*"),"Replen/Pallets/Putaways","Lead/Extra"))))))))</f>
        <v/>
      </c>
    </row>
    <row r="31" spans="1:9" ht="15.75" x14ac:dyDescent="0.25">
      <c r="A31" s="100" t="s">
        <v>251</v>
      </c>
      <c r="B31" s="39"/>
      <c r="C31" s="39"/>
      <c r="D31" s="39" t="s">
        <v>194</v>
      </c>
      <c r="E31" s="39" t="s">
        <v>83</v>
      </c>
      <c r="F31" s="39"/>
      <c r="G31" s="39"/>
      <c r="H31" s="37" t="str">
        <f>IFERROR(VLOOKUP($A31,'Crew Sheet'!#REF!,2,FALSE),"")</f>
        <v/>
      </c>
      <c r="I31" s="39" t="str">
        <f>IF($T31&lt;&gt;"x","",
IF(TRIM($D31)="P","Picking",
IF(AND(COUNTIF($F31,"*Unload*"),COUNTIF($D31,"*U*")),"Unloading",
IF(AND(COUNTIF($D31,"*L*"),COUNTIFS($I$1:I30,"Loading",$T$1:T30,"x")&lt;ROUNDUP(_xlfn.XLOOKUP("Loaders",'Crew Sheet'!$H:$H,'Crew Sheet'!$L:$L),0)),"Loading",
IF(AND(COUNTIF($D31,"*R*"),COUNTIFS($I$1:I30,"Receiving",$T$1:T30,"x")&lt;ROUNDUP(SUM('Crew Sheet'!$L$10:$L$11),0)),"Receiving",
IF(AND(COUNTIF($F31,"*Pick*"),COUNTIF($D31,"*P*")),"Picking",
IF(AND(COUNTIF($F31,"*Task*"),COUNTIF($D31,"*T*")),"Replen/Pallets/Putaways",
IF(COUNTIF($D31,"*T*"),"Replen/Pallets/Putaways","Lead/Extra"))))))))</f>
        <v/>
      </c>
    </row>
    <row r="32" spans="1:9" ht="15.75" x14ac:dyDescent="0.25">
      <c r="A32" s="99" t="s">
        <v>252</v>
      </c>
      <c r="B32" s="39"/>
      <c r="C32" s="39"/>
      <c r="D32" s="39" t="s">
        <v>189</v>
      </c>
      <c r="E32" s="39" t="s">
        <v>83</v>
      </c>
      <c r="F32" s="39" t="s">
        <v>10</v>
      </c>
      <c r="G32" s="39"/>
      <c r="H32" s="37" t="str">
        <f>IFERROR(VLOOKUP($A32,'Crew Sheet'!#REF!,2,FALSE),"")</f>
        <v/>
      </c>
      <c r="I32" s="39" t="str">
        <f>IF($T32&lt;&gt;"x","",
IF(TRIM($D32)="P","Picking",
IF(AND(COUNTIF($F32,"*Unload*"),COUNTIF($D32,"*U*")),"Unloading",
IF(AND(COUNTIF($D32,"*L*"),COUNTIFS($I$1:I31,"Loading",$T$1:T31,"x")&lt;ROUNDUP(_xlfn.XLOOKUP("Loaders",'Crew Sheet'!$H:$H,'Crew Sheet'!$L:$L),0)),"Loading",
IF(AND(COUNTIF($D32,"*R*"),COUNTIFS($I$1:I31,"Receiving",$T$1:T31,"x")&lt;ROUNDUP(SUM('Crew Sheet'!$L$10:$L$11),0)),"Receiving",
IF(AND(COUNTIF($F32,"*Pick*"),COUNTIF($D32,"*P*")),"Picking",
IF(AND(COUNTIF($F32,"*Task*"),COUNTIF($D32,"*T*")),"Replen/Pallets/Putaways",
IF(COUNTIF($D32,"*T*"),"Replen/Pallets/Putaways","Lead/Extra"))))))))</f>
        <v/>
      </c>
    </row>
    <row r="33" spans="1:9" ht="15.75" x14ac:dyDescent="0.25">
      <c r="A33" s="100" t="s">
        <v>253</v>
      </c>
      <c r="B33" s="39"/>
      <c r="C33" s="39"/>
      <c r="D33" s="39" t="s">
        <v>164</v>
      </c>
      <c r="E33" s="39" t="s">
        <v>132</v>
      </c>
      <c r="F33" s="39" t="s">
        <v>10</v>
      </c>
      <c r="G33" s="39"/>
      <c r="H33" s="37" t="str">
        <f>IFERROR(VLOOKUP($A33,'Crew Sheet'!#REF!,2,FALSE),"")</f>
        <v/>
      </c>
      <c r="I33" s="39" t="str">
        <f>IF($T33&lt;&gt;"x","",
IF(TRIM($D33)="P","Picking",
IF(AND(COUNTIF($F33,"*Unload*"),COUNTIF($D33,"*U*")),"Unloading",
IF(AND(COUNTIF($D33,"*L*"),COUNTIFS($I$1:I32,"Loading",$T$1:T32,"x")&lt;ROUNDUP(_xlfn.XLOOKUP("Loaders",'Crew Sheet'!$H:$H,'Crew Sheet'!$L:$L),0)),"Loading",
IF(AND(COUNTIF($D33,"*R*"),COUNTIFS($I$1:I32,"Receiving",$T$1:T32,"x")&lt;ROUNDUP(SUM('Crew Sheet'!$L$10:$L$11),0)),"Receiving",
IF(AND(COUNTIF($F33,"*Pick*"),COUNTIF($D33,"*P*")),"Picking",
IF(AND(COUNTIF($F33,"*Task*"),COUNTIF($D33,"*T*")),"Replen/Pallets/Putaways",
IF(COUNTIF($D33,"*T*"),"Replen/Pallets/Putaways","Lead/Extra"))))))))</f>
        <v/>
      </c>
    </row>
    <row r="34" spans="1:9" ht="15.75" x14ac:dyDescent="0.25">
      <c r="A34" s="100" t="s">
        <v>254</v>
      </c>
      <c r="B34" s="39"/>
      <c r="C34" s="39"/>
      <c r="D34" s="39" t="s">
        <v>189</v>
      </c>
      <c r="E34" s="39" t="s">
        <v>83</v>
      </c>
      <c r="F34" s="39" t="s">
        <v>197</v>
      </c>
      <c r="G34" s="39"/>
      <c r="H34" s="37" t="str">
        <f>IFERROR(VLOOKUP($A34,'Crew Sheet'!#REF!,2,FALSE),"")</f>
        <v/>
      </c>
      <c r="I34" s="39" t="str">
        <f>IF($T34&lt;&gt;"x","",
IF(TRIM($D34)="P","Picking",
IF(AND(COUNTIF($F34,"*Unload*"),COUNTIF($D34,"*U*")),"Unloading",
IF(AND(COUNTIF($D34,"*L*"),COUNTIFS($I$1:I33,"Loading",$T$1:T33,"x")&lt;ROUNDUP(_xlfn.XLOOKUP("Loaders",'Crew Sheet'!$H:$H,'Crew Sheet'!$L:$L),0)),"Loading",
IF(AND(COUNTIF($D34,"*R*"),COUNTIFS($I$1:I33,"Receiving",$T$1:T33,"x")&lt;ROUNDUP(SUM('Crew Sheet'!$L$10:$L$11),0)),"Receiving",
IF(AND(COUNTIF($F34,"*Pick*"),COUNTIF($D34,"*P*")),"Picking",
IF(AND(COUNTIF($F34,"*Task*"),COUNTIF($D34,"*T*")),"Replen/Pallets/Putaways",
IF(COUNTIF($D34,"*T*"),"Replen/Pallets/Putaways","Lead/Extra"))))))))</f>
        <v/>
      </c>
    </row>
    <row r="35" spans="1:9" ht="15.75" x14ac:dyDescent="0.25">
      <c r="A35" s="100" t="s">
        <v>255</v>
      </c>
      <c r="B35" s="39"/>
      <c r="C35" s="39"/>
      <c r="D35" s="39" t="s">
        <v>186</v>
      </c>
      <c r="E35" s="39"/>
      <c r="F35" s="39" t="s">
        <v>23</v>
      </c>
      <c r="G35" s="39"/>
      <c r="H35" s="37" t="str">
        <f>IFERROR(VLOOKUP($A35,'Crew Sheet'!#REF!,2,FALSE),"")</f>
        <v/>
      </c>
      <c r="I35" s="39" t="str">
        <f>IF($T35&lt;&gt;"x","",
IF(TRIM($D35)="P","Picking",
IF(AND(COUNTIF($F35,"*Unload*"),COUNTIF($D35,"*U*")),"Unloading",
IF(AND(COUNTIF($D35,"*L*"),COUNTIFS($I$1:I34,"Loading",$T$1:T34,"x")&lt;ROUNDUP(_xlfn.XLOOKUP("Loaders",'Crew Sheet'!$H:$H,'Crew Sheet'!$L:$L),0)),"Loading",
IF(AND(COUNTIF($D35,"*R*"),COUNTIFS($I$1:I34,"Receiving",$T$1:T34,"x")&lt;ROUNDUP(SUM('Crew Sheet'!$L$10:$L$11),0)),"Receiving",
IF(AND(COUNTIF($F35,"*Pick*"),COUNTIF($D35,"*P*")),"Picking",
IF(AND(COUNTIF($F35,"*Task*"),COUNTIF($D35,"*T*")),"Replen/Pallets/Putaways",
IF(COUNTIF($D35,"*T*"),"Replen/Pallets/Putaways","Lead/Extra"))))))))</f>
        <v/>
      </c>
    </row>
    <row r="36" spans="1:9" ht="15.75" x14ac:dyDescent="0.25">
      <c r="A36" s="100" t="s">
        <v>256</v>
      </c>
      <c r="B36" s="39"/>
      <c r="C36" s="39"/>
      <c r="D36" s="39" t="s">
        <v>164</v>
      </c>
      <c r="E36" s="39" t="s">
        <v>83</v>
      </c>
      <c r="F36" s="39" t="s">
        <v>10</v>
      </c>
      <c r="G36" s="39"/>
      <c r="H36" s="37" t="str">
        <f>IFERROR(VLOOKUP($A36,'Crew Sheet'!#REF!,2,FALSE),"")</f>
        <v/>
      </c>
      <c r="I36" s="39" t="str">
        <f>IF($T36&lt;&gt;"x","",
IF(TRIM($D36)="P","Picking",
IF(AND(COUNTIF($F36,"*Unload*"),COUNTIF($D36,"*U*")),"Unloading",
IF(AND(COUNTIF($D36,"*L*"),COUNTIFS($I$1:I35,"Loading",$T$1:T35,"x")&lt;ROUNDUP(_xlfn.XLOOKUP("Loaders",'Crew Sheet'!$H:$H,'Crew Sheet'!$L:$L),0)),"Loading",
IF(AND(COUNTIF($D36,"*R*"),COUNTIFS($I$1:I35,"Receiving",$T$1:T35,"x")&lt;ROUNDUP(SUM('Crew Sheet'!$L$10:$L$11),0)),"Receiving",
IF(AND(COUNTIF($F36,"*Pick*"),COUNTIF($D36,"*P*")),"Picking",
IF(AND(COUNTIF($F36,"*Task*"),COUNTIF($D36,"*T*")),"Replen/Pallets/Putaways",
IF(COUNTIF($D36,"*T*"),"Replen/Pallets/Putaways","Lead/Extra"))))))))</f>
        <v/>
      </c>
    </row>
    <row r="37" spans="1:9" ht="15.75" x14ac:dyDescent="0.25">
      <c r="A37" s="100" t="s">
        <v>257</v>
      </c>
      <c r="B37" s="39"/>
      <c r="C37" s="39"/>
      <c r="D37" s="39" t="s">
        <v>164</v>
      </c>
      <c r="E37" s="39" t="s">
        <v>132</v>
      </c>
      <c r="F37" s="39" t="s">
        <v>10</v>
      </c>
      <c r="G37" s="39"/>
      <c r="H37" s="37" t="str">
        <f>IFERROR(VLOOKUP($A37,'Crew Sheet'!#REF!,2,FALSE),"")</f>
        <v/>
      </c>
      <c r="I37" s="39" t="str">
        <f>IF($T37&lt;&gt;"x","",
IF(TRIM($D37)="P","Picking",
IF(AND(COUNTIF($F37,"*Unload*"),COUNTIF($D37,"*U*")),"Unloading",
IF(AND(COUNTIF($D37,"*L*"),COUNTIFS($I$1:I36,"Loading",$T$1:T36,"x")&lt;ROUNDUP(_xlfn.XLOOKUP("Loaders",'Crew Sheet'!$H:$H,'Crew Sheet'!$L:$L),0)),"Loading",
IF(AND(COUNTIF($D37,"*R*"),COUNTIFS($I$1:I36,"Receiving",$T$1:T36,"x")&lt;ROUNDUP(SUM('Crew Sheet'!$L$10:$L$11),0)),"Receiving",
IF(AND(COUNTIF($F37,"*Pick*"),COUNTIF($D37,"*P*")),"Picking",
IF(AND(COUNTIF($F37,"*Task*"),COUNTIF($D37,"*T*")),"Replen/Pallets/Putaways",
IF(COUNTIF($D37,"*T*"),"Replen/Pallets/Putaways","Lead/Extra"))))))))</f>
        <v/>
      </c>
    </row>
    <row r="38" spans="1:9" ht="15.75" x14ac:dyDescent="0.25">
      <c r="A38" s="107" t="s">
        <v>272</v>
      </c>
      <c r="B38" s="39"/>
      <c r="C38" s="39"/>
      <c r="D38" s="39" t="s">
        <v>164</v>
      </c>
      <c r="E38" s="39"/>
      <c r="F38" s="39" t="s">
        <v>10</v>
      </c>
      <c r="G38" s="39"/>
      <c r="H38" s="37" t="str">
        <f>IFERROR(VLOOKUP($A38,'Crew Sheet'!#REF!,2,FALSE),"")</f>
        <v/>
      </c>
      <c r="I38" s="39" t="str">
        <f>IF($T38&lt;&gt;"x","",
IF(TRIM($D38)="P","Picking",
IF(AND(COUNTIF($F38,"*Unload*"),COUNTIF($D38,"*U*")),"Unloading",
IF(AND(COUNTIF($D38,"*L*"),COUNTIFS($I$1:I37,"Loading",$T$1:T37,"x")&lt;ROUNDUP(_xlfn.XLOOKUP("Loaders",'Crew Sheet'!$H:$H,'Crew Sheet'!$L:$L),0)),"Loading",
IF(AND(COUNTIF($D38,"*R*"),COUNTIFS($I$1:I37,"Receiving",$T$1:T37,"x")&lt;ROUNDUP(SUM('Crew Sheet'!$L$10:$L$11),0)),"Receiving",
IF(AND(COUNTIF($F38,"*Pick*"),COUNTIF($D38,"*P*")),"Picking",
IF(AND(COUNTIF($F38,"*Task*"),COUNTIF($D38,"*T*")),"Replen/Pallets/Putaways",
IF(COUNTIF($D38,"*T*"),"Replen/Pallets/Putaways","Lead/Extra"))))))))</f>
        <v/>
      </c>
    </row>
    <row r="39" spans="1:9" ht="15.75" x14ac:dyDescent="0.25">
      <c r="A39" s="102" t="s">
        <v>258</v>
      </c>
      <c r="B39" s="39"/>
      <c r="C39" s="39"/>
      <c r="D39" s="39" t="s">
        <v>189</v>
      </c>
      <c r="E39" s="39" t="s">
        <v>132</v>
      </c>
      <c r="F39" s="39" t="s">
        <v>197</v>
      </c>
      <c r="G39" s="39"/>
      <c r="H39" s="37" t="str">
        <f>IFERROR(VLOOKUP($A39,'Crew Sheet'!#REF!,2,FALSE),"")</f>
        <v/>
      </c>
      <c r="I39" s="39" t="str">
        <f>IF($T39&lt;&gt;"x","",
IF(TRIM($D39)="P","Picking",
IF(AND(COUNTIF($F39,"*Unload*"),COUNTIF($D39,"*U*")),"Unloading",
IF(AND(COUNTIF($D39,"*L*"),COUNTIFS($I$1:I38,"Loading",$T$1:T38,"x")&lt;ROUNDUP(_xlfn.XLOOKUP("Loaders",'Crew Sheet'!$H:$H,'Crew Sheet'!$L:$L),0)),"Loading",
IF(AND(COUNTIF($D39,"*R*"),COUNTIFS($I$1:I38,"Receiving",$T$1:T38,"x")&lt;ROUNDUP(SUM('Crew Sheet'!$L$10:$L$11),0)),"Receiving",
IF(AND(COUNTIF($F39,"*Pick*"),COUNTIF($D39,"*P*")),"Picking",
IF(AND(COUNTIF($F39,"*Task*"),COUNTIF($D39,"*T*")),"Replen/Pallets/Putaways",
IF(COUNTIF($D39,"*T*"),"Replen/Pallets/Putaways","Lead/Extra"))))))))</f>
        <v/>
      </c>
    </row>
    <row r="40" spans="1:9" ht="15.75" x14ac:dyDescent="0.25">
      <c r="A40" s="100" t="s">
        <v>260</v>
      </c>
      <c r="B40" s="39"/>
      <c r="C40" s="39"/>
      <c r="D40" s="39" t="s">
        <v>191</v>
      </c>
      <c r="E40" s="39" t="s">
        <v>83</v>
      </c>
      <c r="F40" s="39" t="s">
        <v>197</v>
      </c>
      <c r="G40" s="39"/>
      <c r="H40" s="37" t="str">
        <f>IFERROR(VLOOKUP($A40,'Crew Sheet'!#REF!,2,FALSE),"")</f>
        <v/>
      </c>
      <c r="I40" s="39" t="str">
        <f>IF($T40&lt;&gt;"x","",
IF(TRIM($D40)="P","Picking",
IF(AND(COUNTIF($F40,"*Unload*"),COUNTIF($D40,"*U*")),"Unloading",
IF(AND(COUNTIF($D40,"*L*"),COUNTIFS($I$1:I39,"Loading",$T$1:T39,"x")&lt;ROUNDUP(_xlfn.XLOOKUP("Loaders",'Crew Sheet'!$H:$H,'Crew Sheet'!$L:$L),0)),"Loading",
IF(AND(COUNTIF($D40,"*R*"),COUNTIFS($I$1:I39,"Receiving",$T$1:T39,"x")&lt;ROUNDUP(SUM('Crew Sheet'!$L$10:$L$11),0)),"Receiving",
IF(AND(COUNTIF($F40,"*Pick*"),COUNTIF($D40,"*P*")),"Picking",
IF(AND(COUNTIF($F40,"*Task*"),COUNTIF($D40,"*T*")),"Replen/Pallets/Putaways",
IF(COUNTIF($D40,"*T*"),"Replen/Pallets/Putaways","Lead/Extra"))))))))</f>
        <v/>
      </c>
    </row>
    <row r="41" spans="1:9" ht="15.75" x14ac:dyDescent="0.25">
      <c r="A41" s="98" t="s">
        <v>261</v>
      </c>
      <c r="B41" s="39"/>
      <c r="C41" s="39"/>
      <c r="D41" s="39" t="s">
        <v>189</v>
      </c>
      <c r="E41" s="39" t="s">
        <v>83</v>
      </c>
      <c r="F41" s="39" t="s">
        <v>197</v>
      </c>
      <c r="G41" s="39"/>
      <c r="H41" s="37" t="str">
        <f>IFERROR(VLOOKUP($A41,'Crew Sheet'!#REF!,2,FALSE),"")</f>
        <v/>
      </c>
      <c r="I41" s="39" t="str">
        <f>IF($T41&lt;&gt;"x","",
IF(TRIM($D41)="P","Picking",
IF(AND(COUNTIF($F41,"*Unload*"),COUNTIF($D41,"*U*")),"Unloading",
IF(AND(COUNTIF($D41,"*L*"),COUNTIFS($I$1:I40,"Loading",$T$1:T40,"x")&lt;ROUNDUP(_xlfn.XLOOKUP("Loaders",'Crew Sheet'!$H:$H,'Crew Sheet'!$L:$L),0)),"Loading",
IF(AND(COUNTIF($D41,"*R*"),COUNTIFS($I$1:I40,"Receiving",$T$1:T40,"x")&lt;ROUNDUP(SUM('Crew Sheet'!$L$10:$L$11),0)),"Receiving",
IF(AND(COUNTIF($F41,"*Pick*"),COUNTIF($D41,"*P*")),"Picking",
IF(AND(COUNTIF($F41,"*Task*"),COUNTIF($D41,"*T*")),"Replen/Pallets/Putaways",
IF(COUNTIF($D41,"*T*"),"Replen/Pallets/Putaways","Lead/Extra"))))))))</f>
        <v/>
      </c>
    </row>
    <row r="42" spans="1:9" ht="15.75" x14ac:dyDescent="0.25">
      <c r="A42" s="98" t="s">
        <v>262</v>
      </c>
      <c r="B42" s="39"/>
      <c r="C42" s="39"/>
      <c r="D42" s="39" t="s">
        <v>164</v>
      </c>
      <c r="E42" s="39" t="s">
        <v>132</v>
      </c>
      <c r="F42" s="39" t="s">
        <v>10</v>
      </c>
      <c r="G42" s="39"/>
      <c r="H42" s="37" t="str">
        <f>IFERROR(VLOOKUP($A42,'Crew Sheet'!#REF!,2,FALSE),"")</f>
        <v/>
      </c>
      <c r="I42" s="39" t="str">
        <f>IF($T42&lt;&gt;"x","",
IF(TRIM($D42)="P","Picking",
IF(AND(COUNTIF($F42,"*Unload*"),COUNTIF($D42,"*U*")),"Unloading",
IF(AND(COUNTIF($D42,"*L*"),COUNTIFS($I$1:I41,"Loading",$T$1:T41,"x")&lt;ROUNDUP(_xlfn.XLOOKUP("Loaders",'Crew Sheet'!$H:$H,'Crew Sheet'!$L:$L),0)),"Loading",
IF(AND(COUNTIF($D42,"*R*"),COUNTIFS($I$1:I41,"Receiving",$T$1:T41,"x")&lt;ROUNDUP(SUM('Crew Sheet'!$L$10:$L$11),0)),"Receiving",
IF(AND(COUNTIF($F42,"*Pick*"),COUNTIF($D42,"*P*")),"Picking",
IF(AND(COUNTIF($F42,"*Task*"),COUNTIF($D42,"*T*")),"Replen/Pallets/Putaways",
IF(COUNTIF($D42,"*T*"),"Replen/Pallets/Putaways","Lead/Extra"))))))))</f>
        <v/>
      </c>
    </row>
    <row r="43" spans="1:9" ht="15.75" x14ac:dyDescent="0.25">
      <c r="A43" s="102" t="s">
        <v>263</v>
      </c>
      <c r="B43" s="39"/>
      <c r="C43" s="39"/>
      <c r="D43" s="39" t="s">
        <v>164</v>
      </c>
      <c r="E43" s="39"/>
      <c r="F43" s="39" t="s">
        <v>10</v>
      </c>
      <c r="G43" s="39"/>
      <c r="H43" s="37" t="str">
        <f>IFERROR(VLOOKUP($A43,'Crew Sheet'!#REF!,2,FALSE),"")</f>
        <v/>
      </c>
      <c r="I43" s="39" t="str">
        <f>IF($T43&lt;&gt;"x","",
IF(TRIM($D43)="P","Picking",
IF(AND(COUNTIF($F43,"*Unload*"),COUNTIF($D43,"*U*")),"Unloading",
IF(AND(COUNTIF($D43,"*L*"),COUNTIFS($I$1:I42,"Loading",$T$1:T42,"x")&lt;ROUNDUP(_xlfn.XLOOKUP("Loaders",'Crew Sheet'!$H:$H,'Crew Sheet'!$L:$L),0)),"Loading",
IF(AND(COUNTIF($D43,"*R*"),COUNTIFS($I$1:I42,"Receiving",$T$1:T42,"x")&lt;ROUNDUP(SUM('Crew Sheet'!$L$10:$L$11),0)),"Receiving",
IF(AND(COUNTIF($F43,"*Pick*"),COUNTIF($D43,"*P*")),"Picking",
IF(AND(COUNTIF($F43,"*Task*"),COUNTIF($D43,"*T*")),"Replen/Pallets/Putaways",
IF(COUNTIF($D43,"*T*"),"Replen/Pallets/Putaways","Lead/Extra"))))))))</f>
        <v/>
      </c>
    </row>
    <row r="44" spans="1:9" ht="15.75" x14ac:dyDescent="0.25">
      <c r="A44" s="98" t="s">
        <v>264</v>
      </c>
      <c r="B44" s="67"/>
      <c r="C44" s="67"/>
      <c r="D44" s="39" t="s">
        <v>274</v>
      </c>
      <c r="E44" s="39" t="s">
        <v>132</v>
      </c>
      <c r="F44" s="39" t="s">
        <v>197</v>
      </c>
      <c r="G44" s="39"/>
      <c r="H44" s="37" t="str">
        <f>IFERROR(VLOOKUP($A44,'Crew Sheet'!#REF!,2,FALSE),"")</f>
        <v/>
      </c>
      <c r="I44" s="39" t="str">
        <f>IF($T44&lt;&gt;"x","",
IF(TRIM($D44)="P","Picking",
IF(AND(COUNTIF($F44,"*Unload*"),COUNTIF($D44,"*U*")),"Unloading",
IF(AND(COUNTIF($D44,"*L*"),COUNTIFS($I$1:I43,"Loading",$T$1:T43,"x")&lt;ROUNDUP(_xlfn.XLOOKUP("Loaders",'Crew Sheet'!$H:$H,'Crew Sheet'!$L:$L),0)),"Loading",
IF(AND(COUNTIF($D44,"*R*"),COUNTIFS($I$1:I43,"Receiving",$T$1:T43,"x")&lt;ROUNDUP(SUM('Crew Sheet'!$L$10:$L$11),0)),"Receiving",
IF(AND(COUNTIF($F44,"*Pick*"),COUNTIF($D44,"*P*")),"Picking",
IF(AND(COUNTIF($F44,"*Task*"),COUNTIF($D44,"*T*")),"Replen/Pallets/Putaways",
IF(COUNTIF($D44,"*T*"),"Replen/Pallets/Putaways","Lead/Extra"))))))))</f>
        <v/>
      </c>
    </row>
    <row r="45" spans="1:9" ht="15.75" x14ac:dyDescent="0.25">
      <c r="A45" s="102" t="s">
        <v>265</v>
      </c>
      <c r="B45" s="39"/>
      <c r="C45" s="39"/>
      <c r="D45" s="39" t="s">
        <v>191</v>
      </c>
      <c r="E45" s="39" t="s">
        <v>83</v>
      </c>
      <c r="F45" s="39" t="s">
        <v>28</v>
      </c>
      <c r="G45" s="39"/>
      <c r="H45" s="37" t="str">
        <f>IFERROR(VLOOKUP($A45,'Crew Sheet'!#REF!,2,FALSE),"")</f>
        <v/>
      </c>
      <c r="I45" s="39" t="str">
        <f>IF($T45&lt;&gt;"x","",
IF(TRIM($D45)="P","Picking",
IF(AND(COUNTIF($F45,"*Unload*"),COUNTIF($D45,"*U*")),"Unloading",
IF(AND(COUNTIF($D45,"*L*"),COUNTIFS($I$1:I44,"Loading",$T$1:T44,"x")&lt;ROUNDUP(_xlfn.XLOOKUP("Loaders",'Crew Sheet'!$H:$H,'Crew Sheet'!$L:$L),0)),"Loading",
IF(AND(COUNTIF($D45,"*R*"),COUNTIFS($I$1:I44,"Receiving",$T$1:T44,"x")&lt;ROUNDUP(SUM('Crew Sheet'!$L$10:$L$11),0)),"Receiving",
IF(AND(COUNTIF($F45,"*Pick*"),COUNTIF($D45,"*P*")),"Picking",
IF(AND(COUNTIF($F45,"*Task*"),COUNTIF($D45,"*T*")),"Replen/Pallets/Putaways",
IF(COUNTIF($D45,"*T*"),"Replen/Pallets/Putaways","Lead/Extra"))))))))</f>
        <v/>
      </c>
    </row>
    <row r="46" spans="1:9" ht="15.75" x14ac:dyDescent="0.25">
      <c r="A46" s="102" t="s">
        <v>266</v>
      </c>
      <c r="B46" s="39"/>
      <c r="C46" s="39"/>
      <c r="D46" s="39" t="s">
        <v>270</v>
      </c>
      <c r="E46" s="39" t="s">
        <v>83</v>
      </c>
      <c r="F46" s="39" t="s">
        <v>10</v>
      </c>
      <c r="G46" s="39"/>
      <c r="H46" s="37" t="str">
        <f>IFERROR(VLOOKUP($A46,'Crew Sheet'!#REF!,2,FALSE),"")</f>
        <v/>
      </c>
      <c r="I46" s="39" t="str">
        <f>IF($T46&lt;&gt;"x","",
IF(TRIM($D46)="P","Picking",
IF(AND(COUNTIF($F46,"*Unload*"),COUNTIF($D46,"*U*")),"Unloading",
IF(AND(COUNTIF($D46,"*L*"),COUNTIFS($I$1:I45,"Loading",$T$1:T45,"x")&lt;ROUNDUP(_xlfn.XLOOKUP("Loaders",'Crew Sheet'!$H:$H,'Crew Sheet'!$L:$L),0)),"Loading",
IF(AND(COUNTIF($D46,"*R*"),COUNTIFS($I$1:I45,"Receiving",$T$1:T45,"x")&lt;ROUNDUP(SUM('Crew Sheet'!$L$10:$L$11),0)),"Receiving",
IF(AND(COUNTIF($F46,"*Pick*"),COUNTIF($D46,"*P*")),"Picking",
IF(AND(COUNTIF($F46,"*Task*"),COUNTIF($D46,"*T*")),"Replen/Pallets/Putaways",
IF(COUNTIF($D46,"*T*"),"Replen/Pallets/Putaways","Lead/Extra"))))))))</f>
        <v/>
      </c>
    </row>
    <row r="47" spans="1:9" ht="15.75" x14ac:dyDescent="0.25">
      <c r="A47" s="102" t="s">
        <v>267</v>
      </c>
      <c r="B47" s="39"/>
      <c r="C47" s="39"/>
      <c r="D47" s="39" t="s">
        <v>164</v>
      </c>
      <c r="E47" s="39" t="s">
        <v>83</v>
      </c>
      <c r="F47" s="39" t="s">
        <v>10</v>
      </c>
      <c r="G47" s="39"/>
      <c r="H47" s="37" t="str">
        <f>IFERROR(VLOOKUP($A47,'Crew Sheet'!#REF!,2,FALSE),"")</f>
        <v/>
      </c>
      <c r="I47" s="39" t="str">
        <f>IF($T47&lt;&gt;"x","",
IF(TRIM($D47)="P","Picking",
IF(AND(COUNTIF($F47,"*Unload*"),COUNTIF($D47,"*U*")),"Unloading",
IF(AND(COUNTIF($D47,"*L*"),COUNTIFS($I$1:I46,"Loading",$T$1:T46,"x")&lt;ROUNDUP(_xlfn.XLOOKUP("Loaders",'Crew Sheet'!$H:$H,'Crew Sheet'!$L:$L),0)),"Loading",
IF(AND(COUNTIF($D47,"*R*"),COUNTIFS($I$1:I46,"Receiving",$T$1:T46,"x")&lt;ROUNDUP(SUM('Crew Sheet'!$L$10:$L$11),0)),"Receiving",
IF(AND(COUNTIF($F47,"*Pick*"),COUNTIF($D47,"*P*")),"Picking",
IF(AND(COUNTIF($F47,"*Task*"),COUNTIF($D47,"*T*")),"Replen/Pallets/Putaways",
IF(COUNTIF($D47,"*T*"),"Replen/Pallets/Putaways","Lead/Extra"))))))))</f>
        <v/>
      </c>
    </row>
    <row r="48" spans="1:9" ht="15.75" x14ac:dyDescent="0.25">
      <c r="A48" s="108" t="s">
        <v>268</v>
      </c>
      <c r="B48" s="39"/>
      <c r="C48" s="39"/>
      <c r="D48" s="39" t="s">
        <v>193</v>
      </c>
      <c r="E48" s="39"/>
      <c r="F48" s="39" t="s">
        <v>197</v>
      </c>
      <c r="G48" s="39"/>
      <c r="H48" s="37" t="str">
        <f>IFERROR(VLOOKUP($A48,'Crew Sheet'!#REF!,2,FALSE),"")</f>
        <v/>
      </c>
      <c r="I48" s="39" t="str">
        <f>IF($T48&lt;&gt;"x","",
IF(TRIM($D48)="P","Picking",
IF(AND(COUNTIF($F48,"*Unload*"),COUNTIF($D48,"*U*")),"Unloading",
IF(AND(COUNTIF($D48,"*L*"),COUNTIFS($I$1:I47,"Loading",$T$1:T47,"x")&lt;ROUNDUP(_xlfn.XLOOKUP("Loaders",'Crew Sheet'!$H:$H,'Crew Sheet'!$L:$L),0)),"Loading",
IF(AND(COUNTIF($D48,"*R*"),COUNTIFS($I$1:I47,"Receiving",$T$1:T47,"x")&lt;ROUNDUP(SUM('Crew Sheet'!$L$10:$L$11),0)),"Receiving",
IF(AND(COUNTIF($F48,"*Pick*"),COUNTIF($D48,"*P*")),"Picking",
IF(AND(COUNTIF($F48,"*Task*"),COUNTIF($D48,"*T*")),"Replen/Pallets/Putaways",
IF(COUNTIF($D48,"*T*"),"Replen/Pallets/Putaways","Lead/Extra"))))))))</f>
        <v/>
      </c>
    </row>
    <row r="49" spans="1:9" ht="15.75" x14ac:dyDescent="0.25">
      <c r="A49" s="106" t="s">
        <v>269</v>
      </c>
      <c r="B49" s="67"/>
      <c r="C49" s="67"/>
      <c r="D49" s="39" t="s">
        <v>164</v>
      </c>
      <c r="E49" s="39" t="s">
        <v>132</v>
      </c>
      <c r="F49" s="39" t="s">
        <v>10</v>
      </c>
      <c r="G49" s="39"/>
      <c r="H49" s="37" t="str">
        <f>IFERROR(VLOOKUP(#REF!,'Crew Sheet'!#REF!,2,FALSE),"")</f>
        <v/>
      </c>
      <c r="I49" s="39" t="str">
        <f>IF($T49&lt;&gt;"x","",
IF(TRIM($D49)="P","Picking",
IF(AND(COUNTIF($F49,"*Unload*"),COUNTIF($D49,"*U*")),"Unloading",
IF(AND(COUNTIF($D49,"*L*"),COUNTIFS($I$1:I48,"Loading",$T$1:T48,"x")&lt;ROUNDUP(_xlfn.XLOOKUP("Loaders",'Crew Sheet'!$H:$H,'Crew Sheet'!$L:$L),0)),"Loading",
IF(AND(COUNTIF($D49,"*R*"),COUNTIFS($I$1:I48,"Receiving",$T$1:T48,"x")&lt;ROUNDUP(SUM('Crew Sheet'!$L$10:$L$11),0)),"Receiving",
IF(AND(COUNTIF($F49,"*Pick*"),COUNTIF($D49,"*P*")),"Picking",
IF(AND(COUNTIF($F49,"*Task*"),COUNTIF($D49,"*T*")),"Replen/Pallets/Putaways",
IF(COUNTIF($D49,"*T*"),"Replen/Pallets/Putaways","Lead/Extra"))))))))</f>
        <v/>
      </c>
    </row>
    <row r="50" spans="1:9" ht="15.75" x14ac:dyDescent="0.25">
      <c r="A50" s="67" t="s">
        <v>273</v>
      </c>
      <c r="B50" s="39"/>
      <c r="C50" s="39"/>
      <c r="D50" s="39" t="s">
        <v>271</v>
      </c>
      <c r="E50" s="39"/>
      <c r="F50" s="39"/>
      <c r="G50" s="39"/>
      <c r="H50" s="37" t="str">
        <f>IFERROR(VLOOKUP($A48,'Crew Sheet'!#REF!,2,FALSE),"")</f>
        <v/>
      </c>
      <c r="I50" s="39" t="str">
        <f>IF($T50&lt;&gt;"x","",
IF(TRIM($D50)="P","Picking",
IF(AND(COUNTIF($F50,"*Unload*"),COUNTIF($D50,"*U*")),"Unloading",
IF(AND(COUNTIF($D50,"*L*"),COUNTIFS($I$1:I49,"Loading",$T$1:T49,"x")&lt;ROUNDUP(_xlfn.XLOOKUP("Loaders",'Crew Sheet'!$H:$H,'Crew Sheet'!$L:$L),0)),"Loading",
IF(AND(COUNTIF($D50,"*R*"),COUNTIFS($I$1:I49,"Receiving",$T$1:T49,"x")&lt;ROUNDUP(SUM('Crew Sheet'!$L$10:$L$11),0)),"Receiving",
IF(AND(COUNTIF($F50,"*Pick*"),COUNTIF($D50,"*P*")),"Picking",
IF(AND(COUNTIF($F50,"*Task*"),COUNTIF($D50,"*T*")),"Replen/Pallets/Putaways",
IF(COUNTIF($D50,"*T*"),"Replen/Pallets/Putaways","Lead/Extra"))))))))</f>
        <v/>
      </c>
    </row>
    <row r="51" spans="1:9" ht="15.75" x14ac:dyDescent="0.25">
      <c r="A51" s="67"/>
      <c r="B51" s="67"/>
      <c r="C51" s="67"/>
      <c r="D51" s="73"/>
      <c r="E51" s="73"/>
      <c r="F51" s="73"/>
      <c r="G51" s="73"/>
      <c r="H51" s="103" t="str">
        <f>IFERROR(VLOOKUP($A51,'Crew Sheet'!#REF!,2,FALSE),"")</f>
        <v/>
      </c>
      <c r="I51" s="104" t="str">
        <f>IF($T51&lt;&gt;"x","",
IF(TRIM($D51)="P","Picking",
IF(AND(COUNTIF($F51,"*Unload*"),COUNTIF($D51,"*U*")),"Unloading",
IF(AND(COUNTIF($D51,"*L*"),COUNTIFS($I$1:I50,"Loading",$T$1:T50,"x")&lt;ROUNDUP(_xlfn.XLOOKUP("Loaders",'Crew Sheet'!$H:$H,'Crew Sheet'!$L:$L),0)),"Loading",
IF(AND(COUNTIF($D51,"*R*"),COUNTIFS($I$1:I50,"Receiving",$T$1:T50,"x")&lt;ROUNDUP(SUM('Crew Sheet'!$L$10:$L$11),0)),"Receiving",
IF(AND(COUNTIF($F51,"*Pick*"),COUNTIF($D51,"*P*")),"Picking",
IF(AND(COUNTIF($F51,"*Task*"),COUNTIF($D51,"*T*")),"Replen/Pallets/Putaways",
IF(COUNTIF($D51,"*T*"),"Replen/Pallets/Putaways","Lead/Extra"))))))))</f>
        <v/>
      </c>
    </row>
  </sheetData>
  <dataValidations count="3">
    <dataValidation type="list" allowBlank="1" showInputMessage="1" showErrorMessage="1" sqref="H1" xr:uid="{884A2202-AEB7-41BE-A0F6-1AC21A76A651}">
      <formula1>$O$1:$O$3</formula1>
    </dataValidation>
    <dataValidation type="list" allowBlank="1" showInputMessage="1" showErrorMessage="1" sqref="B2:B51" xr:uid="{01572EC7-69C1-47D1-8168-8C49CFE7A055}">
      <formula1>$S$1:$S$2</formula1>
    </dataValidation>
    <dataValidation type="list" allowBlank="1" showInputMessage="1" showErrorMessage="1" sqref="C2:C51" xr:uid="{E9E619C6-37F8-40F0-8EAE-D4000E45E4C3}">
      <formula1>$R$1:$R$2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58FCE1-376D-4872-B3E1-8F971D9F73BB}">
          <x14:formula1>
            <xm:f>'Staffing sheet 1ST Shift'!$K$2:$K$7</xm:f>
          </x14:formula1>
          <xm:sqref>F2:F51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4F226-569A-4271-BCBC-4C110B3DCBD6}">
  <sheetPr>
    <tabColor theme="4"/>
  </sheetPr>
  <dimension ref="A2:S971"/>
  <sheetViews>
    <sheetView topLeftCell="B1" workbookViewId="0">
      <selection activeCell="Q50" sqref="Q50"/>
    </sheetView>
  </sheetViews>
  <sheetFormatPr defaultColWidth="9.140625" defaultRowHeight="15" x14ac:dyDescent="0.25"/>
  <cols>
    <col min="1" max="1" width="11.140625" bestFit="1" customWidth="1"/>
    <col min="3" max="3" width="12.42578125" customWidth="1"/>
    <col min="4" max="4" width="11.85546875" customWidth="1"/>
    <col min="5" max="5" width="13" customWidth="1"/>
    <col min="6" max="6" width="12.42578125" customWidth="1"/>
    <col min="7" max="7" width="13.5703125" customWidth="1"/>
    <col min="8" max="8" width="12.85546875" customWidth="1"/>
    <col min="9" max="9" width="13.42578125" customWidth="1"/>
    <col min="10" max="10" width="12.140625" customWidth="1"/>
    <col min="11" max="11" width="12.7109375" customWidth="1"/>
    <col min="12" max="12" width="14.5703125" customWidth="1"/>
    <col min="13" max="13" width="17" customWidth="1"/>
    <col min="15" max="15" width="13.42578125" bestFit="1" customWidth="1"/>
    <col min="16" max="16" width="20.42578125" bestFit="1" customWidth="1"/>
    <col min="17" max="17" width="19.85546875" bestFit="1" customWidth="1"/>
    <col min="18" max="18" width="21" bestFit="1" customWidth="1"/>
    <col min="19" max="19" width="20.42578125" bestFit="1" customWidth="1"/>
  </cols>
  <sheetData>
    <row r="2" spans="1:19" x14ac:dyDescent="0.25">
      <c r="H2" s="149" t="s">
        <v>111</v>
      </c>
      <c r="I2" s="149"/>
      <c r="J2" s="149"/>
      <c r="K2" s="149"/>
      <c r="L2" s="150" t="s">
        <v>112</v>
      </c>
      <c r="M2" s="151"/>
    </row>
    <row r="3" spans="1:19" x14ac:dyDescent="0.25">
      <c r="A3" s="57" t="s">
        <v>75</v>
      </c>
      <c r="B3" s="58" t="s">
        <v>113</v>
      </c>
      <c r="C3" s="58" t="s">
        <v>114</v>
      </c>
      <c r="D3" s="58" t="s">
        <v>115</v>
      </c>
      <c r="E3" s="58" t="s">
        <v>116</v>
      </c>
      <c r="F3" s="58" t="s">
        <v>117</v>
      </c>
      <c r="G3" s="58" t="s">
        <v>20</v>
      </c>
      <c r="H3" s="59" t="s">
        <v>118</v>
      </c>
      <c r="I3" s="59" t="s">
        <v>119</v>
      </c>
      <c r="J3" s="59" t="s">
        <v>120</v>
      </c>
      <c r="K3" s="59" t="s">
        <v>121</v>
      </c>
      <c r="L3" s="59" t="s">
        <v>122</v>
      </c>
      <c r="M3" s="60" t="s">
        <v>123</v>
      </c>
    </row>
    <row r="4" spans="1:19" hidden="1" x14ac:dyDescent="0.25">
      <c r="A4" s="54" t="s">
        <v>31</v>
      </c>
      <c r="B4" s="1">
        <v>44927</v>
      </c>
      <c r="C4" s="36">
        <f>O29*$P$27</f>
        <v>0</v>
      </c>
      <c r="D4" s="2">
        <v>0</v>
      </c>
      <c r="E4" s="36">
        <f>R29*$P$27</f>
        <v>0</v>
      </c>
      <c r="F4" s="2">
        <v>0</v>
      </c>
      <c r="G4" s="2">
        <f t="shared" ref="G4:G35" si="0">SUM(C4:F4)</f>
        <v>0</v>
      </c>
      <c r="H4" s="3">
        <f t="shared" ref="H4:H35" si="1">IFERROR(C4/G4,0)</f>
        <v>0</v>
      </c>
      <c r="I4" s="3">
        <f t="shared" ref="I4:I35" si="2">IFERROR(E4/G4,0)</f>
        <v>0</v>
      </c>
      <c r="J4" s="3">
        <f t="shared" ref="J4:J35" si="3">IFERROR(D4/G4,0)</f>
        <v>0</v>
      </c>
      <c r="K4" s="3">
        <f t="shared" ref="K4:K35" si="4">IFERROR(F4/G4,0)</f>
        <v>0</v>
      </c>
      <c r="L4" s="3">
        <f t="shared" ref="L4:L35" si="5">IFERROR((C4+E4)/G4, 0)</f>
        <v>0</v>
      </c>
      <c r="M4" s="56">
        <f t="shared" ref="M4:M35" si="6">IFERROR((D4+F4)/G4, 0)</f>
        <v>0</v>
      </c>
      <c r="O4" s="61" t="s">
        <v>124</v>
      </c>
      <c r="P4" t="s">
        <v>125</v>
      </c>
      <c r="Q4" t="s">
        <v>126</v>
      </c>
      <c r="R4" t="s">
        <v>127</v>
      </c>
      <c r="S4" t="s">
        <v>128</v>
      </c>
    </row>
    <row r="5" spans="1:19" hidden="1" x14ac:dyDescent="0.25">
      <c r="A5" s="54" t="s">
        <v>129</v>
      </c>
      <c r="B5" s="1">
        <v>44928</v>
      </c>
      <c r="C5" s="36">
        <f t="shared" ref="C5:C68" si="7">O30*$P$27</f>
        <v>30674.400000000001</v>
      </c>
      <c r="D5" s="2">
        <v>26826</v>
      </c>
      <c r="E5" s="36">
        <f t="shared" ref="E5:E68" si="8">R30*$P$27</f>
        <v>39165.599999999999</v>
      </c>
      <c r="F5" s="2">
        <v>21626</v>
      </c>
      <c r="G5" s="2">
        <f t="shared" si="0"/>
        <v>118292</v>
      </c>
      <c r="H5" s="3">
        <f t="shared" si="1"/>
        <v>0.25931085787711766</v>
      </c>
      <c r="I5" s="3">
        <f t="shared" si="2"/>
        <v>0.33109255063740572</v>
      </c>
      <c r="J5" s="3">
        <f t="shared" si="3"/>
        <v>0.22677780407804415</v>
      </c>
      <c r="K5" s="3">
        <f t="shared" si="4"/>
        <v>0.18281878740743246</v>
      </c>
      <c r="L5" s="3">
        <f t="shared" si="5"/>
        <v>0.59040340851452333</v>
      </c>
      <c r="M5" s="56">
        <f t="shared" si="6"/>
        <v>0.40959659148547661</v>
      </c>
      <c r="N5" s="5"/>
      <c r="O5" s="4" t="s">
        <v>129</v>
      </c>
      <c r="P5" s="5">
        <v>0.34063554647513927</v>
      </c>
      <c r="Q5" s="5">
        <v>0.1564172241434986</v>
      </c>
      <c r="R5" s="5">
        <v>0.35503139862992522</v>
      </c>
      <c r="S5" s="5">
        <v>0.13310101593662244</v>
      </c>
    </row>
    <row r="6" spans="1:19" hidden="1" x14ac:dyDescent="0.25">
      <c r="A6" s="54" t="s">
        <v>14</v>
      </c>
      <c r="B6" s="1">
        <v>44929</v>
      </c>
      <c r="C6" s="36">
        <f t="shared" si="7"/>
        <v>27143.200000000001</v>
      </c>
      <c r="D6" s="2">
        <v>13559</v>
      </c>
      <c r="E6" s="36">
        <f t="shared" si="8"/>
        <v>23596</v>
      </c>
      <c r="F6" s="2">
        <v>12173</v>
      </c>
      <c r="G6" s="2">
        <f t="shared" si="0"/>
        <v>76471.199999999997</v>
      </c>
      <c r="H6" s="3">
        <f t="shared" si="1"/>
        <v>0.35494669888794739</v>
      </c>
      <c r="I6" s="3">
        <f t="shared" si="2"/>
        <v>0.30856060843820943</v>
      </c>
      <c r="J6" s="3">
        <f t="shared" si="3"/>
        <v>0.17730858153134776</v>
      </c>
      <c r="K6" s="3">
        <f t="shared" si="4"/>
        <v>0.15918411114249548</v>
      </c>
      <c r="L6" s="3">
        <f t="shared" si="5"/>
        <v>0.66350730732615681</v>
      </c>
      <c r="M6" s="56">
        <f t="shared" si="6"/>
        <v>0.33649269267384324</v>
      </c>
      <c r="O6" s="4" t="s">
        <v>31</v>
      </c>
      <c r="P6" s="5">
        <v>0.3022228557586385</v>
      </c>
      <c r="Q6" s="5">
        <v>0.17567149664652051</v>
      </c>
      <c r="R6" s="5">
        <v>0.34749986566149371</v>
      </c>
      <c r="S6" s="5">
        <v>0.16719837452593977</v>
      </c>
    </row>
    <row r="7" spans="1:19" hidden="1" x14ac:dyDescent="0.25">
      <c r="A7" s="54" t="s">
        <v>21</v>
      </c>
      <c r="B7" s="1">
        <v>44930</v>
      </c>
      <c r="C7" s="36">
        <f t="shared" si="7"/>
        <v>23021.600000000002</v>
      </c>
      <c r="D7" s="2">
        <v>16582</v>
      </c>
      <c r="E7" s="36">
        <f t="shared" si="8"/>
        <v>20726.400000000001</v>
      </c>
      <c r="F7" s="2">
        <v>12763</v>
      </c>
      <c r="G7" s="2">
        <f t="shared" si="0"/>
        <v>73093</v>
      </c>
      <c r="H7" s="3">
        <f t="shared" si="1"/>
        <v>0.31496312916421548</v>
      </c>
      <c r="I7" s="3">
        <f t="shared" si="2"/>
        <v>0.28356203740440261</v>
      </c>
      <c r="J7" s="3">
        <f t="shared" si="3"/>
        <v>0.2268616693801048</v>
      </c>
      <c r="K7" s="3">
        <f t="shared" si="4"/>
        <v>0.17461316405127714</v>
      </c>
      <c r="L7" s="3">
        <f t="shared" si="5"/>
        <v>0.59852516656861809</v>
      </c>
      <c r="M7" s="56">
        <f t="shared" si="6"/>
        <v>0.40147483343138196</v>
      </c>
      <c r="O7" s="4" t="s">
        <v>14</v>
      </c>
      <c r="P7" s="5">
        <v>0.42658458554561945</v>
      </c>
      <c r="Q7" s="5">
        <v>0.15867091243611167</v>
      </c>
      <c r="R7" s="5">
        <v>0.28497145789374728</v>
      </c>
      <c r="S7" s="5">
        <v>0.12977304412452156</v>
      </c>
    </row>
    <row r="8" spans="1:19" x14ac:dyDescent="0.25">
      <c r="A8" s="54" t="s">
        <v>26</v>
      </c>
      <c r="B8" s="1">
        <v>44931</v>
      </c>
      <c r="C8" s="36">
        <f t="shared" si="7"/>
        <v>19630.400000000001</v>
      </c>
      <c r="D8" s="2">
        <v>9434</v>
      </c>
      <c r="E8" s="36">
        <f t="shared" si="8"/>
        <v>12940</v>
      </c>
      <c r="F8" s="2">
        <v>13341</v>
      </c>
      <c r="G8" s="2">
        <f t="shared" si="0"/>
        <v>55345.4</v>
      </c>
      <c r="H8" s="3">
        <f t="shared" si="1"/>
        <v>0.35468891723612084</v>
      </c>
      <c r="I8" s="3">
        <f t="shared" si="2"/>
        <v>0.23380443541830034</v>
      </c>
      <c r="J8" s="3">
        <f t="shared" si="3"/>
        <v>0.17045680399816426</v>
      </c>
      <c r="K8" s="3">
        <f t="shared" si="4"/>
        <v>0.24104984334741458</v>
      </c>
      <c r="L8" s="3">
        <f t="shared" si="5"/>
        <v>0.58849335265442115</v>
      </c>
      <c r="M8" s="56">
        <f t="shared" si="6"/>
        <v>0.41150664734557885</v>
      </c>
      <c r="O8" s="4" t="s">
        <v>21</v>
      </c>
      <c r="P8" s="5">
        <v>0.37618645798253031</v>
      </c>
      <c r="Q8" s="5">
        <v>0.1559222374654686</v>
      </c>
      <c r="R8" s="5">
        <v>0.31393904169454978</v>
      </c>
      <c r="S8" s="5">
        <v>0.14654485545004389</v>
      </c>
    </row>
    <row r="9" spans="1:19" hidden="1" x14ac:dyDescent="0.25">
      <c r="A9" s="54" t="s">
        <v>7</v>
      </c>
      <c r="B9" s="1">
        <v>44932</v>
      </c>
      <c r="C9" s="36">
        <f t="shared" si="7"/>
        <v>29177.600000000002</v>
      </c>
      <c r="D9" s="2">
        <v>11258</v>
      </c>
      <c r="E9" s="36">
        <f t="shared" si="8"/>
        <v>25714.400000000001</v>
      </c>
      <c r="F9" s="2">
        <v>17614</v>
      </c>
      <c r="G9" s="2">
        <f t="shared" si="0"/>
        <v>83764</v>
      </c>
      <c r="H9" s="3">
        <f t="shared" si="1"/>
        <v>0.34833102526144888</v>
      </c>
      <c r="I9" s="3">
        <f t="shared" si="2"/>
        <v>0.30698629482832723</v>
      </c>
      <c r="J9" s="3">
        <f t="shared" si="3"/>
        <v>0.13440141349505755</v>
      </c>
      <c r="K9" s="3">
        <f t="shared" si="4"/>
        <v>0.21028126641516642</v>
      </c>
      <c r="L9" s="3">
        <f t="shared" si="5"/>
        <v>0.65531732008977606</v>
      </c>
      <c r="M9" s="56">
        <f t="shared" si="6"/>
        <v>0.34468267991022394</v>
      </c>
      <c r="O9" s="4" t="s">
        <v>26</v>
      </c>
      <c r="P9" s="5">
        <v>0.37866445990755943</v>
      </c>
      <c r="Q9" s="5">
        <v>0.16161181663741711</v>
      </c>
      <c r="R9" s="5">
        <v>0.2985137821017943</v>
      </c>
      <c r="S9" s="5">
        <v>0.14639512653841436</v>
      </c>
    </row>
    <row r="10" spans="1:19" hidden="1" x14ac:dyDescent="0.25">
      <c r="A10" s="54" t="s">
        <v>30</v>
      </c>
      <c r="B10" s="1">
        <v>44933</v>
      </c>
      <c r="C10" s="36">
        <f t="shared" si="7"/>
        <v>32219.200000000001</v>
      </c>
      <c r="D10" s="2">
        <v>23292</v>
      </c>
      <c r="E10" s="36">
        <f t="shared" si="8"/>
        <v>31100.800000000003</v>
      </c>
      <c r="F10" s="2">
        <v>19000</v>
      </c>
      <c r="G10" s="2">
        <f t="shared" si="0"/>
        <v>105612</v>
      </c>
      <c r="H10" s="3">
        <f t="shared" si="1"/>
        <v>0.30507139340226491</v>
      </c>
      <c r="I10" s="3">
        <f t="shared" si="2"/>
        <v>0.29448168768700528</v>
      </c>
      <c r="J10" s="3">
        <f t="shared" si="3"/>
        <v>0.22054312009998864</v>
      </c>
      <c r="K10" s="3">
        <f t="shared" si="4"/>
        <v>0.1799037988107412</v>
      </c>
      <c r="L10" s="3">
        <f t="shared" si="5"/>
        <v>0.59955308108927019</v>
      </c>
      <c r="M10" s="56">
        <f t="shared" si="6"/>
        <v>0.40044691891072987</v>
      </c>
      <c r="N10" s="5"/>
      <c r="O10" s="4" t="s">
        <v>7</v>
      </c>
      <c r="P10" s="5">
        <v>0.38169661378858316</v>
      </c>
      <c r="Q10" s="5">
        <v>0.15245206025813968</v>
      </c>
      <c r="R10" s="5">
        <v>0.32050807261165265</v>
      </c>
      <c r="S10" s="5">
        <v>0.14534325334162457</v>
      </c>
    </row>
    <row r="11" spans="1:19" hidden="1" x14ac:dyDescent="0.25">
      <c r="A11" s="54" t="s">
        <v>31</v>
      </c>
      <c r="B11" s="1">
        <v>44934</v>
      </c>
      <c r="C11" s="36">
        <f t="shared" si="7"/>
        <v>26860.800000000003</v>
      </c>
      <c r="D11" s="2">
        <v>19254</v>
      </c>
      <c r="E11" s="36">
        <f t="shared" si="8"/>
        <v>20231.2</v>
      </c>
      <c r="F11" s="2">
        <v>15560</v>
      </c>
      <c r="G11" s="2">
        <f t="shared" si="0"/>
        <v>81906</v>
      </c>
      <c r="H11" s="3">
        <f t="shared" si="1"/>
        <v>0.3279466705735844</v>
      </c>
      <c r="I11" s="3">
        <f t="shared" si="2"/>
        <v>0.2470051034112275</v>
      </c>
      <c r="J11" s="3">
        <f t="shared" si="3"/>
        <v>0.23507435352721412</v>
      </c>
      <c r="K11" s="3">
        <f t="shared" si="4"/>
        <v>0.18997387248797401</v>
      </c>
      <c r="L11" s="3">
        <f t="shared" si="5"/>
        <v>0.5749517739848119</v>
      </c>
      <c r="M11" s="56">
        <f t="shared" si="6"/>
        <v>0.42504822601518816</v>
      </c>
      <c r="O11" s="4" t="s">
        <v>30</v>
      </c>
      <c r="P11" s="5">
        <v>0.3369328741874193</v>
      </c>
      <c r="Q11" s="5">
        <v>0.18007834146102578</v>
      </c>
      <c r="R11" s="5">
        <v>0.32091509728431589</v>
      </c>
      <c r="S11" s="5">
        <v>0.16207368706723871</v>
      </c>
    </row>
    <row r="12" spans="1:19" hidden="1" x14ac:dyDescent="0.25">
      <c r="A12" s="54" t="s">
        <v>129</v>
      </c>
      <c r="B12" s="1">
        <v>44935</v>
      </c>
      <c r="C12" s="36">
        <f t="shared" si="7"/>
        <v>16562.400000000001</v>
      </c>
      <c r="D12" s="2">
        <v>14661</v>
      </c>
      <c r="E12" s="36">
        <f t="shared" si="8"/>
        <v>30276.800000000003</v>
      </c>
      <c r="F12" s="2">
        <v>10401</v>
      </c>
      <c r="G12" s="2">
        <f t="shared" si="0"/>
        <v>71901.200000000012</v>
      </c>
      <c r="H12" s="3">
        <f t="shared" si="1"/>
        <v>0.23034942393172853</v>
      </c>
      <c r="I12" s="3">
        <f t="shared" si="2"/>
        <v>0.42108893871034137</v>
      </c>
      <c r="J12" s="3">
        <f t="shared" si="3"/>
        <v>0.20390480270148478</v>
      </c>
      <c r="K12" s="3">
        <f t="shared" si="4"/>
        <v>0.14465683465644522</v>
      </c>
      <c r="L12" s="3">
        <f t="shared" si="5"/>
        <v>0.65143836264206989</v>
      </c>
      <c r="M12" s="56">
        <f t="shared" si="6"/>
        <v>0.34856163735793</v>
      </c>
      <c r="O12" s="4" t="s">
        <v>130</v>
      </c>
      <c r="P12" s="5">
        <v>0.36328316930452303</v>
      </c>
      <c r="Q12" s="5">
        <v>0.16296789143137361</v>
      </c>
      <c r="R12" s="5">
        <v>0.32019586794651556</v>
      </c>
      <c r="S12" s="5">
        <v>0.14719039899521305</v>
      </c>
    </row>
    <row r="13" spans="1:19" hidden="1" x14ac:dyDescent="0.25">
      <c r="A13" s="54" t="s">
        <v>14</v>
      </c>
      <c r="B13" s="1">
        <v>44936</v>
      </c>
      <c r="C13" s="36">
        <f t="shared" si="7"/>
        <v>22522.400000000001</v>
      </c>
      <c r="D13" s="2">
        <v>8911</v>
      </c>
      <c r="E13" s="36">
        <f t="shared" si="8"/>
        <v>16456.8</v>
      </c>
      <c r="F13" s="2">
        <v>11517</v>
      </c>
      <c r="G13" s="2">
        <f t="shared" si="0"/>
        <v>59407.199999999997</v>
      </c>
      <c r="H13" s="3">
        <f t="shared" si="1"/>
        <v>0.37911902934324465</v>
      </c>
      <c r="I13" s="3">
        <f t="shared" si="2"/>
        <v>0.27701692724114246</v>
      </c>
      <c r="J13" s="3">
        <f t="shared" si="3"/>
        <v>0.14999865336188206</v>
      </c>
      <c r="K13" s="3">
        <f t="shared" si="4"/>
        <v>0.19386539005373088</v>
      </c>
      <c r="L13" s="3">
        <f t="shared" si="5"/>
        <v>0.65613595658438706</v>
      </c>
      <c r="M13" s="56">
        <f t="shared" si="6"/>
        <v>0.34386404341561294</v>
      </c>
    </row>
    <row r="14" spans="1:19" hidden="1" x14ac:dyDescent="0.25">
      <c r="A14" s="54" t="s">
        <v>21</v>
      </c>
      <c r="B14" s="1">
        <v>44937</v>
      </c>
      <c r="C14" s="36">
        <f t="shared" si="7"/>
        <v>20562.400000000001</v>
      </c>
      <c r="D14" s="2">
        <v>13487</v>
      </c>
      <c r="E14" s="36">
        <f t="shared" si="8"/>
        <v>20782.400000000001</v>
      </c>
      <c r="F14" s="2">
        <v>14871</v>
      </c>
      <c r="G14" s="2">
        <f t="shared" si="0"/>
        <v>69702.8</v>
      </c>
      <c r="H14" s="3">
        <f t="shared" si="1"/>
        <v>0.29500106165032108</v>
      </c>
      <c r="I14" s="3">
        <f t="shared" si="2"/>
        <v>0.29815731936163253</v>
      </c>
      <c r="J14" s="3">
        <f t="shared" si="3"/>
        <v>0.19349294432935263</v>
      </c>
      <c r="K14" s="3">
        <f t="shared" si="4"/>
        <v>0.21334867465869375</v>
      </c>
      <c r="L14" s="3">
        <f t="shared" si="5"/>
        <v>0.59315838101195362</v>
      </c>
      <c r="M14" s="56">
        <f t="shared" si="6"/>
        <v>0.40684161898804638</v>
      </c>
    </row>
    <row r="15" spans="1:19" x14ac:dyDescent="0.25">
      <c r="A15" s="54" t="s">
        <v>26</v>
      </c>
      <c r="B15" s="1">
        <v>44938</v>
      </c>
      <c r="C15" s="36">
        <f t="shared" si="7"/>
        <v>24068</v>
      </c>
      <c r="D15" s="2">
        <v>9000</v>
      </c>
      <c r="E15" s="36">
        <f t="shared" si="8"/>
        <v>11156</v>
      </c>
      <c r="F15" s="2">
        <v>15873</v>
      </c>
      <c r="G15" s="2">
        <f t="shared" si="0"/>
        <v>60097</v>
      </c>
      <c r="H15" s="3">
        <f t="shared" si="1"/>
        <v>0.4004858811587933</v>
      </c>
      <c r="I15" s="3">
        <f t="shared" si="2"/>
        <v>0.18563322628417392</v>
      </c>
      <c r="J15" s="3">
        <f t="shared" si="3"/>
        <v>0.14975789140888895</v>
      </c>
      <c r="K15" s="3">
        <f t="shared" si="4"/>
        <v>0.26412300114814385</v>
      </c>
      <c r="L15" s="3">
        <f t="shared" si="5"/>
        <v>0.58611910744296725</v>
      </c>
      <c r="M15" s="56">
        <f t="shared" si="6"/>
        <v>0.41388089255703281</v>
      </c>
      <c r="O15" s="4" t="s">
        <v>13</v>
      </c>
      <c r="P15" s="6" t="s">
        <v>9</v>
      </c>
    </row>
    <row r="16" spans="1:19" hidden="1" x14ac:dyDescent="0.25">
      <c r="A16" s="54" t="s">
        <v>7</v>
      </c>
      <c r="B16" s="1">
        <v>44939</v>
      </c>
      <c r="C16" s="36">
        <f t="shared" si="7"/>
        <v>25980.800000000003</v>
      </c>
      <c r="D16" s="2">
        <v>10394</v>
      </c>
      <c r="E16" s="36">
        <f t="shared" si="8"/>
        <v>14685.6</v>
      </c>
      <c r="F16" s="2">
        <v>15032</v>
      </c>
      <c r="G16" s="2">
        <f t="shared" si="0"/>
        <v>66092.399999999994</v>
      </c>
      <c r="H16" s="3">
        <f t="shared" si="1"/>
        <v>0.39309814744206606</v>
      </c>
      <c r="I16" s="3">
        <f t="shared" si="2"/>
        <v>0.22219801368992503</v>
      </c>
      <c r="J16" s="3">
        <f t="shared" si="3"/>
        <v>0.15726467793573848</v>
      </c>
      <c r="K16" s="3">
        <f t="shared" si="4"/>
        <v>0.2274391609322706</v>
      </c>
      <c r="L16" s="3">
        <f t="shared" si="5"/>
        <v>0.61529616113199104</v>
      </c>
      <c r="M16" s="56">
        <f t="shared" si="6"/>
        <v>0.38470383886800907</v>
      </c>
      <c r="O16" s="4" t="s">
        <v>13</v>
      </c>
      <c r="P16" s="6" t="s">
        <v>15</v>
      </c>
    </row>
    <row r="17" spans="1:19" hidden="1" x14ac:dyDescent="0.25">
      <c r="A17" s="54" t="s">
        <v>30</v>
      </c>
      <c r="B17" s="1">
        <v>44940</v>
      </c>
      <c r="C17" s="36">
        <f t="shared" si="7"/>
        <v>32915.200000000004</v>
      </c>
      <c r="D17" s="2">
        <v>16517</v>
      </c>
      <c r="E17" s="36">
        <f t="shared" si="8"/>
        <v>21107.200000000001</v>
      </c>
      <c r="F17" s="2">
        <v>18873</v>
      </c>
      <c r="G17" s="2">
        <f t="shared" si="0"/>
        <v>89412.400000000009</v>
      </c>
      <c r="H17" s="3">
        <f t="shared" si="1"/>
        <v>0.36812791067010842</v>
      </c>
      <c r="I17" s="3">
        <f t="shared" si="2"/>
        <v>0.23606569111219472</v>
      </c>
      <c r="J17" s="3">
        <f t="shared" si="3"/>
        <v>0.18472829272002539</v>
      </c>
      <c r="K17" s="3">
        <f t="shared" si="4"/>
        <v>0.21107810549767145</v>
      </c>
      <c r="L17" s="3">
        <f t="shared" si="5"/>
        <v>0.60419360178230319</v>
      </c>
      <c r="M17" s="56">
        <f t="shared" si="6"/>
        <v>0.39580639821769681</v>
      </c>
      <c r="P17" s="6"/>
    </row>
    <row r="18" spans="1:19" hidden="1" x14ac:dyDescent="0.25">
      <c r="A18" s="54" t="s">
        <v>31</v>
      </c>
      <c r="B18" s="1">
        <v>44941</v>
      </c>
      <c r="C18" s="36">
        <f t="shared" si="7"/>
        <v>29246.400000000001</v>
      </c>
      <c r="D18" s="2">
        <v>14870</v>
      </c>
      <c r="E18" s="36">
        <f t="shared" si="8"/>
        <v>16958.400000000001</v>
      </c>
      <c r="F18" s="2">
        <v>16099</v>
      </c>
      <c r="G18" s="2">
        <f t="shared" si="0"/>
        <v>77173.8</v>
      </c>
      <c r="H18" s="3">
        <f t="shared" si="1"/>
        <v>0.37896799172776252</v>
      </c>
      <c r="I18" s="3">
        <f t="shared" si="2"/>
        <v>0.21974296976435009</v>
      </c>
      <c r="J18" s="3">
        <f t="shared" si="3"/>
        <v>0.19268197237922713</v>
      </c>
      <c r="K18" s="3">
        <f t="shared" si="4"/>
        <v>0.20860706612866023</v>
      </c>
      <c r="L18" s="3">
        <f t="shared" si="5"/>
        <v>0.59871096149211267</v>
      </c>
      <c r="M18" s="56">
        <f t="shared" si="6"/>
        <v>0.40128903850788739</v>
      </c>
      <c r="O18" t="s">
        <v>131</v>
      </c>
      <c r="P18" s="6" t="s">
        <v>83</v>
      </c>
    </row>
    <row r="19" spans="1:19" hidden="1" x14ac:dyDescent="0.25">
      <c r="A19" s="54" t="s">
        <v>129</v>
      </c>
      <c r="B19" s="1">
        <v>44942</v>
      </c>
      <c r="C19" s="36">
        <f t="shared" si="7"/>
        <v>24360.800000000003</v>
      </c>
      <c r="D19" s="2">
        <v>13317</v>
      </c>
      <c r="E19" s="36">
        <f t="shared" si="8"/>
        <v>23732.800000000003</v>
      </c>
      <c r="F19" s="2">
        <v>15057</v>
      </c>
      <c r="G19" s="2">
        <f t="shared" si="0"/>
        <v>76467.600000000006</v>
      </c>
      <c r="H19" s="3">
        <f t="shared" si="1"/>
        <v>0.31857675669172303</v>
      </c>
      <c r="I19" s="3">
        <f t="shared" si="2"/>
        <v>0.31036412807515862</v>
      </c>
      <c r="J19" s="3">
        <f t="shared" si="3"/>
        <v>0.17415218994711484</v>
      </c>
      <c r="K19" s="3">
        <f t="shared" si="4"/>
        <v>0.19690692528600348</v>
      </c>
      <c r="L19" s="3">
        <f t="shared" si="5"/>
        <v>0.6289408847668817</v>
      </c>
      <c r="M19" s="56">
        <f t="shared" si="6"/>
        <v>0.3710591152331183</v>
      </c>
      <c r="O19" t="s">
        <v>131</v>
      </c>
      <c r="P19" s="6" t="s">
        <v>132</v>
      </c>
    </row>
    <row r="20" spans="1:19" hidden="1" x14ac:dyDescent="0.25">
      <c r="A20" s="54" t="s">
        <v>14</v>
      </c>
      <c r="B20" s="1">
        <v>44943</v>
      </c>
      <c r="C20" s="36">
        <f t="shared" si="7"/>
        <v>29942.400000000001</v>
      </c>
      <c r="D20" s="2">
        <v>12847</v>
      </c>
      <c r="E20" s="36">
        <f t="shared" si="8"/>
        <v>20936.800000000003</v>
      </c>
      <c r="F20" s="2">
        <v>14554</v>
      </c>
      <c r="G20" s="2">
        <f t="shared" si="0"/>
        <v>78280.200000000012</v>
      </c>
      <c r="H20" s="3">
        <f t="shared" si="1"/>
        <v>0.38250285512811666</v>
      </c>
      <c r="I20" s="3">
        <f t="shared" si="2"/>
        <v>0.26745971522811646</v>
      </c>
      <c r="J20" s="3">
        <f t="shared" si="3"/>
        <v>0.16411557456419373</v>
      </c>
      <c r="K20" s="3">
        <f t="shared" si="4"/>
        <v>0.1859218550795731</v>
      </c>
      <c r="L20" s="3">
        <f t="shared" si="5"/>
        <v>0.64996257035623306</v>
      </c>
      <c r="M20" s="56">
        <f t="shared" si="6"/>
        <v>0.35003742964376683</v>
      </c>
      <c r="P20" s="6" t="s">
        <v>133</v>
      </c>
      <c r="Q20" t="s">
        <v>134</v>
      </c>
      <c r="R20" t="s">
        <v>122</v>
      </c>
    </row>
    <row r="21" spans="1:19" hidden="1" x14ac:dyDescent="0.25">
      <c r="A21" s="54" t="s">
        <v>21</v>
      </c>
      <c r="B21" s="1">
        <v>44944</v>
      </c>
      <c r="C21" s="36">
        <f t="shared" si="7"/>
        <v>19973.600000000002</v>
      </c>
      <c r="D21" s="2">
        <v>12228</v>
      </c>
      <c r="E21" s="36">
        <f t="shared" si="8"/>
        <v>17208.8</v>
      </c>
      <c r="F21" s="2">
        <v>8016</v>
      </c>
      <c r="G21" s="2">
        <f t="shared" si="0"/>
        <v>57426.400000000001</v>
      </c>
      <c r="H21" s="3">
        <f t="shared" si="1"/>
        <v>0.34781215608152349</v>
      </c>
      <c r="I21" s="3">
        <f t="shared" si="2"/>
        <v>0.29966705208754157</v>
      </c>
      <c r="J21" s="3">
        <f t="shared" si="3"/>
        <v>0.2129334243483833</v>
      </c>
      <c r="K21" s="3">
        <f t="shared" si="4"/>
        <v>0.13958736748255157</v>
      </c>
      <c r="L21" s="3">
        <f t="shared" si="5"/>
        <v>0.64747920816906512</v>
      </c>
      <c r="M21" s="56">
        <f t="shared" si="6"/>
        <v>0.35252079183093488</v>
      </c>
      <c r="O21" t="s">
        <v>135</v>
      </c>
      <c r="P21" s="6">
        <v>35</v>
      </c>
      <c r="Q21" s="6">
        <v>20</v>
      </c>
      <c r="R21" s="6">
        <f>Q21*P21</f>
        <v>700</v>
      </c>
    </row>
    <row r="22" spans="1:19" x14ac:dyDescent="0.25">
      <c r="A22" s="54" t="s">
        <v>26</v>
      </c>
      <c r="B22" s="1">
        <v>44945</v>
      </c>
      <c r="C22" s="36">
        <f t="shared" si="7"/>
        <v>22357.600000000002</v>
      </c>
      <c r="D22" s="2">
        <v>11952</v>
      </c>
      <c r="E22" s="36">
        <f t="shared" si="8"/>
        <v>13005.6</v>
      </c>
      <c r="F22" s="2">
        <v>13938</v>
      </c>
      <c r="G22" s="2">
        <f t="shared" si="0"/>
        <v>61253.200000000004</v>
      </c>
      <c r="H22" s="3">
        <f t="shared" si="1"/>
        <v>0.36500297127333758</v>
      </c>
      <c r="I22" s="3">
        <f t="shared" si="2"/>
        <v>0.21232523362044758</v>
      </c>
      <c r="J22" s="3">
        <f t="shared" si="3"/>
        <v>0.19512449961797912</v>
      </c>
      <c r="K22" s="3">
        <f t="shared" si="4"/>
        <v>0.22754729548823571</v>
      </c>
      <c r="L22" s="3">
        <f t="shared" si="5"/>
        <v>0.57732820489378522</v>
      </c>
      <c r="M22" s="56">
        <f t="shared" si="6"/>
        <v>0.42267179510621483</v>
      </c>
      <c r="O22" t="s">
        <v>136</v>
      </c>
      <c r="P22" s="6">
        <v>25</v>
      </c>
      <c r="Q22" s="6">
        <v>20</v>
      </c>
      <c r="R22" s="6">
        <f>Q22*P22</f>
        <v>500</v>
      </c>
    </row>
    <row r="23" spans="1:19" hidden="1" x14ac:dyDescent="0.25">
      <c r="A23" s="54" t="s">
        <v>7</v>
      </c>
      <c r="B23" s="1">
        <v>44946</v>
      </c>
      <c r="C23" s="36">
        <f t="shared" si="7"/>
        <v>32324</v>
      </c>
      <c r="D23" s="2">
        <v>14330</v>
      </c>
      <c r="E23" s="36">
        <f t="shared" si="8"/>
        <v>30520.800000000003</v>
      </c>
      <c r="F23" s="2">
        <v>18541</v>
      </c>
      <c r="G23" s="2">
        <f t="shared" si="0"/>
        <v>95715.8</v>
      </c>
      <c r="H23" s="3">
        <f t="shared" si="1"/>
        <v>0.33770808999141205</v>
      </c>
      <c r="I23" s="3">
        <f t="shared" si="2"/>
        <v>0.31886898505784839</v>
      </c>
      <c r="J23" s="3">
        <f t="shared" si="3"/>
        <v>0.14971404930011556</v>
      </c>
      <c r="K23" s="3">
        <f t="shared" si="4"/>
        <v>0.19370887565062403</v>
      </c>
      <c r="L23" s="3">
        <f t="shared" si="5"/>
        <v>0.65657707504926044</v>
      </c>
      <c r="M23" s="56">
        <f t="shared" si="6"/>
        <v>0.34342292495073956</v>
      </c>
      <c r="O23" t="s">
        <v>137</v>
      </c>
      <c r="P23" s="6">
        <v>16</v>
      </c>
      <c r="Q23" s="6">
        <v>40</v>
      </c>
      <c r="R23" s="6">
        <f>Q23*P23</f>
        <v>640</v>
      </c>
    </row>
    <row r="24" spans="1:19" hidden="1" x14ac:dyDescent="0.25">
      <c r="A24" s="54" t="s">
        <v>30</v>
      </c>
      <c r="B24" s="1">
        <v>44947</v>
      </c>
      <c r="C24" s="36">
        <f t="shared" si="7"/>
        <v>26150.400000000001</v>
      </c>
      <c r="D24" s="2">
        <v>18918</v>
      </c>
      <c r="E24" s="36">
        <f t="shared" si="8"/>
        <v>25116.800000000003</v>
      </c>
      <c r="F24" s="2">
        <v>22283</v>
      </c>
      <c r="G24" s="2">
        <f t="shared" si="0"/>
        <v>92468.200000000012</v>
      </c>
      <c r="H24" s="3">
        <f t="shared" si="1"/>
        <v>0.28280425054234859</v>
      </c>
      <c r="I24" s="3">
        <f t="shared" si="2"/>
        <v>0.27162635370862631</v>
      </c>
      <c r="J24" s="3">
        <f t="shared" si="3"/>
        <v>0.20458925338656964</v>
      </c>
      <c r="K24" s="3">
        <f t="shared" si="4"/>
        <v>0.24098014236245538</v>
      </c>
      <c r="L24" s="3">
        <f t="shared" si="5"/>
        <v>0.5544306042509749</v>
      </c>
      <c r="M24" s="56">
        <f t="shared" si="6"/>
        <v>0.44556939574902499</v>
      </c>
    </row>
    <row r="25" spans="1:19" hidden="1" x14ac:dyDescent="0.25">
      <c r="A25" s="54" t="s">
        <v>31</v>
      </c>
      <c r="B25" s="1">
        <v>44948</v>
      </c>
      <c r="C25" s="36">
        <f t="shared" si="7"/>
        <v>27144</v>
      </c>
      <c r="D25" s="2">
        <v>19918</v>
      </c>
      <c r="E25" s="36">
        <f t="shared" si="8"/>
        <v>23781.600000000002</v>
      </c>
      <c r="F25" s="2">
        <v>20213</v>
      </c>
      <c r="G25" s="2">
        <f t="shared" si="0"/>
        <v>91056.6</v>
      </c>
      <c r="H25" s="3">
        <f t="shared" si="1"/>
        <v>0.29810030244924585</v>
      </c>
      <c r="I25" s="3">
        <f t="shared" si="2"/>
        <v>0.26117381936070533</v>
      </c>
      <c r="J25" s="3">
        <f t="shared" si="3"/>
        <v>0.21874306749867664</v>
      </c>
      <c r="K25" s="3">
        <f t="shared" si="4"/>
        <v>0.22198281069137216</v>
      </c>
      <c r="L25" s="3">
        <f t="shared" si="5"/>
        <v>0.55927412180995117</v>
      </c>
      <c r="M25" s="56">
        <f t="shared" si="6"/>
        <v>0.44072587819004883</v>
      </c>
    </row>
    <row r="26" spans="1:19" hidden="1" x14ac:dyDescent="0.25">
      <c r="A26" s="54" t="s">
        <v>129</v>
      </c>
      <c r="B26" s="1">
        <v>44949</v>
      </c>
      <c r="C26" s="36">
        <f t="shared" si="7"/>
        <v>15788.800000000001</v>
      </c>
      <c r="D26" s="2">
        <v>14149</v>
      </c>
      <c r="E26" s="36">
        <f t="shared" si="8"/>
        <v>29057.600000000002</v>
      </c>
      <c r="F26" s="2">
        <v>13160</v>
      </c>
      <c r="G26" s="2">
        <f t="shared" si="0"/>
        <v>72155.400000000009</v>
      </c>
      <c r="H26" s="3">
        <f t="shared" si="1"/>
        <v>0.21881660970627284</v>
      </c>
      <c r="I26" s="3">
        <f t="shared" si="2"/>
        <v>0.40270859838626072</v>
      </c>
      <c r="J26" s="3">
        <f t="shared" si="3"/>
        <v>0.19609065988131169</v>
      </c>
      <c r="K26" s="3">
        <f t="shared" si="4"/>
        <v>0.18238413202615464</v>
      </c>
      <c r="L26" s="3">
        <f t="shared" si="5"/>
        <v>0.62152520809253353</v>
      </c>
      <c r="M26" s="56">
        <f t="shared" si="6"/>
        <v>0.37847479190746636</v>
      </c>
    </row>
    <row r="27" spans="1:19" hidden="1" x14ac:dyDescent="0.25">
      <c r="A27" s="54" t="s">
        <v>14</v>
      </c>
      <c r="B27" s="1">
        <v>44950</v>
      </c>
      <c r="C27" s="36">
        <f t="shared" si="7"/>
        <v>24633.600000000002</v>
      </c>
      <c r="D27" s="2">
        <v>12640</v>
      </c>
      <c r="E27" s="36">
        <f t="shared" si="8"/>
        <v>16108</v>
      </c>
      <c r="F27" s="2">
        <v>16573</v>
      </c>
      <c r="G27" s="2">
        <f t="shared" si="0"/>
        <v>69954.600000000006</v>
      </c>
      <c r="H27" s="3">
        <f t="shared" si="1"/>
        <v>0.35213695739808393</v>
      </c>
      <c r="I27" s="3">
        <f t="shared" si="2"/>
        <v>0.23026362812452647</v>
      </c>
      <c r="J27" s="3">
        <f t="shared" si="3"/>
        <v>0.18068861804656161</v>
      </c>
      <c r="K27" s="3">
        <f t="shared" si="4"/>
        <v>0.23691079643082796</v>
      </c>
      <c r="L27" s="3">
        <f t="shared" si="5"/>
        <v>0.58240058552261043</v>
      </c>
      <c r="M27" s="56">
        <f t="shared" si="6"/>
        <v>0.41759941447738957</v>
      </c>
      <c r="O27" t="s">
        <v>138</v>
      </c>
      <c r="P27">
        <v>0.8</v>
      </c>
    </row>
    <row r="28" spans="1:19" hidden="1" x14ac:dyDescent="0.25">
      <c r="A28" s="54" t="s">
        <v>21</v>
      </c>
      <c r="B28" s="1">
        <v>44951</v>
      </c>
      <c r="C28" s="36">
        <f t="shared" si="7"/>
        <v>26124</v>
      </c>
      <c r="D28" s="2">
        <v>9635</v>
      </c>
      <c r="E28" s="36">
        <f t="shared" si="8"/>
        <v>23789.600000000002</v>
      </c>
      <c r="F28" s="2">
        <v>15690</v>
      </c>
      <c r="G28" s="2">
        <f t="shared" si="0"/>
        <v>75238.600000000006</v>
      </c>
      <c r="H28" s="3">
        <f t="shared" si="1"/>
        <v>0.34721539209926816</v>
      </c>
      <c r="I28" s="3">
        <f t="shared" si="2"/>
        <v>0.31618876480955255</v>
      </c>
      <c r="J28" s="3">
        <f t="shared" si="3"/>
        <v>0.12805926745048418</v>
      </c>
      <c r="K28" s="3">
        <f t="shared" si="4"/>
        <v>0.20853657564069505</v>
      </c>
      <c r="L28" s="3">
        <f t="shared" si="5"/>
        <v>0.66340415690882082</v>
      </c>
      <c r="M28" s="56">
        <f t="shared" si="6"/>
        <v>0.33659584309117924</v>
      </c>
    </row>
    <row r="29" spans="1:19" x14ac:dyDescent="0.25">
      <c r="A29" s="54" t="s">
        <v>26</v>
      </c>
      <c r="B29" s="1">
        <v>44952</v>
      </c>
      <c r="C29" s="36">
        <f t="shared" si="7"/>
        <v>26372</v>
      </c>
      <c r="D29" s="2">
        <v>8185</v>
      </c>
      <c r="E29" s="36">
        <f t="shared" si="8"/>
        <v>24186.400000000001</v>
      </c>
      <c r="F29" s="2">
        <v>10958</v>
      </c>
      <c r="G29" s="2">
        <f t="shared" si="0"/>
        <v>69701.399999999994</v>
      </c>
      <c r="H29" s="3">
        <f t="shared" si="1"/>
        <v>0.37835681923175146</v>
      </c>
      <c r="I29" s="3">
        <f t="shared" si="2"/>
        <v>0.34700020372618057</v>
      </c>
      <c r="J29" s="3">
        <f t="shared" si="3"/>
        <v>0.11742949209054625</v>
      </c>
      <c r="K29" s="3">
        <f t="shared" si="4"/>
        <v>0.15721348495152179</v>
      </c>
      <c r="L29" s="3">
        <f t="shared" si="5"/>
        <v>0.72535702295793203</v>
      </c>
      <c r="M29" s="56">
        <f t="shared" si="6"/>
        <v>0.27464297704206803</v>
      </c>
      <c r="O29" s="2">
        <v>0</v>
      </c>
      <c r="R29" s="2">
        <v>0</v>
      </c>
      <c r="S29" s="36"/>
    </row>
    <row r="30" spans="1:19" hidden="1" x14ac:dyDescent="0.25">
      <c r="A30" s="54" t="s">
        <v>7</v>
      </c>
      <c r="B30" s="1">
        <v>44953</v>
      </c>
      <c r="C30" s="36">
        <f t="shared" si="7"/>
        <v>26620</v>
      </c>
      <c r="D30" s="2">
        <v>18459</v>
      </c>
      <c r="E30" s="36">
        <f t="shared" si="8"/>
        <v>22437.600000000002</v>
      </c>
      <c r="F30" s="2">
        <v>17676</v>
      </c>
      <c r="G30" s="2">
        <f t="shared" si="0"/>
        <v>85192.6</v>
      </c>
      <c r="H30" s="3">
        <f t="shared" si="1"/>
        <v>0.31246845383284461</v>
      </c>
      <c r="I30" s="3">
        <f t="shared" si="2"/>
        <v>0.26337498796843856</v>
      </c>
      <c r="J30" s="3">
        <f t="shared" si="3"/>
        <v>0.21667374865892106</v>
      </c>
      <c r="K30" s="3">
        <f t="shared" si="4"/>
        <v>0.2074828095397957</v>
      </c>
      <c r="L30" s="3">
        <f t="shared" si="5"/>
        <v>0.57584344180128322</v>
      </c>
      <c r="M30" s="56">
        <f t="shared" si="6"/>
        <v>0.42415655819871678</v>
      </c>
      <c r="O30" s="2">
        <v>38343</v>
      </c>
      <c r="R30" s="2">
        <v>48957</v>
      </c>
      <c r="S30" s="36"/>
    </row>
    <row r="31" spans="1:19" hidden="1" x14ac:dyDescent="0.25">
      <c r="A31" s="54" t="s">
        <v>30</v>
      </c>
      <c r="B31" s="1">
        <v>44954</v>
      </c>
      <c r="C31" s="36">
        <f t="shared" si="7"/>
        <v>42900</v>
      </c>
      <c r="D31" s="2">
        <v>24091</v>
      </c>
      <c r="E31" s="36">
        <f t="shared" si="8"/>
        <v>47440</v>
      </c>
      <c r="F31" s="2">
        <v>20690</v>
      </c>
      <c r="G31" s="2">
        <f t="shared" si="0"/>
        <v>135121</v>
      </c>
      <c r="H31" s="3">
        <f t="shared" si="1"/>
        <v>0.31749320978974399</v>
      </c>
      <c r="I31" s="3">
        <f t="shared" si="2"/>
        <v>0.35109272429896166</v>
      </c>
      <c r="J31" s="3">
        <f t="shared" si="3"/>
        <v>0.17829204934836185</v>
      </c>
      <c r="K31" s="3">
        <f t="shared" si="4"/>
        <v>0.15312201656293248</v>
      </c>
      <c r="L31" s="3">
        <f t="shared" si="5"/>
        <v>0.6685859340887057</v>
      </c>
      <c r="M31" s="56">
        <f t="shared" si="6"/>
        <v>0.3314140659112943</v>
      </c>
      <c r="O31" s="2">
        <v>33929</v>
      </c>
      <c r="R31" s="2">
        <v>29495</v>
      </c>
      <c r="S31" s="36"/>
    </row>
    <row r="32" spans="1:19" hidden="1" x14ac:dyDescent="0.25">
      <c r="A32" s="54" t="s">
        <v>31</v>
      </c>
      <c r="B32" s="1">
        <v>44955</v>
      </c>
      <c r="C32" s="36">
        <f t="shared" si="7"/>
        <v>22993.600000000002</v>
      </c>
      <c r="D32" s="2">
        <v>24232</v>
      </c>
      <c r="E32" s="36">
        <f t="shared" si="8"/>
        <v>30436</v>
      </c>
      <c r="F32" s="2">
        <v>17450</v>
      </c>
      <c r="G32" s="2">
        <f t="shared" si="0"/>
        <v>95111.6</v>
      </c>
      <c r="H32" s="3">
        <f t="shared" si="1"/>
        <v>0.24175389752669496</v>
      </c>
      <c r="I32" s="3">
        <f t="shared" si="2"/>
        <v>0.32000302802181857</v>
      </c>
      <c r="J32" s="3">
        <f t="shared" si="3"/>
        <v>0.25477439134658653</v>
      </c>
      <c r="K32" s="3">
        <f t="shared" si="4"/>
        <v>0.18346868310489992</v>
      </c>
      <c r="L32" s="3">
        <f t="shared" si="5"/>
        <v>0.56175692554851353</v>
      </c>
      <c r="M32" s="56">
        <f t="shared" si="6"/>
        <v>0.43824307445148641</v>
      </c>
      <c r="O32" s="2">
        <v>28777</v>
      </c>
      <c r="R32" s="2">
        <v>25908</v>
      </c>
      <c r="S32" s="36"/>
    </row>
    <row r="33" spans="1:19" hidden="1" x14ac:dyDescent="0.25">
      <c r="A33" s="54" t="s">
        <v>129</v>
      </c>
      <c r="B33" s="1">
        <v>44956</v>
      </c>
      <c r="C33" s="36">
        <f t="shared" si="7"/>
        <v>26688</v>
      </c>
      <c r="D33" s="2">
        <v>10362</v>
      </c>
      <c r="E33" s="36">
        <f t="shared" si="8"/>
        <v>26641.600000000002</v>
      </c>
      <c r="F33" s="2">
        <v>16642</v>
      </c>
      <c r="G33" s="2">
        <f t="shared" si="0"/>
        <v>80333.600000000006</v>
      </c>
      <c r="H33" s="3">
        <f t="shared" si="1"/>
        <v>0.33221466484758555</v>
      </c>
      <c r="I33" s="3">
        <f t="shared" si="2"/>
        <v>0.33163707340390569</v>
      </c>
      <c r="J33" s="3">
        <f t="shared" si="3"/>
        <v>0.12898712369419521</v>
      </c>
      <c r="K33" s="3">
        <f t="shared" si="4"/>
        <v>0.20716113805431349</v>
      </c>
      <c r="L33" s="3">
        <f t="shared" si="5"/>
        <v>0.66385173825149135</v>
      </c>
      <c r="M33" s="56">
        <f t="shared" si="6"/>
        <v>0.3361482617485087</v>
      </c>
      <c r="O33" s="2">
        <v>24538</v>
      </c>
      <c r="P33" t="s">
        <v>139</v>
      </c>
      <c r="Q33" s="5">
        <f>AVERAGE(H5:H943)</f>
        <v>0.33768135311211528</v>
      </c>
      <c r="R33" s="2">
        <v>16175</v>
      </c>
      <c r="S33" s="36"/>
    </row>
    <row r="34" spans="1:19" hidden="1" x14ac:dyDescent="0.25">
      <c r="A34" s="54" t="s">
        <v>14</v>
      </c>
      <c r="B34" s="1">
        <v>44957</v>
      </c>
      <c r="C34" s="36">
        <f t="shared" si="7"/>
        <v>27504.800000000003</v>
      </c>
      <c r="D34" s="2">
        <v>15591</v>
      </c>
      <c r="E34" s="36">
        <f t="shared" si="8"/>
        <v>20148</v>
      </c>
      <c r="F34" s="2">
        <v>14584</v>
      </c>
      <c r="G34" s="2">
        <f t="shared" si="0"/>
        <v>77827.8</v>
      </c>
      <c r="H34" s="3">
        <f t="shared" si="1"/>
        <v>0.3534058524074945</v>
      </c>
      <c r="I34" s="3">
        <f t="shared" si="2"/>
        <v>0.25887921796581681</v>
      </c>
      <c r="J34" s="3">
        <f t="shared" si="3"/>
        <v>0.20032687548665129</v>
      </c>
      <c r="K34" s="3">
        <f t="shared" si="4"/>
        <v>0.18738805414003737</v>
      </c>
      <c r="L34" s="3">
        <f t="shared" si="5"/>
        <v>0.61228507037331137</v>
      </c>
      <c r="M34" s="56">
        <f t="shared" si="6"/>
        <v>0.38771492962668863</v>
      </c>
      <c r="O34" s="2">
        <v>36472</v>
      </c>
      <c r="R34" s="2">
        <v>32143</v>
      </c>
      <c r="S34" s="36"/>
    </row>
    <row r="35" spans="1:19" hidden="1" x14ac:dyDescent="0.25">
      <c r="A35" s="54" t="s">
        <v>21</v>
      </c>
      <c r="B35" s="1">
        <v>44958</v>
      </c>
      <c r="C35" s="36">
        <f t="shared" si="7"/>
        <v>21449.600000000002</v>
      </c>
      <c r="D35" s="2">
        <v>11561</v>
      </c>
      <c r="E35" s="36">
        <f t="shared" si="8"/>
        <v>22155.200000000001</v>
      </c>
      <c r="F35" s="2">
        <v>18349</v>
      </c>
      <c r="G35" s="2">
        <f t="shared" si="0"/>
        <v>73514.8</v>
      </c>
      <c r="H35" s="3">
        <f t="shared" si="1"/>
        <v>0.29177254103935535</v>
      </c>
      <c r="I35" s="3">
        <f t="shared" si="2"/>
        <v>0.30137060836729473</v>
      </c>
      <c r="J35" s="3">
        <f t="shared" si="3"/>
        <v>0.15726085087628613</v>
      </c>
      <c r="K35" s="3">
        <f t="shared" si="4"/>
        <v>0.24959599971706375</v>
      </c>
      <c r="L35" s="3">
        <f t="shared" si="5"/>
        <v>0.59314314940665014</v>
      </c>
      <c r="M35" s="56">
        <f t="shared" si="6"/>
        <v>0.40685685059334992</v>
      </c>
      <c r="O35" s="2">
        <v>40274</v>
      </c>
      <c r="R35" s="2">
        <v>38876</v>
      </c>
      <c r="S35" s="36"/>
    </row>
    <row r="36" spans="1:19" x14ac:dyDescent="0.25">
      <c r="A36" s="54" t="s">
        <v>26</v>
      </c>
      <c r="B36" s="1">
        <v>44959</v>
      </c>
      <c r="C36" s="36">
        <f t="shared" si="7"/>
        <v>28936</v>
      </c>
      <c r="D36" s="2">
        <v>8376</v>
      </c>
      <c r="E36" s="36">
        <f t="shared" si="8"/>
        <v>14684.800000000001</v>
      </c>
      <c r="F36" s="2">
        <v>14662</v>
      </c>
      <c r="G36" s="2">
        <f t="shared" ref="G36:G67" si="9">SUM(C36:F36)</f>
        <v>66658.8</v>
      </c>
      <c r="H36" s="3">
        <f t="shared" ref="H36:H67" si="10">IFERROR(C36/G36,0)</f>
        <v>0.43409122276428619</v>
      </c>
      <c r="I36" s="3">
        <f t="shared" ref="I36:I68" si="11">IFERROR(E36/G36,0)</f>
        <v>0.22029799516342929</v>
      </c>
      <c r="J36" s="3">
        <f t="shared" ref="J36:J68" si="12">IFERROR(D36/G36,0)</f>
        <v>0.1256548272696178</v>
      </c>
      <c r="K36" s="3">
        <f t="shared" ref="K36:K68" si="13">IFERROR(F36/G36,0)</f>
        <v>0.21995595480266669</v>
      </c>
      <c r="L36" s="3">
        <f t="shared" ref="L36:L68" si="14">IFERROR((C36+E36)/G36, 0)</f>
        <v>0.65438921792771554</v>
      </c>
      <c r="M36" s="56">
        <f t="shared" ref="M36:M68" si="15">IFERROR((D36+F36)/G36, 0)</f>
        <v>0.34561078207228452</v>
      </c>
      <c r="O36" s="2">
        <v>33576</v>
      </c>
      <c r="R36" s="2">
        <v>25289</v>
      </c>
      <c r="S36" s="36"/>
    </row>
    <row r="37" spans="1:19" hidden="1" x14ac:dyDescent="0.25">
      <c r="A37" s="54" t="s">
        <v>7</v>
      </c>
      <c r="B37" s="1">
        <v>44960</v>
      </c>
      <c r="C37" s="36">
        <f t="shared" si="7"/>
        <v>38424</v>
      </c>
      <c r="D37" s="2">
        <v>13965</v>
      </c>
      <c r="E37" s="36">
        <f t="shared" si="8"/>
        <v>32852</v>
      </c>
      <c r="F37" s="2">
        <v>16210</v>
      </c>
      <c r="G37" s="2">
        <f t="shared" si="9"/>
        <v>101451</v>
      </c>
      <c r="H37" s="3">
        <f t="shared" si="10"/>
        <v>0.37874441848774287</v>
      </c>
      <c r="I37" s="3">
        <f t="shared" si="11"/>
        <v>0.32382135217987007</v>
      </c>
      <c r="J37" s="3">
        <f t="shared" si="12"/>
        <v>0.13765265990478162</v>
      </c>
      <c r="K37" s="3">
        <f t="shared" si="13"/>
        <v>0.15978156942760544</v>
      </c>
      <c r="L37" s="3">
        <f t="shared" si="14"/>
        <v>0.70256577066761294</v>
      </c>
      <c r="M37" s="56">
        <f t="shared" si="15"/>
        <v>0.29743422933238706</v>
      </c>
      <c r="O37" s="2">
        <v>20703</v>
      </c>
      <c r="R37" s="2">
        <v>37846</v>
      </c>
      <c r="S37" s="36"/>
    </row>
    <row r="38" spans="1:19" hidden="1" x14ac:dyDescent="0.25">
      <c r="A38" s="54" t="s">
        <v>30</v>
      </c>
      <c r="B38" s="1">
        <v>44961</v>
      </c>
      <c r="C38" s="36">
        <f t="shared" si="7"/>
        <v>31611.200000000001</v>
      </c>
      <c r="D38" s="2">
        <v>24166</v>
      </c>
      <c r="E38" s="36">
        <f t="shared" si="8"/>
        <v>30610.400000000001</v>
      </c>
      <c r="F38" s="2">
        <v>25256</v>
      </c>
      <c r="G38" s="2">
        <f t="shared" si="9"/>
        <v>111643.6</v>
      </c>
      <c r="H38" s="3">
        <f t="shared" si="10"/>
        <v>0.28314386135882397</v>
      </c>
      <c r="I38" s="3">
        <f t="shared" si="11"/>
        <v>0.27417962158153264</v>
      </c>
      <c r="J38" s="3">
        <f t="shared" si="12"/>
        <v>0.21645665313551335</v>
      </c>
      <c r="K38" s="3">
        <f t="shared" si="13"/>
        <v>0.22621986392412999</v>
      </c>
      <c r="L38" s="3">
        <f t="shared" si="14"/>
        <v>0.55732348294035661</v>
      </c>
      <c r="M38" s="56">
        <f t="shared" si="15"/>
        <v>0.44267651705964334</v>
      </c>
      <c r="O38" s="2">
        <v>28153</v>
      </c>
      <c r="R38" s="2">
        <v>20571</v>
      </c>
      <c r="S38" s="36"/>
    </row>
    <row r="39" spans="1:19" hidden="1" x14ac:dyDescent="0.25">
      <c r="A39" s="54" t="s">
        <v>31</v>
      </c>
      <c r="B39" s="1">
        <v>44962</v>
      </c>
      <c r="C39" s="36">
        <f t="shared" si="7"/>
        <v>26457.600000000002</v>
      </c>
      <c r="D39" s="2">
        <v>16684</v>
      </c>
      <c r="E39" s="36">
        <f t="shared" si="8"/>
        <v>22552</v>
      </c>
      <c r="F39" s="2">
        <v>23072</v>
      </c>
      <c r="G39" s="2">
        <f t="shared" si="9"/>
        <v>88765.6</v>
      </c>
      <c r="H39" s="3">
        <f t="shared" si="10"/>
        <v>0.29806141117730295</v>
      </c>
      <c r="I39" s="3">
        <f t="shared" si="11"/>
        <v>0.25406238452733942</v>
      </c>
      <c r="J39" s="3">
        <f t="shared" si="12"/>
        <v>0.18795569454833852</v>
      </c>
      <c r="K39" s="3">
        <f t="shared" si="13"/>
        <v>0.25992050974701908</v>
      </c>
      <c r="L39" s="3">
        <f t="shared" si="14"/>
        <v>0.55212379570464232</v>
      </c>
      <c r="M39" s="56">
        <f t="shared" si="15"/>
        <v>0.44787620429535763</v>
      </c>
      <c r="O39" s="2">
        <v>25703</v>
      </c>
      <c r="R39" s="2">
        <v>25978</v>
      </c>
      <c r="S39" s="36"/>
    </row>
    <row r="40" spans="1:19" hidden="1" x14ac:dyDescent="0.25">
      <c r="A40" s="54" t="s">
        <v>129</v>
      </c>
      <c r="B40" s="1">
        <v>44963</v>
      </c>
      <c r="C40" s="36">
        <f t="shared" si="7"/>
        <v>28284.800000000003</v>
      </c>
      <c r="D40" s="2">
        <v>16891</v>
      </c>
      <c r="E40" s="36">
        <f t="shared" si="8"/>
        <v>24792.800000000003</v>
      </c>
      <c r="F40" s="2">
        <v>13203</v>
      </c>
      <c r="G40" s="2">
        <f t="shared" si="9"/>
        <v>83171.600000000006</v>
      </c>
      <c r="H40" s="3">
        <f t="shared" si="10"/>
        <v>0.34007762265003921</v>
      </c>
      <c r="I40" s="3">
        <f t="shared" si="11"/>
        <v>0.29809213721991645</v>
      </c>
      <c r="J40" s="3">
        <f t="shared" si="12"/>
        <v>0.20308614959914201</v>
      </c>
      <c r="K40" s="3">
        <f t="shared" si="13"/>
        <v>0.15874409053090235</v>
      </c>
      <c r="L40" s="3">
        <f t="shared" si="14"/>
        <v>0.63816975986995561</v>
      </c>
      <c r="M40" s="56">
        <f t="shared" si="15"/>
        <v>0.36183024013004439</v>
      </c>
      <c r="O40" s="2">
        <v>30085</v>
      </c>
      <c r="Q40" s="5">
        <f>AVERAGE(I5:I943)</f>
        <v>0.29742713280854666</v>
      </c>
      <c r="R40" s="2">
        <v>13945</v>
      </c>
      <c r="S40" s="36"/>
    </row>
    <row r="41" spans="1:19" hidden="1" x14ac:dyDescent="0.25">
      <c r="A41" s="54" t="s">
        <v>14</v>
      </c>
      <c r="B41" s="1">
        <v>44964</v>
      </c>
      <c r="C41" s="36">
        <f t="shared" si="7"/>
        <v>24745.600000000002</v>
      </c>
      <c r="D41" s="2">
        <v>13639</v>
      </c>
      <c r="E41" s="36">
        <f t="shared" si="8"/>
        <v>19546.400000000001</v>
      </c>
      <c r="F41" s="2">
        <v>15263</v>
      </c>
      <c r="G41" s="2">
        <f t="shared" si="9"/>
        <v>73194</v>
      </c>
      <c r="H41" s="3">
        <f t="shared" si="10"/>
        <v>0.33808235647730689</v>
      </c>
      <c r="I41" s="3">
        <f t="shared" si="11"/>
        <v>0.26704921168401785</v>
      </c>
      <c r="J41" s="3">
        <f t="shared" si="12"/>
        <v>0.18634041041615432</v>
      </c>
      <c r="K41" s="3">
        <f t="shared" si="13"/>
        <v>0.20852802142252097</v>
      </c>
      <c r="L41" s="3">
        <f t="shared" si="14"/>
        <v>0.60513156816132474</v>
      </c>
      <c r="M41" s="56">
        <f t="shared" si="15"/>
        <v>0.39486843183867532</v>
      </c>
      <c r="O41" s="2">
        <v>32476</v>
      </c>
      <c r="R41" s="2">
        <v>18357</v>
      </c>
      <c r="S41" s="36"/>
    </row>
    <row r="42" spans="1:19" hidden="1" x14ac:dyDescent="0.25">
      <c r="A42" s="54" t="s">
        <v>21</v>
      </c>
      <c r="B42" s="1">
        <v>44965</v>
      </c>
      <c r="C42" s="36">
        <f t="shared" si="7"/>
        <v>21887.200000000001</v>
      </c>
      <c r="D42" s="2">
        <v>10715</v>
      </c>
      <c r="E42" s="36">
        <f t="shared" si="8"/>
        <v>20472</v>
      </c>
      <c r="F42" s="2">
        <v>14454</v>
      </c>
      <c r="G42" s="2">
        <f t="shared" si="9"/>
        <v>67528.2</v>
      </c>
      <c r="H42" s="3">
        <f t="shared" si="10"/>
        <v>0.32411940493008851</v>
      </c>
      <c r="I42" s="3">
        <f t="shared" si="11"/>
        <v>0.30316223444427665</v>
      </c>
      <c r="J42" s="3">
        <f t="shared" si="12"/>
        <v>0.15867445008159556</v>
      </c>
      <c r="K42" s="3">
        <f t="shared" si="13"/>
        <v>0.2140439105440394</v>
      </c>
      <c r="L42" s="3">
        <f t="shared" si="14"/>
        <v>0.6272816393743651</v>
      </c>
      <c r="M42" s="56">
        <f t="shared" si="15"/>
        <v>0.37271836062563496</v>
      </c>
      <c r="O42" s="2">
        <v>41144</v>
      </c>
      <c r="R42" s="2">
        <v>26384</v>
      </c>
      <c r="S42" s="36"/>
    </row>
    <row r="43" spans="1:19" x14ac:dyDescent="0.25">
      <c r="A43" s="54" t="s">
        <v>26</v>
      </c>
      <c r="B43" s="1">
        <v>44966</v>
      </c>
      <c r="C43" s="36">
        <f t="shared" si="7"/>
        <v>17064</v>
      </c>
      <c r="D43" s="2">
        <v>11336</v>
      </c>
      <c r="E43" s="36">
        <f t="shared" si="8"/>
        <v>17417.600000000002</v>
      </c>
      <c r="F43" s="2">
        <v>13432</v>
      </c>
      <c r="G43" s="2">
        <f t="shared" si="9"/>
        <v>59249.600000000006</v>
      </c>
      <c r="H43" s="3">
        <f t="shared" si="10"/>
        <v>0.28800194431692361</v>
      </c>
      <c r="I43" s="3">
        <f t="shared" si="11"/>
        <v>0.29396991709648673</v>
      </c>
      <c r="J43" s="3">
        <f t="shared" si="12"/>
        <v>0.19132618616834543</v>
      </c>
      <c r="K43" s="3">
        <f t="shared" si="13"/>
        <v>0.22670195241824415</v>
      </c>
      <c r="L43" s="3">
        <f t="shared" si="14"/>
        <v>0.5819718614134104</v>
      </c>
      <c r="M43" s="56">
        <f t="shared" si="15"/>
        <v>0.41802813858658955</v>
      </c>
      <c r="O43" s="2">
        <v>36558</v>
      </c>
      <c r="R43" s="2">
        <v>21198</v>
      </c>
      <c r="S43" s="36"/>
    </row>
    <row r="44" spans="1:19" hidden="1" x14ac:dyDescent="0.25">
      <c r="A44" s="54" t="s">
        <v>7</v>
      </c>
      <c r="B44" s="1">
        <v>44967</v>
      </c>
      <c r="C44" s="36">
        <f t="shared" si="7"/>
        <v>32360.800000000003</v>
      </c>
      <c r="D44" s="2">
        <v>15821</v>
      </c>
      <c r="E44" s="36">
        <f t="shared" si="8"/>
        <v>29176.800000000003</v>
      </c>
      <c r="F44" s="2">
        <v>19876</v>
      </c>
      <c r="G44" s="2">
        <f t="shared" si="9"/>
        <v>97234.6</v>
      </c>
      <c r="H44" s="3">
        <f t="shared" si="10"/>
        <v>0.33281157118967941</v>
      </c>
      <c r="I44" s="3">
        <f t="shared" si="11"/>
        <v>0.30006602587967657</v>
      </c>
      <c r="J44" s="3">
        <f t="shared" si="12"/>
        <v>0.16270957046154352</v>
      </c>
      <c r="K44" s="3">
        <f t="shared" si="13"/>
        <v>0.2044128324691005</v>
      </c>
      <c r="L44" s="3">
        <f t="shared" si="14"/>
        <v>0.63287759706935598</v>
      </c>
      <c r="M44" s="56">
        <f t="shared" si="15"/>
        <v>0.36712240293064402</v>
      </c>
      <c r="O44" s="2">
        <v>30451</v>
      </c>
      <c r="R44" s="2">
        <v>29666</v>
      </c>
      <c r="S44" s="36"/>
    </row>
    <row r="45" spans="1:19" hidden="1" x14ac:dyDescent="0.25">
      <c r="A45" s="54" t="s">
        <v>30</v>
      </c>
      <c r="B45" s="1">
        <v>44968</v>
      </c>
      <c r="C45" s="36">
        <f t="shared" si="7"/>
        <v>38002.400000000001</v>
      </c>
      <c r="D45" s="2">
        <v>22579</v>
      </c>
      <c r="E45" s="36">
        <f t="shared" si="8"/>
        <v>31776</v>
      </c>
      <c r="F45" s="2">
        <v>26054</v>
      </c>
      <c r="G45" s="2">
        <f t="shared" si="9"/>
        <v>118411.4</v>
      </c>
      <c r="H45" s="3">
        <f t="shared" si="10"/>
        <v>0.32093531534970454</v>
      </c>
      <c r="I45" s="3">
        <f t="shared" si="11"/>
        <v>0.26835254038040257</v>
      </c>
      <c r="J45" s="3">
        <f t="shared" si="12"/>
        <v>0.19068265386609737</v>
      </c>
      <c r="K45" s="3">
        <f t="shared" si="13"/>
        <v>0.2200294904037956</v>
      </c>
      <c r="L45" s="3">
        <f t="shared" si="14"/>
        <v>0.589287855730107</v>
      </c>
      <c r="M45" s="56">
        <f t="shared" si="15"/>
        <v>0.41071214426989294</v>
      </c>
      <c r="O45" s="2">
        <v>37428</v>
      </c>
      <c r="R45" s="2">
        <v>26171</v>
      </c>
      <c r="S45" s="36"/>
    </row>
    <row r="46" spans="1:19" hidden="1" x14ac:dyDescent="0.25">
      <c r="A46" s="54" t="s">
        <v>31</v>
      </c>
      <c r="B46" s="1">
        <v>44969</v>
      </c>
      <c r="C46" s="36">
        <f t="shared" si="7"/>
        <v>20727.2</v>
      </c>
      <c r="D46" s="2">
        <v>18440</v>
      </c>
      <c r="E46" s="36">
        <f t="shared" si="8"/>
        <v>21780.800000000003</v>
      </c>
      <c r="F46" s="2">
        <v>17042</v>
      </c>
      <c r="G46" s="2">
        <f t="shared" si="9"/>
        <v>77990</v>
      </c>
      <c r="H46" s="3">
        <f t="shared" si="10"/>
        <v>0.26576740607770227</v>
      </c>
      <c r="I46" s="3">
        <f t="shared" si="11"/>
        <v>0.27927683036286705</v>
      </c>
      <c r="J46" s="3">
        <f t="shared" si="12"/>
        <v>0.2364405693037569</v>
      </c>
      <c r="K46" s="3">
        <f t="shared" si="13"/>
        <v>0.21851519425567381</v>
      </c>
      <c r="L46" s="3">
        <f t="shared" si="14"/>
        <v>0.54504423644056932</v>
      </c>
      <c r="M46" s="56">
        <f t="shared" si="15"/>
        <v>0.45495576355943068</v>
      </c>
      <c r="O46" s="2">
        <v>24967</v>
      </c>
      <c r="R46" s="2">
        <v>21511</v>
      </c>
      <c r="S46" s="36"/>
    </row>
    <row r="47" spans="1:19" hidden="1" x14ac:dyDescent="0.25">
      <c r="A47" s="54" t="s">
        <v>129</v>
      </c>
      <c r="B47" s="1">
        <v>44970</v>
      </c>
      <c r="C47" s="36">
        <f t="shared" si="7"/>
        <v>21544</v>
      </c>
      <c r="D47" s="2">
        <v>17971</v>
      </c>
      <c r="E47" s="36">
        <f t="shared" si="8"/>
        <v>31902.400000000001</v>
      </c>
      <c r="F47" s="2">
        <v>13414</v>
      </c>
      <c r="G47" s="2">
        <f t="shared" si="9"/>
        <v>84831.4</v>
      </c>
      <c r="H47" s="3">
        <f t="shared" si="10"/>
        <v>0.25396256574806031</v>
      </c>
      <c r="I47" s="3">
        <f t="shared" si="11"/>
        <v>0.37606829546606568</v>
      </c>
      <c r="J47" s="3">
        <f t="shared" si="12"/>
        <v>0.21184372767630855</v>
      </c>
      <c r="K47" s="3">
        <f t="shared" si="13"/>
        <v>0.15812541110956557</v>
      </c>
      <c r="L47" s="3">
        <f t="shared" si="14"/>
        <v>0.63003086121412599</v>
      </c>
      <c r="M47" s="56">
        <f t="shared" si="15"/>
        <v>0.36996913878587412</v>
      </c>
      <c r="O47" s="2">
        <v>27947</v>
      </c>
      <c r="Q47" s="5">
        <f>AVERAGE(J5:J943)</f>
        <v>0.18888685269520078</v>
      </c>
      <c r="R47" s="2">
        <v>16257</v>
      </c>
      <c r="S47" s="36"/>
    </row>
    <row r="48" spans="1:19" hidden="1" x14ac:dyDescent="0.25">
      <c r="A48" s="54" t="s">
        <v>14</v>
      </c>
      <c r="B48" s="1">
        <v>44971</v>
      </c>
      <c r="C48" s="36">
        <f t="shared" si="7"/>
        <v>30034.400000000001</v>
      </c>
      <c r="D48" s="2">
        <v>13113</v>
      </c>
      <c r="E48" s="36">
        <f t="shared" si="8"/>
        <v>16663.2</v>
      </c>
      <c r="F48" s="2">
        <v>15273</v>
      </c>
      <c r="G48" s="2">
        <f t="shared" si="9"/>
        <v>75083.600000000006</v>
      </c>
      <c r="H48" s="3">
        <f t="shared" si="10"/>
        <v>0.40001278574815269</v>
      </c>
      <c r="I48" s="3">
        <f t="shared" si="11"/>
        <v>0.2219286235609374</v>
      </c>
      <c r="J48" s="3">
        <f t="shared" si="12"/>
        <v>0.17464532867363844</v>
      </c>
      <c r="K48" s="3">
        <f t="shared" si="13"/>
        <v>0.20341326201727139</v>
      </c>
      <c r="L48" s="3">
        <f t="shared" si="14"/>
        <v>0.62194140930909014</v>
      </c>
      <c r="M48" s="56">
        <f t="shared" si="15"/>
        <v>0.37805859069090986</v>
      </c>
      <c r="O48" s="2">
        <v>40405</v>
      </c>
      <c r="R48" s="2">
        <v>38151</v>
      </c>
      <c r="S48" s="36"/>
    </row>
    <row r="49" spans="1:19" hidden="1" x14ac:dyDescent="0.25">
      <c r="A49" s="54" t="s">
        <v>21</v>
      </c>
      <c r="B49" s="1">
        <v>44972</v>
      </c>
      <c r="C49" s="36">
        <f t="shared" si="7"/>
        <v>20540.800000000003</v>
      </c>
      <c r="D49" s="2">
        <v>9156</v>
      </c>
      <c r="E49" s="36">
        <f t="shared" si="8"/>
        <v>18854.400000000001</v>
      </c>
      <c r="F49" s="2">
        <v>15044</v>
      </c>
      <c r="G49" s="2">
        <f t="shared" si="9"/>
        <v>63595.200000000004</v>
      </c>
      <c r="H49" s="3">
        <f t="shared" si="10"/>
        <v>0.32299293028404663</v>
      </c>
      <c r="I49" s="3">
        <f t="shared" si="11"/>
        <v>0.29647520567590008</v>
      </c>
      <c r="J49" s="3">
        <f t="shared" si="12"/>
        <v>0.14397313004755075</v>
      </c>
      <c r="K49" s="3">
        <f t="shared" si="13"/>
        <v>0.23655873399250257</v>
      </c>
      <c r="L49" s="3">
        <f t="shared" si="14"/>
        <v>0.61946813595994665</v>
      </c>
      <c r="M49" s="56">
        <f t="shared" si="15"/>
        <v>0.38053186404005329</v>
      </c>
      <c r="O49" s="2">
        <v>32688</v>
      </c>
      <c r="R49" s="2">
        <v>31396</v>
      </c>
      <c r="S49" s="36"/>
    </row>
    <row r="50" spans="1:19" x14ac:dyDescent="0.25">
      <c r="A50" s="54" t="s">
        <v>26</v>
      </c>
      <c r="B50" s="1">
        <v>44973</v>
      </c>
      <c r="C50" s="36">
        <f t="shared" si="7"/>
        <v>20079.2</v>
      </c>
      <c r="D50" s="2">
        <v>6922</v>
      </c>
      <c r="E50" s="36">
        <f t="shared" si="8"/>
        <v>10575.2</v>
      </c>
      <c r="F50" s="2">
        <v>14560</v>
      </c>
      <c r="G50" s="2">
        <f t="shared" si="9"/>
        <v>52136.4</v>
      </c>
      <c r="H50" s="3">
        <f t="shared" si="10"/>
        <v>0.38512824053828038</v>
      </c>
      <c r="I50" s="3">
        <f t="shared" si="11"/>
        <v>0.20283717326090794</v>
      </c>
      <c r="J50" s="3">
        <f t="shared" si="12"/>
        <v>0.13276712623042633</v>
      </c>
      <c r="K50" s="3">
        <f t="shared" si="13"/>
        <v>0.27926745997038538</v>
      </c>
      <c r="L50" s="3">
        <f t="shared" si="14"/>
        <v>0.58796541379918832</v>
      </c>
      <c r="M50" s="56">
        <f t="shared" si="15"/>
        <v>0.41203458620081168</v>
      </c>
      <c r="O50" s="2">
        <v>33930</v>
      </c>
      <c r="R50" s="2">
        <v>29727</v>
      </c>
      <c r="S50" s="36"/>
    </row>
    <row r="51" spans="1:19" hidden="1" x14ac:dyDescent="0.25">
      <c r="A51" s="54" t="s">
        <v>7</v>
      </c>
      <c r="B51" s="1">
        <v>44974</v>
      </c>
      <c r="C51" s="36">
        <f t="shared" si="7"/>
        <v>31764</v>
      </c>
      <c r="D51" s="2">
        <v>14338</v>
      </c>
      <c r="E51" s="36">
        <f t="shared" si="8"/>
        <v>24684</v>
      </c>
      <c r="F51" s="2">
        <v>18653</v>
      </c>
      <c r="G51" s="2">
        <f t="shared" si="9"/>
        <v>89439</v>
      </c>
      <c r="H51" s="3">
        <f t="shared" si="10"/>
        <v>0.35514708348706941</v>
      </c>
      <c r="I51" s="3">
        <f t="shared" si="11"/>
        <v>0.27598698554321938</v>
      </c>
      <c r="J51" s="3">
        <f t="shared" si="12"/>
        <v>0.16031037914109059</v>
      </c>
      <c r="K51" s="3">
        <f t="shared" si="13"/>
        <v>0.20855555182862062</v>
      </c>
      <c r="L51" s="3">
        <f t="shared" si="14"/>
        <v>0.63113406903028879</v>
      </c>
      <c r="M51" s="56">
        <f t="shared" si="15"/>
        <v>0.36886593096971121</v>
      </c>
      <c r="O51" s="2">
        <v>19736</v>
      </c>
      <c r="R51" s="2">
        <v>36322</v>
      </c>
      <c r="S51" s="36"/>
    </row>
    <row r="52" spans="1:19" hidden="1" x14ac:dyDescent="0.25">
      <c r="A52" s="54" t="s">
        <v>30</v>
      </c>
      <c r="B52" s="1">
        <v>44975</v>
      </c>
      <c r="C52" s="36">
        <f t="shared" si="7"/>
        <v>38288.800000000003</v>
      </c>
      <c r="D52" s="2">
        <v>23743</v>
      </c>
      <c r="E52" s="36">
        <f t="shared" si="8"/>
        <v>30962.400000000001</v>
      </c>
      <c r="F52" s="2">
        <v>22039</v>
      </c>
      <c r="G52" s="2">
        <f t="shared" si="9"/>
        <v>115033.20000000001</v>
      </c>
      <c r="H52" s="3">
        <f t="shared" si="10"/>
        <v>0.33284999461025166</v>
      </c>
      <c r="I52" s="3">
        <f t="shared" si="11"/>
        <v>0.26916055538748812</v>
      </c>
      <c r="J52" s="3">
        <f t="shared" si="12"/>
        <v>0.20640128241238179</v>
      </c>
      <c r="K52" s="3">
        <f t="shared" si="13"/>
        <v>0.19158816758987837</v>
      </c>
      <c r="L52" s="3">
        <f t="shared" si="14"/>
        <v>0.60201054999773984</v>
      </c>
      <c r="M52" s="56">
        <f t="shared" si="15"/>
        <v>0.39798945000226016</v>
      </c>
      <c r="O52" s="2">
        <v>30792</v>
      </c>
      <c r="R52" s="2">
        <v>20135</v>
      </c>
      <c r="S52" s="36"/>
    </row>
    <row r="53" spans="1:19" hidden="1" x14ac:dyDescent="0.25">
      <c r="A53" s="54" t="s">
        <v>31</v>
      </c>
      <c r="B53" s="1">
        <v>44976</v>
      </c>
      <c r="C53" s="36">
        <f t="shared" si="7"/>
        <v>29437.600000000002</v>
      </c>
      <c r="D53" s="2">
        <v>22041</v>
      </c>
      <c r="E53" s="36">
        <f t="shared" si="8"/>
        <v>29832.800000000003</v>
      </c>
      <c r="F53" s="2">
        <v>20881</v>
      </c>
      <c r="G53" s="2">
        <f t="shared" si="9"/>
        <v>102192.40000000001</v>
      </c>
      <c r="H53" s="3">
        <f t="shared" si="10"/>
        <v>0.28806056027649807</v>
      </c>
      <c r="I53" s="3">
        <f t="shared" si="11"/>
        <v>0.29192777545101201</v>
      </c>
      <c r="J53" s="3">
        <f t="shared" si="12"/>
        <v>0.21568140096523811</v>
      </c>
      <c r="K53" s="3">
        <f t="shared" si="13"/>
        <v>0.20433026330725179</v>
      </c>
      <c r="L53" s="3">
        <f t="shared" si="14"/>
        <v>0.57998833572751007</v>
      </c>
      <c r="M53" s="56">
        <f t="shared" si="15"/>
        <v>0.42001166427248987</v>
      </c>
      <c r="O53" s="2">
        <v>32655</v>
      </c>
      <c r="R53" s="2">
        <v>29737</v>
      </c>
      <c r="S53" s="36"/>
    </row>
    <row r="54" spans="1:19" hidden="1" x14ac:dyDescent="0.25">
      <c r="A54" s="54" t="s">
        <v>129</v>
      </c>
      <c r="B54" s="1">
        <v>44977</v>
      </c>
      <c r="C54" s="36">
        <f t="shared" si="7"/>
        <v>19525.600000000002</v>
      </c>
      <c r="D54" s="2">
        <v>16502</v>
      </c>
      <c r="E54" s="36">
        <f t="shared" si="8"/>
        <v>29690.400000000001</v>
      </c>
      <c r="F54" s="2">
        <v>15521</v>
      </c>
      <c r="G54" s="2">
        <f t="shared" si="9"/>
        <v>81239</v>
      </c>
      <c r="H54" s="3">
        <f t="shared" si="10"/>
        <v>0.24034761629266735</v>
      </c>
      <c r="I54" s="3">
        <f t="shared" si="11"/>
        <v>0.36546978667881191</v>
      </c>
      <c r="J54" s="3">
        <f t="shared" si="12"/>
        <v>0.20312903900835805</v>
      </c>
      <c r="K54" s="3">
        <f t="shared" si="13"/>
        <v>0.19105355802016272</v>
      </c>
      <c r="L54" s="3">
        <f t="shared" si="14"/>
        <v>0.60581740297147924</v>
      </c>
      <c r="M54" s="56">
        <f t="shared" si="15"/>
        <v>0.39418259702852076</v>
      </c>
      <c r="O54" s="2">
        <v>32965</v>
      </c>
      <c r="Q54" s="5">
        <f>AVERAGE(K5:K943)</f>
        <v>0.17067984775261422</v>
      </c>
      <c r="R54" s="2">
        <v>30233</v>
      </c>
      <c r="S54" s="36"/>
    </row>
    <row r="55" spans="1:19" hidden="1" x14ac:dyDescent="0.25">
      <c r="A55" s="54" t="s">
        <v>14</v>
      </c>
      <c r="B55" s="1">
        <v>44978</v>
      </c>
      <c r="C55" s="36">
        <f t="shared" si="7"/>
        <v>33358.400000000001</v>
      </c>
      <c r="D55" s="2">
        <v>15016</v>
      </c>
      <c r="E55" s="36">
        <f t="shared" si="8"/>
        <v>24793.600000000002</v>
      </c>
      <c r="F55" s="2">
        <v>15841</v>
      </c>
      <c r="G55" s="2">
        <f t="shared" si="9"/>
        <v>89009</v>
      </c>
      <c r="H55" s="3">
        <f t="shared" si="10"/>
        <v>0.37477558449145593</v>
      </c>
      <c r="I55" s="3">
        <f t="shared" si="11"/>
        <v>0.27855160714085098</v>
      </c>
      <c r="J55" s="3">
        <f t="shared" si="12"/>
        <v>0.16870204136660338</v>
      </c>
      <c r="K55" s="3">
        <f t="shared" si="13"/>
        <v>0.17797076700108977</v>
      </c>
      <c r="L55" s="3">
        <f t="shared" si="14"/>
        <v>0.65332719163230679</v>
      </c>
      <c r="M55" s="56">
        <f t="shared" si="15"/>
        <v>0.34667280836769315</v>
      </c>
      <c r="O55" s="2">
        <v>33275</v>
      </c>
      <c r="Q55" s="5">
        <f>AVERAGE(H6:H944)</f>
        <v>0.33783232993461854</v>
      </c>
      <c r="R55" s="2">
        <v>28047</v>
      </c>
      <c r="S55" s="36"/>
    </row>
    <row r="56" spans="1:19" hidden="1" x14ac:dyDescent="0.25">
      <c r="A56" s="54" t="s">
        <v>21</v>
      </c>
      <c r="B56" s="1">
        <v>44979</v>
      </c>
      <c r="C56" s="36">
        <f t="shared" si="7"/>
        <v>23513.600000000002</v>
      </c>
      <c r="D56" s="2">
        <v>16309</v>
      </c>
      <c r="E56" s="36">
        <f t="shared" si="8"/>
        <v>24716.800000000003</v>
      </c>
      <c r="F56" s="2">
        <v>9941</v>
      </c>
      <c r="G56" s="2">
        <f t="shared" si="9"/>
        <v>74480.400000000009</v>
      </c>
      <c r="H56" s="3">
        <f t="shared" si="10"/>
        <v>0.3157018490770726</v>
      </c>
      <c r="I56" s="3">
        <f t="shared" si="11"/>
        <v>0.33185643471302517</v>
      </c>
      <c r="J56" s="3">
        <f t="shared" si="12"/>
        <v>0.2189703599873255</v>
      </c>
      <c r="K56" s="3">
        <f t="shared" si="13"/>
        <v>0.13347135622257666</v>
      </c>
      <c r="L56" s="3">
        <f t="shared" si="14"/>
        <v>0.64755828379009783</v>
      </c>
      <c r="M56" s="56">
        <f t="shared" si="15"/>
        <v>0.35244171620990217</v>
      </c>
      <c r="O56" s="2">
        <v>53625</v>
      </c>
      <c r="R56" s="2">
        <v>59300</v>
      </c>
      <c r="S56" s="36"/>
    </row>
    <row r="57" spans="1:19" x14ac:dyDescent="0.25">
      <c r="A57" s="54" t="s">
        <v>26</v>
      </c>
      <c r="B57" s="1">
        <v>44980</v>
      </c>
      <c r="C57" s="36">
        <f t="shared" si="7"/>
        <v>24112.800000000003</v>
      </c>
      <c r="D57" s="2">
        <v>7798</v>
      </c>
      <c r="E57" s="36">
        <f t="shared" si="8"/>
        <v>16870.400000000001</v>
      </c>
      <c r="F57" s="2">
        <v>10840</v>
      </c>
      <c r="G57" s="2">
        <f t="shared" si="9"/>
        <v>59621.200000000004</v>
      </c>
      <c r="H57" s="3">
        <f t="shared" si="10"/>
        <v>0.40443332237526253</v>
      </c>
      <c r="I57" s="3">
        <f t="shared" si="11"/>
        <v>0.28295975257123307</v>
      </c>
      <c r="J57" s="3">
        <f t="shared" si="12"/>
        <v>0.13079240270239445</v>
      </c>
      <c r="K57" s="3">
        <f t="shared" si="13"/>
        <v>0.18181452235111001</v>
      </c>
      <c r="L57" s="3">
        <f t="shared" si="14"/>
        <v>0.6873930749464956</v>
      </c>
      <c r="M57" s="56">
        <f t="shared" si="15"/>
        <v>0.31260692505350446</v>
      </c>
      <c r="O57" s="2">
        <v>28742</v>
      </c>
      <c r="R57" s="2">
        <v>38045</v>
      </c>
      <c r="S57" s="36"/>
    </row>
    <row r="58" spans="1:19" hidden="1" x14ac:dyDescent="0.25">
      <c r="A58" s="54" t="s">
        <v>7</v>
      </c>
      <c r="B58" s="1">
        <v>44981</v>
      </c>
      <c r="C58" s="36">
        <f t="shared" si="7"/>
        <v>28830.400000000001</v>
      </c>
      <c r="D58" s="2">
        <v>16262</v>
      </c>
      <c r="E58" s="36">
        <f t="shared" si="8"/>
        <v>28490.400000000001</v>
      </c>
      <c r="F58" s="2">
        <v>19311</v>
      </c>
      <c r="G58" s="2">
        <f t="shared" si="9"/>
        <v>92893.8</v>
      </c>
      <c r="H58" s="3">
        <f t="shared" si="10"/>
        <v>0.3103587106997453</v>
      </c>
      <c r="I58" s="3">
        <f t="shared" si="11"/>
        <v>0.3066986171305297</v>
      </c>
      <c r="J58" s="3">
        <f t="shared" si="12"/>
        <v>0.17506012241936492</v>
      </c>
      <c r="K58" s="3">
        <f t="shared" si="13"/>
        <v>0.20788254975036008</v>
      </c>
      <c r="L58" s="3">
        <f t="shared" si="14"/>
        <v>0.617057327830275</v>
      </c>
      <c r="M58" s="56">
        <f t="shared" si="15"/>
        <v>0.382942672169725</v>
      </c>
      <c r="O58" s="2">
        <v>33360</v>
      </c>
      <c r="R58" s="2">
        <v>33302</v>
      </c>
      <c r="S58" s="36"/>
    </row>
    <row r="59" spans="1:19" hidden="1" x14ac:dyDescent="0.25">
      <c r="A59" s="54" t="s">
        <v>30</v>
      </c>
      <c r="B59" s="1">
        <v>44982</v>
      </c>
      <c r="C59" s="36">
        <f t="shared" si="7"/>
        <v>37399.200000000004</v>
      </c>
      <c r="D59" s="2">
        <v>25678</v>
      </c>
      <c r="E59" s="36">
        <f t="shared" si="8"/>
        <v>36993.599999999999</v>
      </c>
      <c r="F59" s="2">
        <v>20918</v>
      </c>
      <c r="G59" s="2">
        <f t="shared" si="9"/>
        <v>120988.8</v>
      </c>
      <c r="H59" s="3">
        <f t="shared" si="10"/>
        <v>0.30911290962469257</v>
      </c>
      <c r="I59" s="3">
        <f t="shared" si="11"/>
        <v>0.30576053320637941</v>
      </c>
      <c r="J59" s="3">
        <f t="shared" si="12"/>
        <v>0.21223452088127165</v>
      </c>
      <c r="K59" s="3">
        <f t="shared" si="13"/>
        <v>0.17289203628765637</v>
      </c>
      <c r="L59" s="3">
        <f t="shared" si="14"/>
        <v>0.61487344283107193</v>
      </c>
      <c r="M59" s="56">
        <f t="shared" si="15"/>
        <v>0.38512655716892802</v>
      </c>
      <c r="O59" s="2">
        <v>34381</v>
      </c>
      <c r="R59" s="2">
        <v>25185</v>
      </c>
      <c r="S59" s="36"/>
    </row>
    <row r="60" spans="1:19" hidden="1" x14ac:dyDescent="0.25">
      <c r="A60" s="54" t="s">
        <v>31</v>
      </c>
      <c r="B60" s="1">
        <v>44983</v>
      </c>
      <c r="C60" s="36">
        <f t="shared" si="7"/>
        <v>30242.400000000001</v>
      </c>
      <c r="D60" s="2">
        <v>20504</v>
      </c>
      <c r="E60" s="36">
        <f t="shared" si="8"/>
        <v>28545.600000000002</v>
      </c>
      <c r="F60" s="2">
        <v>22357</v>
      </c>
      <c r="G60" s="2">
        <f t="shared" si="9"/>
        <v>101649</v>
      </c>
      <c r="H60" s="3">
        <f t="shared" si="10"/>
        <v>0.29751792934509935</v>
      </c>
      <c r="I60" s="3">
        <f t="shared" si="11"/>
        <v>0.28082519257444738</v>
      </c>
      <c r="J60" s="3">
        <f t="shared" si="12"/>
        <v>0.2017137404204665</v>
      </c>
      <c r="K60" s="3">
        <f t="shared" si="13"/>
        <v>0.21994313765998683</v>
      </c>
      <c r="L60" s="3">
        <f t="shared" si="14"/>
        <v>0.57834312191954662</v>
      </c>
      <c r="M60" s="56">
        <f t="shared" si="15"/>
        <v>0.42165687808045332</v>
      </c>
      <c r="O60" s="2">
        <v>26812</v>
      </c>
      <c r="R60" s="2">
        <v>27694</v>
      </c>
      <c r="S60" s="36"/>
    </row>
    <row r="61" spans="1:19" hidden="1" x14ac:dyDescent="0.25">
      <c r="A61" s="54" t="s">
        <v>129</v>
      </c>
      <c r="B61" s="1">
        <v>44984</v>
      </c>
      <c r="C61" s="36">
        <f t="shared" si="7"/>
        <v>30214.400000000001</v>
      </c>
      <c r="D61" s="2">
        <v>15553</v>
      </c>
      <c r="E61" s="36">
        <f t="shared" si="8"/>
        <v>26282.400000000001</v>
      </c>
      <c r="F61" s="2">
        <v>13292</v>
      </c>
      <c r="G61" s="2">
        <f t="shared" si="9"/>
        <v>85341.8</v>
      </c>
      <c r="H61" s="3">
        <f t="shared" si="10"/>
        <v>0.35403987260638986</v>
      </c>
      <c r="I61" s="3">
        <f t="shared" si="11"/>
        <v>0.30796631896679</v>
      </c>
      <c r="J61" s="3">
        <f t="shared" si="12"/>
        <v>0.1822436367641648</v>
      </c>
      <c r="K61" s="3">
        <f t="shared" si="13"/>
        <v>0.15575017166265534</v>
      </c>
      <c r="L61" s="3">
        <f t="shared" si="14"/>
        <v>0.66200619157317986</v>
      </c>
      <c r="M61" s="56">
        <f t="shared" si="15"/>
        <v>0.33799380842682014</v>
      </c>
      <c r="O61" s="2">
        <v>36170</v>
      </c>
      <c r="P61" t="s">
        <v>140</v>
      </c>
      <c r="Q61" s="5"/>
      <c r="R61" s="2">
        <v>18356</v>
      </c>
      <c r="S61" s="36"/>
    </row>
    <row r="62" spans="1:19" hidden="1" x14ac:dyDescent="0.25">
      <c r="A62" s="54" t="s">
        <v>14</v>
      </c>
      <c r="B62" s="1">
        <v>44985</v>
      </c>
      <c r="C62" s="36">
        <f t="shared" si="7"/>
        <v>31996.800000000003</v>
      </c>
      <c r="D62" s="2">
        <v>10761</v>
      </c>
      <c r="E62" s="36">
        <f t="shared" si="8"/>
        <v>15588</v>
      </c>
      <c r="F62" s="2">
        <v>12243</v>
      </c>
      <c r="G62" s="2">
        <f t="shared" si="9"/>
        <v>70588.800000000003</v>
      </c>
      <c r="H62" s="3">
        <f t="shared" si="10"/>
        <v>0.45328437372501024</v>
      </c>
      <c r="I62" s="3">
        <f t="shared" si="11"/>
        <v>0.22082823337413299</v>
      </c>
      <c r="J62" s="3">
        <f t="shared" si="12"/>
        <v>0.15244628042975655</v>
      </c>
      <c r="K62" s="3">
        <f t="shared" si="13"/>
        <v>0.17344111247110022</v>
      </c>
      <c r="L62" s="3">
        <f t="shared" si="14"/>
        <v>0.67411260709914322</v>
      </c>
      <c r="M62" s="56">
        <f t="shared" si="15"/>
        <v>0.32588739290085678</v>
      </c>
      <c r="O62" s="2">
        <v>48030</v>
      </c>
      <c r="Q62" s="5">
        <f>AVERAGE(I6:I944)</f>
        <v>0.2973896809629174</v>
      </c>
      <c r="R62" s="2">
        <v>41065</v>
      </c>
      <c r="S62" s="36"/>
    </row>
    <row r="63" spans="1:19" hidden="1" x14ac:dyDescent="0.25">
      <c r="A63" s="54" t="s">
        <v>21</v>
      </c>
      <c r="B63" s="1">
        <v>44986</v>
      </c>
      <c r="C63" s="36">
        <f t="shared" si="7"/>
        <v>25878.400000000001</v>
      </c>
      <c r="D63" s="2">
        <v>10152</v>
      </c>
      <c r="E63" s="36">
        <f t="shared" si="8"/>
        <v>17455.2</v>
      </c>
      <c r="F63" s="2">
        <v>16262</v>
      </c>
      <c r="G63" s="2">
        <f t="shared" si="9"/>
        <v>69747.600000000006</v>
      </c>
      <c r="H63" s="3">
        <f t="shared" si="10"/>
        <v>0.37102925405318604</v>
      </c>
      <c r="I63" s="3">
        <f t="shared" si="11"/>
        <v>0.25026237461934175</v>
      </c>
      <c r="J63" s="3">
        <f t="shared" si="12"/>
        <v>0.14555339538564765</v>
      </c>
      <c r="K63" s="3">
        <f t="shared" si="13"/>
        <v>0.23315497594182449</v>
      </c>
      <c r="L63" s="3">
        <f t="shared" si="14"/>
        <v>0.62129162867252785</v>
      </c>
      <c r="M63" s="56">
        <f t="shared" si="15"/>
        <v>0.37870837132747215</v>
      </c>
      <c r="O63" s="2">
        <v>39514</v>
      </c>
      <c r="R63" s="2">
        <v>38263</v>
      </c>
      <c r="S63" s="36"/>
    </row>
    <row r="64" spans="1:19" x14ac:dyDescent="0.25">
      <c r="A64" s="54" t="s">
        <v>26</v>
      </c>
      <c r="B64" s="1">
        <v>44987</v>
      </c>
      <c r="C64" s="36">
        <f t="shared" si="7"/>
        <v>12040.800000000001</v>
      </c>
      <c r="D64" s="2">
        <v>9785</v>
      </c>
      <c r="E64" s="36">
        <f t="shared" si="8"/>
        <v>16835.2</v>
      </c>
      <c r="F64" s="2">
        <v>13824</v>
      </c>
      <c r="G64" s="2">
        <f t="shared" si="9"/>
        <v>52485</v>
      </c>
      <c r="H64" s="3">
        <f t="shared" si="10"/>
        <v>0.22941411831951988</v>
      </c>
      <c r="I64" s="3">
        <f t="shared" si="11"/>
        <v>0.32076212251119368</v>
      </c>
      <c r="J64" s="3">
        <f t="shared" si="12"/>
        <v>0.1864342193007526</v>
      </c>
      <c r="K64" s="3">
        <f t="shared" si="13"/>
        <v>0.26338953986853386</v>
      </c>
      <c r="L64" s="3">
        <f t="shared" si="14"/>
        <v>0.55017624083071359</v>
      </c>
      <c r="M64" s="56">
        <f t="shared" si="15"/>
        <v>0.44982375916928646</v>
      </c>
      <c r="O64" s="2">
        <v>33072</v>
      </c>
      <c r="R64" s="2">
        <v>28190</v>
      </c>
      <c r="S64" s="36"/>
    </row>
    <row r="65" spans="1:19" hidden="1" x14ac:dyDescent="0.25">
      <c r="A65" s="54" t="s">
        <v>7</v>
      </c>
      <c r="B65" s="1">
        <v>44988</v>
      </c>
      <c r="C65" s="36">
        <f t="shared" si="7"/>
        <v>32123.200000000001</v>
      </c>
      <c r="D65" s="2">
        <v>17511</v>
      </c>
      <c r="E65" s="36">
        <f t="shared" si="8"/>
        <v>32942.400000000001</v>
      </c>
      <c r="F65" s="2">
        <v>20546</v>
      </c>
      <c r="G65" s="2">
        <f t="shared" si="9"/>
        <v>103122.6</v>
      </c>
      <c r="H65" s="3">
        <f t="shared" si="10"/>
        <v>0.31150494653936189</v>
      </c>
      <c r="I65" s="3">
        <f t="shared" si="11"/>
        <v>0.31944888899232565</v>
      </c>
      <c r="J65" s="3">
        <f t="shared" si="12"/>
        <v>0.16980758824932651</v>
      </c>
      <c r="K65" s="3">
        <f t="shared" si="13"/>
        <v>0.19923857621898594</v>
      </c>
      <c r="L65" s="3">
        <f t="shared" si="14"/>
        <v>0.6309538355316876</v>
      </c>
      <c r="M65" s="56">
        <f t="shared" si="15"/>
        <v>0.36904616446831245</v>
      </c>
      <c r="O65" s="2">
        <v>35356</v>
      </c>
      <c r="R65" s="2">
        <v>30991</v>
      </c>
      <c r="S65" s="36"/>
    </row>
    <row r="66" spans="1:19" hidden="1" x14ac:dyDescent="0.25">
      <c r="A66" s="54" t="s">
        <v>30</v>
      </c>
      <c r="B66" s="1">
        <v>44989</v>
      </c>
      <c r="C66" s="36">
        <f t="shared" si="7"/>
        <v>23468</v>
      </c>
      <c r="D66" s="2">
        <v>21912</v>
      </c>
      <c r="E66" s="36">
        <f t="shared" si="8"/>
        <v>28276.800000000003</v>
      </c>
      <c r="F66" s="2">
        <v>23714</v>
      </c>
      <c r="G66" s="2">
        <f t="shared" si="9"/>
        <v>97370.8</v>
      </c>
      <c r="H66" s="3">
        <f t="shared" si="10"/>
        <v>0.24101681407567771</v>
      </c>
      <c r="I66" s="3">
        <f t="shared" si="11"/>
        <v>0.29040328311978542</v>
      </c>
      <c r="J66" s="3">
        <f t="shared" si="12"/>
        <v>0.2250366639690749</v>
      </c>
      <c r="K66" s="3">
        <f t="shared" si="13"/>
        <v>0.24354323883546197</v>
      </c>
      <c r="L66" s="3">
        <f t="shared" si="14"/>
        <v>0.53142009719546313</v>
      </c>
      <c r="M66" s="56">
        <f t="shared" si="15"/>
        <v>0.46857990280453687</v>
      </c>
      <c r="O66" s="2">
        <v>30932</v>
      </c>
      <c r="R66" s="2">
        <v>24433</v>
      </c>
      <c r="S66" s="36"/>
    </row>
    <row r="67" spans="1:19" hidden="1" x14ac:dyDescent="0.25">
      <c r="A67" s="54" t="s">
        <v>31</v>
      </c>
      <c r="B67" s="1">
        <v>44990</v>
      </c>
      <c r="C67" s="36">
        <f t="shared" si="7"/>
        <v>27656.800000000003</v>
      </c>
      <c r="D67" s="2">
        <v>24880</v>
      </c>
      <c r="E67" s="36">
        <f t="shared" si="8"/>
        <v>31528</v>
      </c>
      <c r="F67" s="2">
        <v>22981</v>
      </c>
      <c r="G67" s="2">
        <f t="shared" si="9"/>
        <v>107045.8</v>
      </c>
      <c r="H67" s="3">
        <f t="shared" si="10"/>
        <v>0.25836417682898349</v>
      </c>
      <c r="I67" s="3">
        <f t="shared" si="11"/>
        <v>0.29452813655463361</v>
      </c>
      <c r="J67" s="3">
        <f t="shared" si="12"/>
        <v>0.2324238783772927</v>
      </c>
      <c r="K67" s="3">
        <f t="shared" si="13"/>
        <v>0.21468380823909017</v>
      </c>
      <c r="L67" s="3">
        <f t="shared" si="14"/>
        <v>0.55289231338361711</v>
      </c>
      <c r="M67" s="56">
        <f t="shared" si="15"/>
        <v>0.44710768661638289</v>
      </c>
      <c r="O67" s="2">
        <v>27359</v>
      </c>
      <c r="R67" s="2">
        <v>25590</v>
      </c>
      <c r="S67" s="36"/>
    </row>
    <row r="68" spans="1:19" hidden="1" x14ac:dyDescent="0.25">
      <c r="A68" s="54" t="s">
        <v>129</v>
      </c>
      <c r="B68" s="1">
        <v>44991</v>
      </c>
      <c r="C68" s="36">
        <f t="shared" si="7"/>
        <v>27994.400000000001</v>
      </c>
      <c r="D68" s="2">
        <v>15957</v>
      </c>
      <c r="E68" s="36">
        <f t="shared" si="8"/>
        <v>28899.200000000001</v>
      </c>
      <c r="F68" s="2">
        <v>14313</v>
      </c>
      <c r="G68" s="2">
        <f t="shared" ref="G68:G131" si="16">SUM(C68:F68)</f>
        <v>87163.6</v>
      </c>
      <c r="H68" s="3">
        <f t="shared" ref="H68" si="17">IFERROR(C68/G68,0)</f>
        <v>0.32117076394274674</v>
      </c>
      <c r="I68" s="3">
        <f t="shared" si="11"/>
        <v>0.33155124386785306</v>
      </c>
      <c r="J68" s="3">
        <f t="shared" si="12"/>
        <v>0.18306953820172639</v>
      </c>
      <c r="K68" s="3">
        <f t="shared" si="13"/>
        <v>0.16420845398767375</v>
      </c>
      <c r="L68" s="3">
        <f t="shared" si="14"/>
        <v>0.65272200781059986</v>
      </c>
      <c r="M68" s="56">
        <f t="shared" si="15"/>
        <v>0.34727799218940014</v>
      </c>
      <c r="O68" s="2">
        <v>21330</v>
      </c>
      <c r="R68" s="2">
        <v>21772</v>
      </c>
      <c r="S68" s="36"/>
    </row>
    <row r="69" spans="1:19" hidden="1" x14ac:dyDescent="0.25">
      <c r="A69" s="54" t="s">
        <v>14</v>
      </c>
      <c r="B69" s="1">
        <v>44992</v>
      </c>
      <c r="C69" s="36">
        <f t="shared" ref="C69:C132" si="18">O94*$P$27</f>
        <v>27667.200000000001</v>
      </c>
      <c r="D69" s="2">
        <v>9998</v>
      </c>
      <c r="E69" s="36">
        <f t="shared" ref="E69:E132" si="19">R94*$P$27</f>
        <v>22607.200000000001</v>
      </c>
      <c r="F69" s="2">
        <v>11744</v>
      </c>
      <c r="G69" s="2">
        <f t="shared" si="16"/>
        <v>72016.399999999994</v>
      </c>
      <c r="H69" s="3">
        <f t="shared" ref="H69:H132" si="20">IFERROR(C69/G69,0)</f>
        <v>0.38417915919151752</v>
      </c>
      <c r="I69" s="3">
        <f t="shared" ref="I69:I132" si="21">IFERROR(E69/G69,0)</f>
        <v>0.3139173854844175</v>
      </c>
      <c r="J69" s="3">
        <f t="shared" ref="J69:J132" si="22">IFERROR(D69/G69,0)</f>
        <v>0.13882948883865343</v>
      </c>
      <c r="K69" s="3">
        <f t="shared" ref="K69:K132" si="23">IFERROR(F69/G69,0)</f>
        <v>0.16307396648541167</v>
      </c>
      <c r="L69" s="3">
        <f t="shared" ref="L69:L132" si="24">IFERROR((C69+E69)/G69, 0)</f>
        <v>0.69809654467593496</v>
      </c>
      <c r="M69" s="56">
        <f t="shared" ref="M69:M132" si="25">IFERROR((D69+F69)/G69, 0)</f>
        <v>0.3019034553240651</v>
      </c>
      <c r="O69" s="2">
        <v>40451</v>
      </c>
      <c r="R69" s="2">
        <v>36471</v>
      </c>
      <c r="S69" s="36"/>
    </row>
    <row r="70" spans="1:19" hidden="1" x14ac:dyDescent="0.25">
      <c r="A70" s="54" t="s">
        <v>21</v>
      </c>
      <c r="B70" s="1">
        <v>44993</v>
      </c>
      <c r="C70" s="36">
        <f t="shared" si="18"/>
        <v>20245.600000000002</v>
      </c>
      <c r="D70" s="2">
        <v>12891</v>
      </c>
      <c r="E70" s="36">
        <f t="shared" si="19"/>
        <v>23863.200000000001</v>
      </c>
      <c r="F70" s="2">
        <v>15339</v>
      </c>
      <c r="G70" s="2">
        <f t="shared" si="16"/>
        <v>72338.8</v>
      </c>
      <c r="H70" s="3">
        <f t="shared" si="20"/>
        <v>0.2798719359458548</v>
      </c>
      <c r="I70" s="3">
        <f t="shared" si="21"/>
        <v>0.32988105968028225</v>
      </c>
      <c r="J70" s="3">
        <f t="shared" si="22"/>
        <v>0.17820312197603499</v>
      </c>
      <c r="K70" s="3">
        <f t="shared" si="23"/>
        <v>0.21204388239782798</v>
      </c>
      <c r="L70" s="3">
        <f t="shared" si="24"/>
        <v>0.60975299562613705</v>
      </c>
      <c r="M70" s="56">
        <f t="shared" si="25"/>
        <v>0.39024700437386295</v>
      </c>
      <c r="O70" s="2">
        <v>47503</v>
      </c>
      <c r="R70" s="2">
        <v>39720</v>
      </c>
      <c r="S70" s="36"/>
    </row>
    <row r="71" spans="1:19" x14ac:dyDescent="0.25">
      <c r="A71" s="54" t="s">
        <v>26</v>
      </c>
      <c r="B71" s="1">
        <v>44994</v>
      </c>
      <c r="C71" s="36">
        <f t="shared" si="18"/>
        <v>21977.600000000002</v>
      </c>
      <c r="D71" s="2">
        <v>11675</v>
      </c>
      <c r="E71" s="36">
        <f t="shared" si="19"/>
        <v>20020</v>
      </c>
      <c r="F71" s="2">
        <v>16097</v>
      </c>
      <c r="G71" s="2">
        <f t="shared" si="16"/>
        <v>69769.600000000006</v>
      </c>
      <c r="H71" s="3">
        <f t="shared" si="20"/>
        <v>0.31500252258863459</v>
      </c>
      <c r="I71" s="3">
        <f t="shared" si="21"/>
        <v>0.28694445718479106</v>
      </c>
      <c r="J71" s="3">
        <f t="shared" si="22"/>
        <v>0.16733649039123055</v>
      </c>
      <c r="K71" s="3">
        <f t="shared" si="23"/>
        <v>0.23071652983534374</v>
      </c>
      <c r="L71" s="3">
        <f t="shared" si="24"/>
        <v>0.60194697977342571</v>
      </c>
      <c r="M71" s="56">
        <f t="shared" si="25"/>
        <v>0.39805302022657429</v>
      </c>
      <c r="O71" s="2">
        <v>25909</v>
      </c>
      <c r="R71" s="2">
        <v>27226</v>
      </c>
      <c r="S71" s="36"/>
    </row>
    <row r="72" spans="1:19" hidden="1" x14ac:dyDescent="0.25">
      <c r="A72" s="54" t="s">
        <v>7</v>
      </c>
      <c r="B72" s="1">
        <v>44995</v>
      </c>
      <c r="C72" s="36">
        <f t="shared" si="18"/>
        <v>32732</v>
      </c>
      <c r="D72" s="2">
        <v>16633</v>
      </c>
      <c r="E72" s="36">
        <f t="shared" si="19"/>
        <v>19832</v>
      </c>
      <c r="F72" s="2">
        <v>18863</v>
      </c>
      <c r="G72" s="2">
        <f t="shared" si="16"/>
        <v>88060</v>
      </c>
      <c r="H72" s="3">
        <f t="shared" si="20"/>
        <v>0.37170111287758345</v>
      </c>
      <c r="I72" s="3">
        <f t="shared" si="21"/>
        <v>0.22521008403361345</v>
      </c>
      <c r="J72" s="3">
        <f t="shared" si="22"/>
        <v>0.18888258005905065</v>
      </c>
      <c r="K72" s="3">
        <f t="shared" si="23"/>
        <v>0.21420622302975245</v>
      </c>
      <c r="L72" s="3">
        <f t="shared" si="24"/>
        <v>0.59691119691119687</v>
      </c>
      <c r="M72" s="56">
        <f t="shared" si="25"/>
        <v>0.40308880308880307</v>
      </c>
      <c r="O72" s="2">
        <v>26930</v>
      </c>
      <c r="R72" s="2">
        <v>39878</v>
      </c>
      <c r="S72" s="36"/>
    </row>
    <row r="73" spans="1:19" hidden="1" x14ac:dyDescent="0.25">
      <c r="A73" s="54" t="s">
        <v>30</v>
      </c>
      <c r="B73" s="1">
        <v>44996</v>
      </c>
      <c r="C73" s="36">
        <f t="shared" si="18"/>
        <v>34081.599999999999</v>
      </c>
      <c r="D73" s="2">
        <v>22207</v>
      </c>
      <c r="E73" s="36">
        <f t="shared" si="19"/>
        <v>34072</v>
      </c>
      <c r="F73" s="2">
        <v>19405</v>
      </c>
      <c r="G73" s="2">
        <f t="shared" si="16"/>
        <v>109765.6</v>
      </c>
      <c r="H73" s="3">
        <f t="shared" si="20"/>
        <v>0.31049436253252383</v>
      </c>
      <c r="I73" s="3">
        <f t="shared" si="21"/>
        <v>0.31040690343787125</v>
      </c>
      <c r="J73" s="3">
        <f t="shared" si="22"/>
        <v>0.20231292864066702</v>
      </c>
      <c r="K73" s="3">
        <f t="shared" si="23"/>
        <v>0.17678580538893787</v>
      </c>
      <c r="L73" s="3">
        <f t="shared" si="24"/>
        <v>0.62090126597039508</v>
      </c>
      <c r="M73" s="56">
        <f t="shared" si="25"/>
        <v>0.37909873402960487</v>
      </c>
      <c r="O73" s="2">
        <v>37543</v>
      </c>
      <c r="R73" s="2">
        <v>20829</v>
      </c>
      <c r="S73" s="36"/>
    </row>
    <row r="74" spans="1:19" hidden="1" x14ac:dyDescent="0.25">
      <c r="A74" s="54" t="s">
        <v>31</v>
      </c>
      <c r="B74" s="1">
        <v>44997</v>
      </c>
      <c r="C74" s="36">
        <f t="shared" si="18"/>
        <v>30958.400000000001</v>
      </c>
      <c r="D74" s="2">
        <v>25109</v>
      </c>
      <c r="E74" s="36">
        <f t="shared" si="19"/>
        <v>31184</v>
      </c>
      <c r="F74" s="2">
        <v>24977</v>
      </c>
      <c r="G74" s="2">
        <f t="shared" si="16"/>
        <v>112228.4</v>
      </c>
      <c r="H74" s="3">
        <f t="shared" si="20"/>
        <v>0.27585174519105682</v>
      </c>
      <c r="I74" s="3">
        <f t="shared" si="21"/>
        <v>0.27786193156099526</v>
      </c>
      <c r="J74" s="3">
        <f t="shared" si="22"/>
        <v>0.22373124806198788</v>
      </c>
      <c r="K74" s="3">
        <f t="shared" si="23"/>
        <v>0.22255507518596007</v>
      </c>
      <c r="L74" s="3">
        <f t="shared" si="24"/>
        <v>0.55371367675205208</v>
      </c>
      <c r="M74" s="56">
        <f t="shared" si="25"/>
        <v>0.44628632324794798</v>
      </c>
      <c r="O74" s="2">
        <v>25676</v>
      </c>
      <c r="R74" s="2">
        <v>23568</v>
      </c>
      <c r="S74" s="36"/>
    </row>
    <row r="75" spans="1:19" hidden="1" x14ac:dyDescent="0.25">
      <c r="A75" s="54" t="s">
        <v>129</v>
      </c>
      <c r="B75" s="1">
        <v>44998</v>
      </c>
      <c r="C75" s="36">
        <f t="shared" si="18"/>
        <v>26076</v>
      </c>
      <c r="D75" s="2">
        <v>17166</v>
      </c>
      <c r="E75" s="36">
        <f t="shared" si="19"/>
        <v>29044.800000000003</v>
      </c>
      <c r="F75" s="2">
        <v>13642</v>
      </c>
      <c r="G75" s="2">
        <f t="shared" si="16"/>
        <v>85928.8</v>
      </c>
      <c r="H75" s="3">
        <f t="shared" si="20"/>
        <v>0.30346053942333651</v>
      </c>
      <c r="I75" s="3">
        <f t="shared" si="21"/>
        <v>0.33801007345616374</v>
      </c>
      <c r="J75" s="3">
        <f t="shared" si="22"/>
        <v>0.19977004217445141</v>
      </c>
      <c r="K75" s="3">
        <f t="shared" si="23"/>
        <v>0.15875934494604835</v>
      </c>
      <c r="L75" s="3">
        <f t="shared" si="24"/>
        <v>0.64147061287950025</v>
      </c>
      <c r="M75" s="56">
        <f t="shared" si="25"/>
        <v>0.35852938712049975</v>
      </c>
      <c r="O75" s="2">
        <v>25099</v>
      </c>
      <c r="R75" s="2">
        <v>13219</v>
      </c>
      <c r="S75" s="36"/>
    </row>
    <row r="76" spans="1:19" hidden="1" x14ac:dyDescent="0.25">
      <c r="A76" s="54" t="s">
        <v>14</v>
      </c>
      <c r="B76" s="1">
        <v>44999</v>
      </c>
      <c r="C76" s="36">
        <f t="shared" si="18"/>
        <v>30512</v>
      </c>
      <c r="D76" s="2">
        <v>11442</v>
      </c>
      <c r="E76" s="36">
        <f t="shared" si="19"/>
        <v>25899.200000000001</v>
      </c>
      <c r="F76" s="2">
        <v>16274</v>
      </c>
      <c r="G76" s="2">
        <f t="shared" si="16"/>
        <v>84127.2</v>
      </c>
      <c r="H76" s="3">
        <f t="shared" si="20"/>
        <v>0.36268888064740062</v>
      </c>
      <c r="I76" s="3">
        <f t="shared" si="21"/>
        <v>0.30785762512005632</v>
      </c>
      <c r="J76" s="3">
        <f t="shared" si="22"/>
        <v>0.13600833024277523</v>
      </c>
      <c r="K76" s="3">
        <f t="shared" si="23"/>
        <v>0.19344516398976788</v>
      </c>
      <c r="L76" s="3">
        <f t="shared" si="24"/>
        <v>0.67054650576745689</v>
      </c>
      <c r="M76" s="56">
        <f t="shared" si="25"/>
        <v>0.32945349423254311</v>
      </c>
      <c r="O76" s="2">
        <v>39705</v>
      </c>
      <c r="R76" s="2">
        <v>30855</v>
      </c>
      <c r="S76" s="36"/>
    </row>
    <row r="77" spans="1:19" hidden="1" x14ac:dyDescent="0.25">
      <c r="A77" s="54" t="s">
        <v>21</v>
      </c>
      <c r="B77" s="1">
        <v>45000</v>
      </c>
      <c r="C77" s="36">
        <f t="shared" si="18"/>
        <v>21805.600000000002</v>
      </c>
      <c r="D77" s="2">
        <v>12077</v>
      </c>
      <c r="E77" s="36">
        <f t="shared" si="19"/>
        <v>25368.800000000003</v>
      </c>
      <c r="F77" s="2">
        <v>13134</v>
      </c>
      <c r="G77" s="2">
        <f t="shared" si="16"/>
        <v>72385.400000000009</v>
      </c>
      <c r="H77" s="3">
        <f t="shared" si="20"/>
        <v>0.30124306835356301</v>
      </c>
      <c r="I77" s="3">
        <f t="shared" si="21"/>
        <v>0.35046846463513359</v>
      </c>
      <c r="J77" s="3">
        <f t="shared" si="22"/>
        <v>0.16684303740809608</v>
      </c>
      <c r="K77" s="3">
        <f t="shared" si="23"/>
        <v>0.18144542960320725</v>
      </c>
      <c r="L77" s="3">
        <f t="shared" si="24"/>
        <v>0.65171153298869666</v>
      </c>
      <c r="M77" s="56">
        <f t="shared" si="25"/>
        <v>0.34828846701130334</v>
      </c>
      <c r="O77" s="2">
        <v>47861</v>
      </c>
      <c r="R77" s="2">
        <v>38703</v>
      </c>
      <c r="S77" s="36"/>
    </row>
    <row r="78" spans="1:19" x14ac:dyDescent="0.25">
      <c r="A78" s="54" t="s">
        <v>26</v>
      </c>
      <c r="B78" s="1">
        <v>45001</v>
      </c>
      <c r="C78" s="36">
        <f t="shared" si="18"/>
        <v>16169.6</v>
      </c>
      <c r="D78" s="2">
        <v>13826</v>
      </c>
      <c r="E78" s="36">
        <f t="shared" si="19"/>
        <v>26128</v>
      </c>
      <c r="F78" s="2">
        <v>14372</v>
      </c>
      <c r="G78" s="2">
        <f t="shared" si="16"/>
        <v>70495.600000000006</v>
      </c>
      <c r="H78" s="3">
        <f t="shared" si="20"/>
        <v>0.22937034368102405</v>
      </c>
      <c r="I78" s="3">
        <f t="shared" si="21"/>
        <v>0.37063306078677249</v>
      </c>
      <c r="J78" s="3">
        <f t="shared" si="22"/>
        <v>0.19612571564750139</v>
      </c>
      <c r="K78" s="3">
        <f t="shared" si="23"/>
        <v>0.20387087988470201</v>
      </c>
      <c r="L78" s="3">
        <f t="shared" si="24"/>
        <v>0.60000340446779654</v>
      </c>
      <c r="M78" s="56">
        <f t="shared" si="25"/>
        <v>0.3999965955322034</v>
      </c>
      <c r="O78" s="2">
        <v>36797</v>
      </c>
      <c r="R78" s="2">
        <v>37291</v>
      </c>
      <c r="S78" s="36"/>
    </row>
    <row r="79" spans="1:19" hidden="1" x14ac:dyDescent="0.25">
      <c r="A79" s="54" t="s">
        <v>7</v>
      </c>
      <c r="B79" s="1">
        <v>45002</v>
      </c>
      <c r="C79" s="36">
        <f t="shared" si="18"/>
        <v>29321.600000000002</v>
      </c>
      <c r="D79" s="2">
        <v>16914</v>
      </c>
      <c r="E79" s="36">
        <f t="shared" si="19"/>
        <v>25189.600000000002</v>
      </c>
      <c r="F79" s="2">
        <v>18317</v>
      </c>
      <c r="G79" s="2">
        <f t="shared" si="16"/>
        <v>89742.200000000012</v>
      </c>
      <c r="H79" s="3">
        <f t="shared" si="20"/>
        <v>0.32673145967003259</v>
      </c>
      <c r="I79" s="3">
        <f t="shared" si="21"/>
        <v>0.28068846094702382</v>
      </c>
      <c r="J79" s="3">
        <f t="shared" si="22"/>
        <v>0.18847320435647888</v>
      </c>
      <c r="K79" s="3">
        <f t="shared" si="23"/>
        <v>0.20410687502646466</v>
      </c>
      <c r="L79" s="3">
        <f t="shared" si="24"/>
        <v>0.60741992061705641</v>
      </c>
      <c r="M79" s="56">
        <f t="shared" si="25"/>
        <v>0.39258007938294354</v>
      </c>
      <c r="O79" s="2">
        <v>24407</v>
      </c>
      <c r="R79" s="2">
        <v>37113</v>
      </c>
      <c r="S79" s="36"/>
    </row>
    <row r="80" spans="1:19" hidden="1" x14ac:dyDescent="0.25">
      <c r="A80" s="54" t="s">
        <v>30</v>
      </c>
      <c r="B80" s="1">
        <v>45003</v>
      </c>
      <c r="C80" s="36">
        <f t="shared" si="18"/>
        <v>39564</v>
      </c>
      <c r="D80" s="2">
        <v>24064</v>
      </c>
      <c r="E80" s="36">
        <f t="shared" si="19"/>
        <v>31236</v>
      </c>
      <c r="F80" s="2">
        <v>22262</v>
      </c>
      <c r="G80" s="2">
        <f t="shared" si="16"/>
        <v>117126</v>
      </c>
      <c r="H80" s="3">
        <f t="shared" si="20"/>
        <v>0.33779007222990626</v>
      </c>
      <c r="I80" s="3">
        <f t="shared" si="21"/>
        <v>0.26668715742021415</v>
      </c>
      <c r="J80" s="3">
        <f t="shared" si="22"/>
        <v>0.20545395556921606</v>
      </c>
      <c r="K80" s="3">
        <f t="shared" si="23"/>
        <v>0.19006881478066356</v>
      </c>
      <c r="L80" s="3">
        <f t="shared" si="24"/>
        <v>0.60447722965012041</v>
      </c>
      <c r="M80" s="56">
        <f t="shared" si="25"/>
        <v>0.39552277034987959</v>
      </c>
      <c r="O80" s="2">
        <v>41698</v>
      </c>
      <c r="R80" s="2">
        <v>30992</v>
      </c>
      <c r="S80" s="36"/>
    </row>
    <row r="81" spans="1:19" hidden="1" x14ac:dyDescent="0.25">
      <c r="A81" s="54" t="s">
        <v>31</v>
      </c>
      <c r="B81" s="1">
        <v>45004</v>
      </c>
      <c r="C81" s="36">
        <f t="shared" si="18"/>
        <v>42748.800000000003</v>
      </c>
      <c r="D81" s="2">
        <v>26024</v>
      </c>
      <c r="E81" s="36">
        <f t="shared" si="19"/>
        <v>39353.600000000006</v>
      </c>
      <c r="F81" s="2">
        <v>21829</v>
      </c>
      <c r="G81" s="2">
        <f t="shared" si="16"/>
        <v>129955.40000000001</v>
      </c>
      <c r="H81" s="3">
        <f t="shared" si="20"/>
        <v>0.3289497781546592</v>
      </c>
      <c r="I81" s="3">
        <f t="shared" si="21"/>
        <v>0.3028238918890635</v>
      </c>
      <c r="J81" s="3">
        <f t="shared" si="22"/>
        <v>0.20025331767667984</v>
      </c>
      <c r="K81" s="3">
        <f t="shared" si="23"/>
        <v>0.16797301227959746</v>
      </c>
      <c r="L81" s="3">
        <f t="shared" si="24"/>
        <v>0.63177367004372276</v>
      </c>
      <c r="M81" s="56">
        <f t="shared" si="25"/>
        <v>0.3682263299562773</v>
      </c>
      <c r="O81" s="2">
        <v>29392</v>
      </c>
      <c r="R81" s="2">
        <v>30896</v>
      </c>
      <c r="S81" s="36"/>
    </row>
    <row r="82" spans="1:19" hidden="1" x14ac:dyDescent="0.25">
      <c r="A82" s="54" t="s">
        <v>129</v>
      </c>
      <c r="B82" s="1">
        <v>45005</v>
      </c>
      <c r="C82" s="36">
        <f t="shared" si="18"/>
        <v>47843.200000000004</v>
      </c>
      <c r="D82" s="2">
        <v>20480</v>
      </c>
      <c r="E82" s="36">
        <f t="shared" si="19"/>
        <v>35376.800000000003</v>
      </c>
      <c r="F82" s="2">
        <v>14622</v>
      </c>
      <c r="G82" s="2">
        <f t="shared" si="16"/>
        <v>118322.00000000001</v>
      </c>
      <c r="H82" s="3">
        <f t="shared" si="20"/>
        <v>0.40434745862984062</v>
      </c>
      <c r="I82" s="3">
        <f t="shared" si="21"/>
        <v>0.29898750866280149</v>
      </c>
      <c r="J82" s="3">
        <f t="shared" si="22"/>
        <v>0.17308699988167878</v>
      </c>
      <c r="K82" s="3">
        <f t="shared" si="23"/>
        <v>0.12357803282567906</v>
      </c>
      <c r="L82" s="3">
        <f t="shared" si="24"/>
        <v>0.703334967292642</v>
      </c>
      <c r="M82" s="56">
        <f t="shared" si="25"/>
        <v>0.29666503270735783</v>
      </c>
      <c r="O82" s="2">
        <v>30141</v>
      </c>
      <c r="R82" s="2">
        <v>21088</v>
      </c>
      <c r="S82" s="36"/>
    </row>
    <row r="83" spans="1:19" hidden="1" x14ac:dyDescent="0.25">
      <c r="A83" s="54" t="s">
        <v>14</v>
      </c>
      <c r="B83" s="1">
        <v>45006</v>
      </c>
      <c r="C83" s="36">
        <f t="shared" si="18"/>
        <v>37764.800000000003</v>
      </c>
      <c r="D83" s="2">
        <v>17029</v>
      </c>
      <c r="E83" s="36">
        <f t="shared" si="19"/>
        <v>25469.600000000002</v>
      </c>
      <c r="F83" s="2">
        <v>23692</v>
      </c>
      <c r="G83" s="2">
        <f t="shared" si="16"/>
        <v>103955.40000000001</v>
      </c>
      <c r="H83" s="3">
        <f t="shared" si="20"/>
        <v>0.36327886766825002</v>
      </c>
      <c r="I83" s="3">
        <f t="shared" si="21"/>
        <v>0.24500506948172004</v>
      </c>
      <c r="J83" s="3">
        <f t="shared" si="22"/>
        <v>0.16381063417580999</v>
      </c>
      <c r="K83" s="3">
        <f t="shared" si="23"/>
        <v>0.2279054286742199</v>
      </c>
      <c r="L83" s="3">
        <f t="shared" si="24"/>
        <v>0.60828393714997009</v>
      </c>
      <c r="M83" s="56">
        <f t="shared" si="25"/>
        <v>0.39171606285002991</v>
      </c>
      <c r="O83" s="2">
        <v>36038</v>
      </c>
      <c r="R83" s="2">
        <v>35613</v>
      </c>
      <c r="S83" s="36"/>
    </row>
    <row r="84" spans="1:19" hidden="1" x14ac:dyDescent="0.25">
      <c r="A84" s="54" t="s">
        <v>21</v>
      </c>
      <c r="B84" s="1">
        <v>45007</v>
      </c>
      <c r="C84" s="36">
        <f t="shared" si="18"/>
        <v>32732.800000000003</v>
      </c>
      <c r="D84" s="2">
        <v>13660</v>
      </c>
      <c r="E84" s="36">
        <f t="shared" si="19"/>
        <v>27097.600000000002</v>
      </c>
      <c r="F84" s="2">
        <v>17126</v>
      </c>
      <c r="G84" s="2">
        <f t="shared" si="16"/>
        <v>90616.400000000009</v>
      </c>
      <c r="H84" s="3">
        <f t="shared" si="20"/>
        <v>0.3612237961340331</v>
      </c>
      <c r="I84" s="3">
        <f t="shared" si="21"/>
        <v>0.29903637752106682</v>
      </c>
      <c r="J84" s="3">
        <f t="shared" si="22"/>
        <v>0.15074533969568421</v>
      </c>
      <c r="K84" s="3">
        <f t="shared" si="23"/>
        <v>0.18899448664921581</v>
      </c>
      <c r="L84" s="3">
        <f t="shared" si="24"/>
        <v>0.66026017365510004</v>
      </c>
      <c r="M84" s="56">
        <f t="shared" si="25"/>
        <v>0.33973982634490002</v>
      </c>
      <c r="O84" s="2">
        <v>46749</v>
      </c>
      <c r="R84" s="2">
        <v>46242</v>
      </c>
      <c r="S84" s="36"/>
    </row>
    <row r="85" spans="1:19" x14ac:dyDescent="0.25">
      <c r="A85" s="54" t="s">
        <v>26</v>
      </c>
      <c r="B85" s="1">
        <v>45008</v>
      </c>
      <c r="C85" s="36">
        <f t="shared" si="18"/>
        <v>33509.599999999999</v>
      </c>
      <c r="D85" s="2">
        <v>8796</v>
      </c>
      <c r="E85" s="36">
        <f t="shared" si="19"/>
        <v>20679.2</v>
      </c>
      <c r="F85" s="2">
        <v>20006</v>
      </c>
      <c r="G85" s="2">
        <f t="shared" si="16"/>
        <v>82990.8</v>
      </c>
      <c r="H85" s="3">
        <f t="shared" si="20"/>
        <v>0.40377487625134351</v>
      </c>
      <c r="I85" s="3">
        <f t="shared" si="21"/>
        <v>0.24917460730587004</v>
      </c>
      <c r="J85" s="3">
        <f t="shared" si="22"/>
        <v>0.10598765164331468</v>
      </c>
      <c r="K85" s="3">
        <f t="shared" si="23"/>
        <v>0.24106286479947173</v>
      </c>
      <c r="L85" s="3">
        <f t="shared" si="24"/>
        <v>0.65294948355721361</v>
      </c>
      <c r="M85" s="56">
        <f t="shared" si="25"/>
        <v>0.34705051644278639</v>
      </c>
      <c r="O85" s="2">
        <v>37803</v>
      </c>
      <c r="Q85" s="5"/>
      <c r="R85" s="2">
        <v>35682</v>
      </c>
      <c r="S85" s="36"/>
    </row>
    <row r="86" spans="1:19" hidden="1" x14ac:dyDescent="0.25">
      <c r="A86" s="54" t="s">
        <v>7</v>
      </c>
      <c r="B86" s="1">
        <v>45009</v>
      </c>
      <c r="C86" s="36">
        <f t="shared" si="18"/>
        <v>30759.200000000001</v>
      </c>
      <c r="D86" s="2">
        <v>17785</v>
      </c>
      <c r="E86" s="36">
        <f t="shared" si="19"/>
        <v>37532.800000000003</v>
      </c>
      <c r="F86" s="2">
        <v>19857</v>
      </c>
      <c r="G86" s="2">
        <f t="shared" si="16"/>
        <v>105934</v>
      </c>
      <c r="H86" s="3">
        <f t="shared" si="20"/>
        <v>0.29036192346177808</v>
      </c>
      <c r="I86" s="3">
        <f t="shared" si="21"/>
        <v>0.35430362301055379</v>
      </c>
      <c r="J86" s="3">
        <f t="shared" si="22"/>
        <v>0.16788755262710744</v>
      </c>
      <c r="K86" s="3">
        <f t="shared" si="23"/>
        <v>0.18744690090056074</v>
      </c>
      <c r="L86" s="3">
        <f t="shared" si="24"/>
        <v>0.64466554647233187</v>
      </c>
      <c r="M86" s="56">
        <f t="shared" si="25"/>
        <v>0.35533445352766818</v>
      </c>
      <c r="O86" s="2">
        <v>37768</v>
      </c>
      <c r="R86" s="2">
        <v>32853</v>
      </c>
      <c r="S86" s="36"/>
    </row>
    <row r="87" spans="1:19" hidden="1" x14ac:dyDescent="0.25">
      <c r="A87" s="54" t="s">
        <v>30</v>
      </c>
      <c r="B87" s="1">
        <v>45010</v>
      </c>
      <c r="C87" s="36">
        <f t="shared" si="18"/>
        <v>44625.600000000006</v>
      </c>
      <c r="D87" s="2">
        <v>16966</v>
      </c>
      <c r="E87" s="36">
        <f t="shared" si="19"/>
        <v>33601.599999999999</v>
      </c>
      <c r="F87" s="2">
        <v>20828</v>
      </c>
      <c r="G87" s="2">
        <f t="shared" si="16"/>
        <v>116021.20000000001</v>
      </c>
      <c r="H87" s="3">
        <f t="shared" si="20"/>
        <v>0.38463315325130237</v>
      </c>
      <c r="I87" s="3">
        <f t="shared" si="21"/>
        <v>0.28961603569002903</v>
      </c>
      <c r="J87" s="3">
        <f t="shared" si="22"/>
        <v>0.14623189555012359</v>
      </c>
      <c r="K87" s="3">
        <f t="shared" si="23"/>
        <v>0.17951891550854499</v>
      </c>
      <c r="L87" s="3">
        <f t="shared" si="24"/>
        <v>0.67424918894133146</v>
      </c>
      <c r="M87" s="56">
        <f t="shared" si="25"/>
        <v>0.32575081105866854</v>
      </c>
      <c r="O87" s="2">
        <v>39996</v>
      </c>
      <c r="R87" s="2">
        <v>19485</v>
      </c>
      <c r="S87" s="36"/>
    </row>
    <row r="88" spans="1:19" hidden="1" x14ac:dyDescent="0.25">
      <c r="A88" s="54" t="s">
        <v>31</v>
      </c>
      <c r="B88" s="1">
        <v>45011</v>
      </c>
      <c r="C88" s="36">
        <f t="shared" si="18"/>
        <v>29312.800000000003</v>
      </c>
      <c r="D88" s="2">
        <v>22537</v>
      </c>
      <c r="E88" s="36">
        <f t="shared" si="19"/>
        <v>44603.200000000004</v>
      </c>
      <c r="F88" s="2">
        <v>20351</v>
      </c>
      <c r="G88" s="2">
        <f t="shared" si="16"/>
        <v>116804</v>
      </c>
      <c r="H88" s="3">
        <f t="shared" si="20"/>
        <v>0.25095715900140408</v>
      </c>
      <c r="I88" s="3">
        <f t="shared" si="21"/>
        <v>0.38186363480702717</v>
      </c>
      <c r="J88" s="3">
        <f t="shared" si="22"/>
        <v>0.19294715934385809</v>
      </c>
      <c r="K88" s="3">
        <f t="shared" si="23"/>
        <v>0.17423204684771071</v>
      </c>
      <c r="L88" s="3">
        <f t="shared" si="24"/>
        <v>0.63282079380843126</v>
      </c>
      <c r="M88" s="56">
        <f t="shared" si="25"/>
        <v>0.3671792061915688</v>
      </c>
      <c r="O88" s="2">
        <v>32348</v>
      </c>
      <c r="Q88" s="5">
        <f>AVERAGE(H4:H942)</f>
        <v>0.33745258663828209</v>
      </c>
      <c r="R88" s="2">
        <v>21819</v>
      </c>
      <c r="S88" s="36"/>
    </row>
    <row r="89" spans="1:19" hidden="1" x14ac:dyDescent="0.25">
      <c r="A89" s="54" t="s">
        <v>129</v>
      </c>
      <c r="B89" s="1">
        <v>45012</v>
      </c>
      <c r="C89" s="36">
        <f t="shared" si="18"/>
        <v>50592</v>
      </c>
      <c r="D89" s="2">
        <v>19012</v>
      </c>
      <c r="E89" s="36">
        <f t="shared" si="19"/>
        <v>30032</v>
      </c>
      <c r="F89" s="2">
        <v>17154</v>
      </c>
      <c r="G89" s="2">
        <f t="shared" si="16"/>
        <v>116790</v>
      </c>
      <c r="H89" s="3">
        <f t="shared" si="20"/>
        <v>0.43318777292576421</v>
      </c>
      <c r="I89" s="3">
        <f t="shared" si="21"/>
        <v>0.25714530353626169</v>
      </c>
      <c r="J89" s="3">
        <f t="shared" si="22"/>
        <v>0.16278790992379485</v>
      </c>
      <c r="K89" s="3">
        <f t="shared" si="23"/>
        <v>0.14687901361417929</v>
      </c>
      <c r="L89" s="3">
        <f t="shared" si="24"/>
        <v>0.69033307646202591</v>
      </c>
      <c r="M89" s="56">
        <f t="shared" si="25"/>
        <v>0.30966692353797415</v>
      </c>
      <c r="O89" s="2">
        <v>15051</v>
      </c>
      <c r="R89" s="2">
        <v>21044</v>
      </c>
      <c r="S89" s="36"/>
    </row>
    <row r="90" spans="1:19" hidden="1" x14ac:dyDescent="0.25">
      <c r="A90" s="54" t="s">
        <v>14</v>
      </c>
      <c r="B90" s="1">
        <v>45013</v>
      </c>
      <c r="C90" s="36">
        <f t="shared" si="18"/>
        <v>50200</v>
      </c>
      <c r="D90" s="2">
        <v>17493</v>
      </c>
      <c r="E90" s="36">
        <f t="shared" si="19"/>
        <v>29896</v>
      </c>
      <c r="F90" s="2">
        <v>17543</v>
      </c>
      <c r="G90" s="2">
        <f t="shared" si="16"/>
        <v>115132</v>
      </c>
      <c r="H90" s="3">
        <f t="shared" si="20"/>
        <v>0.43602126255081125</v>
      </c>
      <c r="I90" s="3">
        <f t="shared" si="21"/>
        <v>0.25966716464579787</v>
      </c>
      <c r="J90" s="3">
        <f t="shared" si="22"/>
        <v>0.15193864433867213</v>
      </c>
      <c r="K90" s="3">
        <f t="shared" si="23"/>
        <v>0.15237292846471875</v>
      </c>
      <c r="L90" s="3">
        <f t="shared" si="24"/>
        <v>0.69568842719660906</v>
      </c>
      <c r="M90" s="56">
        <f t="shared" si="25"/>
        <v>0.30431157280339088</v>
      </c>
      <c r="O90" s="2">
        <v>40154</v>
      </c>
      <c r="R90" s="2">
        <v>41178</v>
      </c>
      <c r="S90" s="36"/>
    </row>
    <row r="91" spans="1:19" hidden="1" x14ac:dyDescent="0.25">
      <c r="A91" s="54" t="s">
        <v>21</v>
      </c>
      <c r="B91" s="1">
        <v>45014</v>
      </c>
      <c r="C91" s="36">
        <f t="shared" si="18"/>
        <v>31188</v>
      </c>
      <c r="D91" s="2">
        <v>15407</v>
      </c>
      <c r="E91" s="36">
        <f t="shared" si="19"/>
        <v>29574.400000000001</v>
      </c>
      <c r="F91" s="2">
        <v>16881</v>
      </c>
      <c r="G91" s="2">
        <f t="shared" si="16"/>
        <v>93050.4</v>
      </c>
      <c r="H91" s="3">
        <f t="shared" si="20"/>
        <v>0.33517319646127264</v>
      </c>
      <c r="I91" s="3">
        <f t="shared" si="21"/>
        <v>0.31783205660588243</v>
      </c>
      <c r="J91" s="3">
        <f t="shared" si="22"/>
        <v>0.16557693465046899</v>
      </c>
      <c r="K91" s="3">
        <f t="shared" si="23"/>
        <v>0.18141781228237602</v>
      </c>
      <c r="L91" s="3">
        <f t="shared" si="24"/>
        <v>0.65300525306715507</v>
      </c>
      <c r="M91" s="56">
        <f t="shared" si="25"/>
        <v>0.34699474693284504</v>
      </c>
      <c r="O91" s="2">
        <v>29335</v>
      </c>
      <c r="R91" s="2">
        <v>35346</v>
      </c>
      <c r="S91" s="36"/>
    </row>
    <row r="92" spans="1:19" x14ac:dyDescent="0.25">
      <c r="A92" s="54" t="s">
        <v>26</v>
      </c>
      <c r="B92" s="1">
        <v>45015</v>
      </c>
      <c r="C92" s="36">
        <f t="shared" si="18"/>
        <v>28138.400000000001</v>
      </c>
      <c r="D92" s="2">
        <v>8505</v>
      </c>
      <c r="E92" s="36">
        <f t="shared" si="19"/>
        <v>26740</v>
      </c>
      <c r="F92" s="2">
        <v>13119</v>
      </c>
      <c r="G92" s="2">
        <f t="shared" si="16"/>
        <v>76502.399999999994</v>
      </c>
      <c r="H92" s="3">
        <f t="shared" si="20"/>
        <v>0.36781068306353792</v>
      </c>
      <c r="I92" s="3">
        <f t="shared" si="21"/>
        <v>0.34953151796544946</v>
      </c>
      <c r="J92" s="3">
        <f t="shared" si="22"/>
        <v>0.11117298280838249</v>
      </c>
      <c r="K92" s="3">
        <f t="shared" si="23"/>
        <v>0.1714848161626302</v>
      </c>
      <c r="L92" s="3">
        <f t="shared" si="24"/>
        <v>0.71734220102898738</v>
      </c>
      <c r="M92" s="56">
        <f t="shared" si="25"/>
        <v>0.28265779897101267</v>
      </c>
      <c r="O92" s="2">
        <v>34571</v>
      </c>
      <c r="R92" s="2">
        <v>39410</v>
      </c>
      <c r="S92" s="36"/>
    </row>
    <row r="93" spans="1:19" hidden="1" x14ac:dyDescent="0.25">
      <c r="A93" s="54" t="s">
        <v>7</v>
      </c>
      <c r="B93" s="1">
        <v>45016</v>
      </c>
      <c r="C93" s="36">
        <f t="shared" si="18"/>
        <v>30889.600000000002</v>
      </c>
      <c r="D93" s="2">
        <v>15109</v>
      </c>
      <c r="E93" s="36">
        <f t="shared" si="19"/>
        <v>16611.2</v>
      </c>
      <c r="F93" s="2">
        <v>15868</v>
      </c>
      <c r="G93" s="2">
        <f t="shared" si="16"/>
        <v>78477.8</v>
      </c>
      <c r="H93" s="3">
        <f t="shared" si="20"/>
        <v>0.39360940291394508</v>
      </c>
      <c r="I93" s="3">
        <f t="shared" si="21"/>
        <v>0.21166750342134974</v>
      </c>
      <c r="J93" s="3">
        <f t="shared" si="22"/>
        <v>0.19252578436194695</v>
      </c>
      <c r="K93" s="3">
        <f t="shared" si="23"/>
        <v>0.20219730930275823</v>
      </c>
      <c r="L93" s="3">
        <f t="shared" si="24"/>
        <v>0.60527690633529485</v>
      </c>
      <c r="M93" s="56">
        <f t="shared" si="25"/>
        <v>0.39472309366470515</v>
      </c>
      <c r="O93" s="2">
        <v>34993</v>
      </c>
      <c r="R93" s="2">
        <v>36124</v>
      </c>
      <c r="S93" s="36"/>
    </row>
    <row r="94" spans="1:19" hidden="1" x14ac:dyDescent="0.25">
      <c r="A94" s="54" t="s">
        <v>30</v>
      </c>
      <c r="B94" s="1">
        <v>45017</v>
      </c>
      <c r="C94" s="36">
        <f t="shared" si="18"/>
        <v>32755.200000000001</v>
      </c>
      <c r="D94" s="2">
        <v>19155</v>
      </c>
      <c r="E94" s="36">
        <f t="shared" si="19"/>
        <v>49447.200000000004</v>
      </c>
      <c r="F94" s="2">
        <v>25345</v>
      </c>
      <c r="G94" s="2">
        <f t="shared" si="16"/>
        <v>126702.39999999999</v>
      </c>
      <c r="H94" s="3">
        <f t="shared" si="20"/>
        <v>0.25852075414514641</v>
      </c>
      <c r="I94" s="3">
        <f t="shared" si="21"/>
        <v>0.39026253646339776</v>
      </c>
      <c r="J94" s="3">
        <f t="shared" si="22"/>
        <v>0.15118103524479412</v>
      </c>
      <c r="K94" s="3">
        <f t="shared" si="23"/>
        <v>0.20003567414666179</v>
      </c>
      <c r="L94" s="3">
        <f t="shared" si="24"/>
        <v>0.64878329060854423</v>
      </c>
      <c r="M94" s="56">
        <f t="shared" si="25"/>
        <v>0.35121670939145588</v>
      </c>
      <c r="O94" s="2">
        <v>34584</v>
      </c>
      <c r="R94" s="2">
        <v>28259</v>
      </c>
      <c r="S94" s="36"/>
    </row>
    <row r="95" spans="1:19" hidden="1" x14ac:dyDescent="0.25">
      <c r="A95" s="54" t="s">
        <v>31</v>
      </c>
      <c r="B95" s="1">
        <v>45018</v>
      </c>
      <c r="C95" s="36">
        <f t="shared" si="18"/>
        <v>35458.400000000001</v>
      </c>
      <c r="D95" s="2">
        <v>21554</v>
      </c>
      <c r="E95" s="36">
        <f t="shared" si="19"/>
        <v>29027.200000000001</v>
      </c>
      <c r="F95" s="2">
        <v>17769</v>
      </c>
      <c r="G95" s="2">
        <f t="shared" si="16"/>
        <v>103808.6</v>
      </c>
      <c r="H95" s="3">
        <f t="shared" si="20"/>
        <v>0.34157478282146181</v>
      </c>
      <c r="I95" s="3">
        <f t="shared" si="21"/>
        <v>0.2796223048957408</v>
      </c>
      <c r="J95" s="3">
        <f t="shared" si="22"/>
        <v>0.20763212296476399</v>
      </c>
      <c r="K95" s="3">
        <f t="shared" si="23"/>
        <v>0.17117078931803337</v>
      </c>
      <c r="L95" s="3">
        <f t="shared" si="24"/>
        <v>0.62119708771720261</v>
      </c>
      <c r="M95" s="56">
        <f t="shared" si="25"/>
        <v>0.37880291228279733</v>
      </c>
      <c r="O95" s="2">
        <v>25307</v>
      </c>
      <c r="Q95" s="5">
        <f>AVERAGE(I4:I942)</f>
        <v>0.29700043472959931</v>
      </c>
      <c r="R95" s="2">
        <v>29829</v>
      </c>
      <c r="S95" s="36"/>
    </row>
    <row r="96" spans="1:19" hidden="1" x14ac:dyDescent="0.25">
      <c r="A96" s="54" t="s">
        <v>129</v>
      </c>
      <c r="B96" s="1">
        <v>45019</v>
      </c>
      <c r="C96" s="36">
        <f t="shared" si="18"/>
        <v>33820</v>
      </c>
      <c r="D96" s="2">
        <v>23633</v>
      </c>
      <c r="E96" s="36">
        <f t="shared" si="19"/>
        <v>37420.800000000003</v>
      </c>
      <c r="F96" s="2">
        <v>13083</v>
      </c>
      <c r="G96" s="2">
        <f t="shared" si="16"/>
        <v>107956.8</v>
      </c>
      <c r="H96" s="3">
        <f t="shared" si="20"/>
        <v>0.31327345753116059</v>
      </c>
      <c r="I96" s="3">
        <f t="shared" si="21"/>
        <v>0.34662753990485085</v>
      </c>
      <c r="J96" s="3">
        <f t="shared" si="22"/>
        <v>0.2189116387295659</v>
      </c>
      <c r="K96" s="3">
        <f t="shared" si="23"/>
        <v>0.12118736383442265</v>
      </c>
      <c r="L96" s="3">
        <f t="shared" si="24"/>
        <v>0.65990099743601149</v>
      </c>
      <c r="M96" s="56">
        <f t="shared" si="25"/>
        <v>0.34009900256398856</v>
      </c>
      <c r="O96" s="2">
        <v>27472</v>
      </c>
      <c r="R96" s="2">
        <v>25025</v>
      </c>
      <c r="S96" s="36"/>
    </row>
    <row r="97" spans="1:19" hidden="1" x14ac:dyDescent="0.25">
      <c r="A97" s="54" t="s">
        <v>14</v>
      </c>
      <c r="B97" s="1">
        <v>45020</v>
      </c>
      <c r="C97" s="36">
        <f t="shared" si="18"/>
        <v>26758.400000000001</v>
      </c>
      <c r="D97" s="2">
        <v>17452</v>
      </c>
      <c r="E97" s="36">
        <f t="shared" si="19"/>
        <v>19073.600000000002</v>
      </c>
      <c r="F97" s="2">
        <v>12879</v>
      </c>
      <c r="G97" s="2">
        <f t="shared" si="16"/>
        <v>76163</v>
      </c>
      <c r="H97" s="3">
        <f t="shared" si="20"/>
        <v>0.3513306986331946</v>
      </c>
      <c r="I97" s="3">
        <f t="shared" si="21"/>
        <v>0.25043131179181494</v>
      </c>
      <c r="J97" s="3">
        <f t="shared" si="22"/>
        <v>0.22914013366070138</v>
      </c>
      <c r="K97" s="3">
        <f t="shared" si="23"/>
        <v>0.16909785591428908</v>
      </c>
      <c r="L97" s="3">
        <f t="shared" si="24"/>
        <v>0.60176201042500954</v>
      </c>
      <c r="M97" s="56">
        <f t="shared" si="25"/>
        <v>0.39823798957499046</v>
      </c>
      <c r="O97" s="2">
        <v>40915</v>
      </c>
      <c r="R97" s="2">
        <v>24790</v>
      </c>
      <c r="S97" s="36"/>
    </row>
    <row r="98" spans="1:19" hidden="1" x14ac:dyDescent="0.25">
      <c r="A98" s="54" t="s">
        <v>21</v>
      </c>
      <c r="B98" s="1">
        <v>45021</v>
      </c>
      <c r="C98" s="36">
        <f t="shared" si="18"/>
        <v>20317.600000000002</v>
      </c>
      <c r="D98" s="2">
        <v>14092</v>
      </c>
      <c r="E98" s="36">
        <f t="shared" si="19"/>
        <v>31181.600000000002</v>
      </c>
      <c r="F98" s="2">
        <v>13248</v>
      </c>
      <c r="G98" s="2">
        <f t="shared" si="16"/>
        <v>78839.200000000012</v>
      </c>
      <c r="H98" s="3">
        <f t="shared" si="20"/>
        <v>0.25770936285502644</v>
      </c>
      <c r="I98" s="3">
        <f t="shared" si="21"/>
        <v>0.39550883316928631</v>
      </c>
      <c r="J98" s="3">
        <f t="shared" si="22"/>
        <v>0.17874356918893136</v>
      </c>
      <c r="K98" s="3">
        <f t="shared" si="23"/>
        <v>0.16803823478675581</v>
      </c>
      <c r="L98" s="3">
        <f t="shared" si="24"/>
        <v>0.65321819602431275</v>
      </c>
      <c r="M98" s="56">
        <f t="shared" si="25"/>
        <v>0.3467818039756872</v>
      </c>
      <c r="O98" s="2">
        <v>42602</v>
      </c>
      <c r="R98" s="2">
        <v>42590</v>
      </c>
      <c r="S98" s="36"/>
    </row>
    <row r="99" spans="1:19" x14ac:dyDescent="0.25">
      <c r="A99" s="54" t="s">
        <v>26</v>
      </c>
      <c r="B99" s="1">
        <v>45022</v>
      </c>
      <c r="C99" s="36">
        <f t="shared" si="18"/>
        <v>26210.400000000001</v>
      </c>
      <c r="D99" s="2">
        <v>17345</v>
      </c>
      <c r="E99" s="36">
        <f t="shared" si="19"/>
        <v>21973.600000000002</v>
      </c>
      <c r="F99" s="2">
        <v>17543</v>
      </c>
      <c r="G99" s="2">
        <f t="shared" si="16"/>
        <v>83072</v>
      </c>
      <c r="H99" s="3">
        <f t="shared" si="20"/>
        <v>0.31551425269645611</v>
      </c>
      <c r="I99" s="3">
        <f t="shared" si="21"/>
        <v>0.26451271186440678</v>
      </c>
      <c r="J99" s="3">
        <f t="shared" si="22"/>
        <v>0.20879478043143299</v>
      </c>
      <c r="K99" s="3">
        <f t="shared" si="23"/>
        <v>0.21117825500770415</v>
      </c>
      <c r="L99" s="3">
        <f t="shared" si="24"/>
        <v>0.58002696456086289</v>
      </c>
      <c r="M99" s="56">
        <f t="shared" si="25"/>
        <v>0.41997303543913711</v>
      </c>
      <c r="O99" s="2">
        <v>38698</v>
      </c>
      <c r="R99" s="2">
        <v>38980</v>
      </c>
      <c r="S99" s="36"/>
    </row>
    <row r="100" spans="1:19" hidden="1" x14ac:dyDescent="0.25">
      <c r="A100" s="54" t="s">
        <v>7</v>
      </c>
      <c r="B100" s="1">
        <v>45023</v>
      </c>
      <c r="C100" s="36">
        <f t="shared" si="18"/>
        <v>24206.400000000001</v>
      </c>
      <c r="D100" s="2">
        <v>14138</v>
      </c>
      <c r="E100" s="36">
        <f t="shared" si="19"/>
        <v>30988</v>
      </c>
      <c r="F100" s="2">
        <v>18388</v>
      </c>
      <c r="G100" s="2">
        <f t="shared" si="16"/>
        <v>87720.4</v>
      </c>
      <c r="H100" s="3">
        <f t="shared" si="20"/>
        <v>0.27594949407435448</v>
      </c>
      <c r="I100" s="3">
        <f t="shared" si="21"/>
        <v>0.35325876306993587</v>
      </c>
      <c r="J100" s="3">
        <f t="shared" si="22"/>
        <v>0.16117117569003334</v>
      </c>
      <c r="K100" s="3">
        <f t="shared" si="23"/>
        <v>0.20962056716567642</v>
      </c>
      <c r="L100" s="3">
        <f t="shared" si="24"/>
        <v>0.62920825714429029</v>
      </c>
      <c r="M100" s="56">
        <f t="shared" si="25"/>
        <v>0.37079174285570976</v>
      </c>
      <c r="O100" s="2">
        <v>32595</v>
      </c>
      <c r="R100" s="2">
        <v>36306</v>
      </c>
      <c r="S100" s="36"/>
    </row>
    <row r="101" spans="1:19" hidden="1" x14ac:dyDescent="0.25">
      <c r="A101" s="54" t="s">
        <v>30</v>
      </c>
      <c r="B101" s="1">
        <v>45024</v>
      </c>
      <c r="C101" s="36">
        <f t="shared" si="18"/>
        <v>30232.800000000003</v>
      </c>
      <c r="D101" s="2">
        <v>22197</v>
      </c>
      <c r="E101" s="36">
        <f t="shared" si="19"/>
        <v>33456.800000000003</v>
      </c>
      <c r="F101" s="2">
        <v>27810</v>
      </c>
      <c r="G101" s="2">
        <f t="shared" si="16"/>
        <v>113696.6</v>
      </c>
      <c r="H101" s="3">
        <f t="shared" si="20"/>
        <v>0.26590768765292894</v>
      </c>
      <c r="I101" s="3">
        <f t="shared" si="21"/>
        <v>0.29426385661488558</v>
      </c>
      <c r="J101" s="3">
        <f t="shared" si="22"/>
        <v>0.19523011242200733</v>
      </c>
      <c r="K101" s="3">
        <f t="shared" si="23"/>
        <v>0.24459834331017813</v>
      </c>
      <c r="L101" s="3">
        <f t="shared" si="24"/>
        <v>0.56017154426781457</v>
      </c>
      <c r="M101" s="56">
        <f t="shared" si="25"/>
        <v>0.43982845573218549</v>
      </c>
      <c r="O101" s="2">
        <v>38140</v>
      </c>
      <c r="R101" s="2">
        <v>32374</v>
      </c>
      <c r="S101" s="36"/>
    </row>
    <row r="102" spans="1:19" hidden="1" x14ac:dyDescent="0.25">
      <c r="A102" s="54" t="s">
        <v>31</v>
      </c>
      <c r="B102" s="1">
        <v>45025</v>
      </c>
      <c r="C102" s="36">
        <f t="shared" si="18"/>
        <v>33759.200000000004</v>
      </c>
      <c r="D102" s="2">
        <v>20154</v>
      </c>
      <c r="E102" s="36">
        <f t="shared" si="19"/>
        <v>18691.2</v>
      </c>
      <c r="F102" s="2">
        <v>21557</v>
      </c>
      <c r="G102" s="2">
        <f t="shared" si="16"/>
        <v>94161.400000000009</v>
      </c>
      <c r="H102" s="3">
        <f t="shared" si="20"/>
        <v>0.35852483076929614</v>
      </c>
      <c r="I102" s="3">
        <f t="shared" si="21"/>
        <v>0.19850172151221199</v>
      </c>
      <c r="J102" s="3">
        <f t="shared" si="22"/>
        <v>0.214036749665999</v>
      </c>
      <c r="K102" s="3">
        <f t="shared" si="23"/>
        <v>0.22893669805249284</v>
      </c>
      <c r="L102" s="3">
        <f t="shared" si="24"/>
        <v>0.55702655228150821</v>
      </c>
      <c r="M102" s="56">
        <f t="shared" si="25"/>
        <v>0.44297344771849184</v>
      </c>
      <c r="O102" s="2">
        <v>27257</v>
      </c>
      <c r="Q102" s="5">
        <f>AVERAGE(J4:J942)</f>
        <v>0.1887062756295764</v>
      </c>
      <c r="R102" s="2">
        <v>31711</v>
      </c>
      <c r="S102" s="36"/>
    </row>
    <row r="103" spans="1:19" hidden="1" x14ac:dyDescent="0.25">
      <c r="A103" s="54" t="s">
        <v>129</v>
      </c>
      <c r="B103" s="1">
        <v>45026</v>
      </c>
      <c r="C103" s="36">
        <f t="shared" si="18"/>
        <v>31815.200000000001</v>
      </c>
      <c r="D103" s="2">
        <v>13524</v>
      </c>
      <c r="E103" s="36">
        <f t="shared" si="19"/>
        <v>34848.800000000003</v>
      </c>
      <c r="F103" s="2">
        <v>10942</v>
      </c>
      <c r="G103" s="2">
        <f t="shared" si="16"/>
        <v>91130</v>
      </c>
      <c r="H103" s="3">
        <f t="shared" si="20"/>
        <v>0.34911884121584552</v>
      </c>
      <c r="I103" s="3">
        <f t="shared" si="21"/>
        <v>0.38240754965433998</v>
      </c>
      <c r="J103" s="3">
        <f t="shared" si="22"/>
        <v>0.14840337978711732</v>
      </c>
      <c r="K103" s="3">
        <f t="shared" si="23"/>
        <v>0.12007022934269725</v>
      </c>
      <c r="L103" s="3">
        <f t="shared" si="24"/>
        <v>0.73152639087018545</v>
      </c>
      <c r="M103" s="56">
        <f t="shared" si="25"/>
        <v>0.26847360912981455</v>
      </c>
      <c r="O103" s="2">
        <v>20212</v>
      </c>
      <c r="R103" s="2">
        <v>32660</v>
      </c>
      <c r="S103" s="36"/>
    </row>
    <row r="104" spans="1:19" hidden="1" x14ac:dyDescent="0.25">
      <c r="A104" s="54" t="s">
        <v>14</v>
      </c>
      <c r="B104" s="1">
        <v>45027</v>
      </c>
      <c r="C104" s="36">
        <f t="shared" si="18"/>
        <v>30308</v>
      </c>
      <c r="D104" s="2">
        <v>14475</v>
      </c>
      <c r="E104" s="36">
        <f t="shared" si="19"/>
        <v>21073.600000000002</v>
      </c>
      <c r="F104" s="2">
        <v>16034</v>
      </c>
      <c r="G104" s="2">
        <f t="shared" si="16"/>
        <v>81890.600000000006</v>
      </c>
      <c r="H104" s="3">
        <f t="shared" si="20"/>
        <v>0.370103528365893</v>
      </c>
      <c r="I104" s="3">
        <f t="shared" si="21"/>
        <v>0.2573384491016063</v>
      </c>
      <c r="J104" s="3">
        <f t="shared" si="22"/>
        <v>0.17676021423704308</v>
      </c>
      <c r="K104" s="3">
        <f t="shared" si="23"/>
        <v>0.19579780829545759</v>
      </c>
      <c r="L104" s="3">
        <f t="shared" si="24"/>
        <v>0.6274419774674993</v>
      </c>
      <c r="M104" s="56">
        <f t="shared" si="25"/>
        <v>0.37255802253250064</v>
      </c>
      <c r="O104" s="2">
        <v>36652</v>
      </c>
      <c r="R104" s="2">
        <v>31487</v>
      </c>
      <c r="S104" s="36"/>
    </row>
    <row r="105" spans="1:19" hidden="1" x14ac:dyDescent="0.25">
      <c r="A105" s="54" t="s">
        <v>21</v>
      </c>
      <c r="B105" s="1">
        <v>45028</v>
      </c>
      <c r="C105" s="36">
        <f t="shared" si="18"/>
        <v>31648</v>
      </c>
      <c r="D105" s="2">
        <v>11965</v>
      </c>
      <c r="E105" s="36">
        <f t="shared" si="19"/>
        <v>13729.6</v>
      </c>
      <c r="F105" s="2">
        <v>9637</v>
      </c>
      <c r="G105" s="2">
        <f t="shared" si="16"/>
        <v>66979.600000000006</v>
      </c>
      <c r="H105" s="3">
        <f t="shared" si="20"/>
        <v>0.47250207525873544</v>
      </c>
      <c r="I105" s="3">
        <f t="shared" si="21"/>
        <v>0.20498181535870622</v>
      </c>
      <c r="J105" s="3">
        <f t="shared" si="22"/>
        <v>0.1786364803611846</v>
      </c>
      <c r="K105" s="3">
        <f t="shared" si="23"/>
        <v>0.14387962902137366</v>
      </c>
      <c r="L105" s="3">
        <f t="shared" si="24"/>
        <v>0.67748389061744163</v>
      </c>
      <c r="M105" s="56">
        <f t="shared" si="25"/>
        <v>0.32251610938255826</v>
      </c>
      <c r="O105" s="2">
        <v>49455</v>
      </c>
      <c r="R105" s="2">
        <v>39045</v>
      </c>
      <c r="S105" s="36"/>
    </row>
    <row r="106" spans="1:19" x14ac:dyDescent="0.25">
      <c r="A106" s="54" t="s">
        <v>26</v>
      </c>
      <c r="B106" s="1">
        <v>45029</v>
      </c>
      <c r="C106" s="36">
        <f t="shared" si="18"/>
        <v>25472</v>
      </c>
      <c r="D106" s="2">
        <v>14393</v>
      </c>
      <c r="E106" s="36">
        <f t="shared" si="19"/>
        <v>21384.800000000003</v>
      </c>
      <c r="F106" s="2">
        <v>14592</v>
      </c>
      <c r="G106" s="2">
        <f t="shared" si="16"/>
        <v>75841.8</v>
      </c>
      <c r="H106" s="3">
        <f t="shared" si="20"/>
        <v>0.33585700761321591</v>
      </c>
      <c r="I106" s="3">
        <f t="shared" si="21"/>
        <v>0.28196588161145969</v>
      </c>
      <c r="J106" s="3">
        <f t="shared" si="22"/>
        <v>0.18977661395167308</v>
      </c>
      <c r="K106" s="3">
        <f t="shared" si="23"/>
        <v>0.19240049682365132</v>
      </c>
      <c r="L106" s="3">
        <f t="shared" si="24"/>
        <v>0.61782288922467554</v>
      </c>
      <c r="M106" s="56">
        <f t="shared" si="25"/>
        <v>0.3821771107753244</v>
      </c>
      <c r="O106" s="2">
        <v>53436</v>
      </c>
      <c r="R106" s="2">
        <v>49192</v>
      </c>
      <c r="S106" s="36"/>
    </row>
    <row r="107" spans="1:19" hidden="1" x14ac:dyDescent="0.25">
      <c r="A107" s="54" t="s">
        <v>7</v>
      </c>
      <c r="B107" s="1">
        <v>45030</v>
      </c>
      <c r="C107" s="36">
        <f t="shared" si="18"/>
        <v>29405.600000000002</v>
      </c>
      <c r="D107" s="2">
        <v>23306</v>
      </c>
      <c r="E107" s="36">
        <f t="shared" si="19"/>
        <v>38780</v>
      </c>
      <c r="F107" s="2">
        <v>17318</v>
      </c>
      <c r="G107" s="2">
        <f t="shared" si="16"/>
        <v>108809.60000000001</v>
      </c>
      <c r="H107" s="3">
        <f t="shared" si="20"/>
        <v>0.27024821339293592</v>
      </c>
      <c r="I107" s="3">
        <f t="shared" si="21"/>
        <v>0.35640237626091814</v>
      </c>
      <c r="J107" s="3">
        <f t="shared" si="22"/>
        <v>0.21419065964767814</v>
      </c>
      <c r="K107" s="3">
        <f t="shared" si="23"/>
        <v>0.15915875069846777</v>
      </c>
      <c r="L107" s="3">
        <f t="shared" si="24"/>
        <v>0.62665058965385412</v>
      </c>
      <c r="M107" s="56">
        <f t="shared" si="25"/>
        <v>0.37334941034614588</v>
      </c>
      <c r="O107" s="2">
        <v>59804</v>
      </c>
      <c r="R107" s="2">
        <v>44221</v>
      </c>
      <c r="S107" s="36"/>
    </row>
    <row r="108" spans="1:19" hidden="1" x14ac:dyDescent="0.25">
      <c r="A108" s="54" t="s">
        <v>30</v>
      </c>
      <c r="B108" s="1">
        <v>45031</v>
      </c>
      <c r="C108" s="36">
        <f t="shared" si="18"/>
        <v>37647.200000000004</v>
      </c>
      <c r="D108" s="2">
        <v>25428</v>
      </c>
      <c r="E108" s="36">
        <f t="shared" si="19"/>
        <v>34512</v>
      </c>
      <c r="F108" s="2">
        <v>19123</v>
      </c>
      <c r="G108" s="2">
        <f t="shared" si="16"/>
        <v>116710.20000000001</v>
      </c>
      <c r="H108" s="3">
        <f t="shared" si="20"/>
        <v>0.32256992105231591</v>
      </c>
      <c r="I108" s="3">
        <f t="shared" si="21"/>
        <v>0.29570680197617688</v>
      </c>
      <c r="J108" s="3">
        <f t="shared" si="22"/>
        <v>0.21787298796506216</v>
      </c>
      <c r="K108" s="3">
        <f t="shared" si="23"/>
        <v>0.16385028900644499</v>
      </c>
      <c r="L108" s="3">
        <f t="shared" si="24"/>
        <v>0.61827672302849279</v>
      </c>
      <c r="M108" s="56">
        <f t="shared" si="25"/>
        <v>0.38172327697150715</v>
      </c>
      <c r="O108" s="2">
        <v>47206</v>
      </c>
      <c r="Q108" t="e" cm="1">
        <f t="array" ref="Q108">ave</f>
        <v>#NAME?</v>
      </c>
      <c r="R108" s="2">
        <v>31837</v>
      </c>
      <c r="S108" s="36"/>
    </row>
    <row r="109" spans="1:19" hidden="1" x14ac:dyDescent="0.25">
      <c r="A109" s="54" t="s">
        <v>31</v>
      </c>
      <c r="B109" s="1">
        <v>45032</v>
      </c>
      <c r="C109" s="36">
        <f t="shared" si="18"/>
        <v>33143.200000000004</v>
      </c>
      <c r="D109" s="2">
        <v>27553</v>
      </c>
      <c r="E109" s="36">
        <f t="shared" si="19"/>
        <v>32310.400000000001</v>
      </c>
      <c r="F109" s="2">
        <v>20730</v>
      </c>
      <c r="G109" s="2">
        <f t="shared" si="16"/>
        <v>113736.6</v>
      </c>
      <c r="H109" s="3">
        <f t="shared" si="20"/>
        <v>0.29140311913667194</v>
      </c>
      <c r="I109" s="3">
        <f t="shared" si="21"/>
        <v>0.28408093788630923</v>
      </c>
      <c r="J109" s="3">
        <f t="shared" si="22"/>
        <v>0.24225271372627633</v>
      </c>
      <c r="K109" s="3">
        <f t="shared" si="23"/>
        <v>0.18226322925074251</v>
      </c>
      <c r="L109" s="3">
        <f t="shared" si="24"/>
        <v>0.57548405702298122</v>
      </c>
      <c r="M109" s="56">
        <f t="shared" si="25"/>
        <v>0.42451594297701883</v>
      </c>
      <c r="O109" s="2">
        <v>40916</v>
      </c>
      <c r="Q109" s="5">
        <f>AVERAGE(K4:K942)</f>
        <v>0.17045092664471453</v>
      </c>
      <c r="R109" s="2">
        <v>33872</v>
      </c>
      <c r="S109" s="36"/>
    </row>
    <row r="110" spans="1:19" hidden="1" x14ac:dyDescent="0.25">
      <c r="A110" s="54" t="s">
        <v>129</v>
      </c>
      <c r="B110" s="1">
        <v>45033</v>
      </c>
      <c r="C110" s="36">
        <f t="shared" si="18"/>
        <v>32760.800000000003</v>
      </c>
      <c r="D110" s="2">
        <v>23935</v>
      </c>
      <c r="E110" s="36">
        <f t="shared" si="19"/>
        <v>32598.400000000001</v>
      </c>
      <c r="F110" s="2">
        <v>12673</v>
      </c>
      <c r="G110" s="2">
        <f t="shared" si="16"/>
        <v>101967.20000000001</v>
      </c>
      <c r="H110" s="3">
        <f t="shared" si="20"/>
        <v>0.32128762974760511</v>
      </c>
      <c r="I110" s="3">
        <f t="shared" si="21"/>
        <v>0.31969496073247083</v>
      </c>
      <c r="J110" s="3">
        <f t="shared" si="22"/>
        <v>0.23473234530319551</v>
      </c>
      <c r="K110" s="3">
        <f t="shared" si="23"/>
        <v>0.1242850642167285</v>
      </c>
      <c r="L110" s="3">
        <f t="shared" si="24"/>
        <v>0.64098259048007589</v>
      </c>
      <c r="M110" s="56">
        <f t="shared" si="25"/>
        <v>0.359017409519924</v>
      </c>
      <c r="O110" s="2">
        <v>41887</v>
      </c>
      <c r="R110" s="2">
        <v>25849</v>
      </c>
      <c r="S110" s="36"/>
    </row>
    <row r="111" spans="1:19" hidden="1" x14ac:dyDescent="0.25">
      <c r="A111" s="54" t="s">
        <v>14</v>
      </c>
      <c r="B111" s="1">
        <v>45034</v>
      </c>
      <c r="C111" s="36">
        <f t="shared" si="18"/>
        <v>37392</v>
      </c>
      <c r="D111" s="2">
        <v>12452</v>
      </c>
      <c r="E111" s="36">
        <f t="shared" si="19"/>
        <v>23709.600000000002</v>
      </c>
      <c r="F111" s="2">
        <v>17011</v>
      </c>
      <c r="G111" s="2">
        <f t="shared" si="16"/>
        <v>90564.6</v>
      </c>
      <c r="H111" s="3">
        <f t="shared" si="20"/>
        <v>0.4128765544153013</v>
      </c>
      <c r="I111" s="3">
        <f t="shared" si="21"/>
        <v>0.26179765603778959</v>
      </c>
      <c r="J111" s="3">
        <f t="shared" si="22"/>
        <v>0.13749301603496289</v>
      </c>
      <c r="K111" s="3">
        <f t="shared" si="23"/>
        <v>0.18783277351194616</v>
      </c>
      <c r="L111" s="3">
        <f t="shared" si="24"/>
        <v>0.67467421045309095</v>
      </c>
      <c r="M111" s="56">
        <f t="shared" si="25"/>
        <v>0.32532578954690905</v>
      </c>
      <c r="O111" s="2">
        <v>38449</v>
      </c>
      <c r="R111" s="2">
        <v>46916</v>
      </c>
      <c r="S111" s="36"/>
    </row>
    <row r="112" spans="1:19" hidden="1" x14ac:dyDescent="0.25">
      <c r="A112" s="54" t="s">
        <v>21</v>
      </c>
      <c r="B112" s="1">
        <v>45035</v>
      </c>
      <c r="C112" s="36">
        <f t="shared" si="18"/>
        <v>30503.200000000001</v>
      </c>
      <c r="D112" s="2">
        <v>13003</v>
      </c>
      <c r="E112" s="36">
        <f t="shared" si="19"/>
        <v>31932.800000000003</v>
      </c>
      <c r="F112" s="2">
        <v>18273</v>
      </c>
      <c r="G112" s="2">
        <f t="shared" si="16"/>
        <v>93712</v>
      </c>
      <c r="H112" s="3">
        <f t="shared" si="20"/>
        <v>0.32549940242444936</v>
      </c>
      <c r="I112" s="3">
        <f t="shared" si="21"/>
        <v>0.34075465255250131</v>
      </c>
      <c r="J112" s="3">
        <f t="shared" si="22"/>
        <v>0.13875490865630868</v>
      </c>
      <c r="K112" s="3">
        <f t="shared" si="23"/>
        <v>0.19499103636674064</v>
      </c>
      <c r="L112" s="3">
        <f t="shared" si="24"/>
        <v>0.66625405497695067</v>
      </c>
      <c r="M112" s="56">
        <f t="shared" si="25"/>
        <v>0.33374594502304933</v>
      </c>
      <c r="O112" s="2">
        <v>55782</v>
      </c>
      <c r="R112" s="2">
        <v>42002</v>
      </c>
      <c r="S112" s="36"/>
    </row>
    <row r="113" spans="1:19" x14ac:dyDescent="0.25">
      <c r="A113" s="54" t="s">
        <v>26</v>
      </c>
      <c r="B113" s="1">
        <v>45036</v>
      </c>
      <c r="C113" s="36">
        <f t="shared" si="18"/>
        <v>28380.800000000003</v>
      </c>
      <c r="D113" s="2">
        <v>15233</v>
      </c>
      <c r="E113" s="36">
        <f t="shared" si="19"/>
        <v>27672.800000000003</v>
      </c>
      <c r="F113" s="2">
        <v>12168</v>
      </c>
      <c r="G113" s="2">
        <f t="shared" si="16"/>
        <v>83454.600000000006</v>
      </c>
      <c r="H113" s="3">
        <f t="shared" si="20"/>
        <v>0.3400747232627081</v>
      </c>
      <c r="I113" s="3">
        <f t="shared" si="21"/>
        <v>0.33159106867686144</v>
      </c>
      <c r="J113" s="3">
        <f t="shared" si="22"/>
        <v>0.18253038178842149</v>
      </c>
      <c r="K113" s="3">
        <f t="shared" si="23"/>
        <v>0.14580382627200897</v>
      </c>
      <c r="L113" s="3">
        <f t="shared" si="24"/>
        <v>0.67166579193956955</v>
      </c>
      <c r="M113" s="56">
        <f t="shared" si="25"/>
        <v>0.32833420806043045</v>
      </c>
      <c r="O113" s="2">
        <v>36641</v>
      </c>
      <c r="R113" s="2">
        <v>55754</v>
      </c>
      <c r="S113" s="36"/>
    </row>
    <row r="114" spans="1:19" hidden="1" x14ac:dyDescent="0.25">
      <c r="A114" s="54" t="s">
        <v>7</v>
      </c>
      <c r="B114" s="1">
        <v>45037</v>
      </c>
      <c r="C114" s="36">
        <f t="shared" si="18"/>
        <v>41799.200000000004</v>
      </c>
      <c r="D114" s="2">
        <v>14810</v>
      </c>
      <c r="E114" s="36">
        <f t="shared" si="19"/>
        <v>35781.599999999999</v>
      </c>
      <c r="F114" s="2">
        <v>16541</v>
      </c>
      <c r="G114" s="2">
        <f t="shared" si="16"/>
        <v>108931.8</v>
      </c>
      <c r="H114" s="3">
        <f t="shared" si="20"/>
        <v>0.38371898747656796</v>
      </c>
      <c r="I114" s="3">
        <f t="shared" si="21"/>
        <v>0.32847708382676133</v>
      </c>
      <c r="J114" s="3">
        <f t="shared" si="22"/>
        <v>0.13595662607246001</v>
      </c>
      <c r="K114" s="3">
        <f t="shared" si="23"/>
        <v>0.15184730262421073</v>
      </c>
      <c r="L114" s="3">
        <f t="shared" si="24"/>
        <v>0.71219607130332929</v>
      </c>
      <c r="M114" s="56">
        <f t="shared" si="25"/>
        <v>0.28780392869667076</v>
      </c>
      <c r="O114" s="2">
        <v>63240</v>
      </c>
      <c r="R114" s="2">
        <v>37540</v>
      </c>
      <c r="S114" s="36"/>
    </row>
    <row r="115" spans="1:19" hidden="1" x14ac:dyDescent="0.25">
      <c r="A115" s="54" t="s">
        <v>30</v>
      </c>
      <c r="B115" s="1">
        <v>45038</v>
      </c>
      <c r="C115" s="36">
        <f t="shared" si="18"/>
        <v>47940.800000000003</v>
      </c>
      <c r="D115" s="2">
        <v>20933</v>
      </c>
      <c r="E115" s="36">
        <f t="shared" si="19"/>
        <v>41848.800000000003</v>
      </c>
      <c r="F115" s="2">
        <v>21496</v>
      </c>
      <c r="G115" s="2">
        <f t="shared" si="16"/>
        <v>132218.6</v>
      </c>
      <c r="H115" s="3">
        <f t="shared" si="20"/>
        <v>0.36258741205851525</v>
      </c>
      <c r="I115" s="3">
        <f t="shared" si="21"/>
        <v>0.31651220025019172</v>
      </c>
      <c r="J115" s="3">
        <f t="shared" si="22"/>
        <v>0.15832114392377472</v>
      </c>
      <c r="K115" s="3">
        <f t="shared" si="23"/>
        <v>0.16257924376751834</v>
      </c>
      <c r="L115" s="3">
        <f t="shared" si="24"/>
        <v>0.67909961230870697</v>
      </c>
      <c r="M115" s="56">
        <f t="shared" si="25"/>
        <v>0.32090038769129303</v>
      </c>
      <c r="O115" s="2">
        <v>62750</v>
      </c>
      <c r="R115" s="2">
        <v>37370</v>
      </c>
      <c r="S115" s="36"/>
    </row>
    <row r="116" spans="1:19" hidden="1" x14ac:dyDescent="0.25">
      <c r="A116" s="54" t="s">
        <v>31</v>
      </c>
      <c r="B116" s="1">
        <v>45039</v>
      </c>
      <c r="C116" s="36">
        <f t="shared" si="18"/>
        <v>45149.600000000006</v>
      </c>
      <c r="D116" s="2">
        <v>24973</v>
      </c>
      <c r="E116" s="36">
        <f t="shared" si="19"/>
        <v>30972.800000000003</v>
      </c>
      <c r="F116" s="2">
        <v>19513</v>
      </c>
      <c r="G116" s="2">
        <f t="shared" si="16"/>
        <v>120608.40000000001</v>
      </c>
      <c r="H116" s="3">
        <f t="shared" si="20"/>
        <v>0.37434871866304503</v>
      </c>
      <c r="I116" s="3">
        <f t="shared" si="21"/>
        <v>0.25680466700495158</v>
      </c>
      <c r="J116" s="3">
        <f t="shared" si="22"/>
        <v>0.2070585465025653</v>
      </c>
      <c r="K116" s="3">
        <f t="shared" si="23"/>
        <v>0.16178806782943808</v>
      </c>
      <c r="L116" s="3">
        <f t="shared" si="24"/>
        <v>0.63115338566799661</v>
      </c>
      <c r="M116" s="56">
        <f t="shared" si="25"/>
        <v>0.36884661433200339</v>
      </c>
      <c r="O116" s="2">
        <v>38985</v>
      </c>
      <c r="R116" s="2">
        <v>36968</v>
      </c>
      <c r="S116" s="36"/>
    </row>
    <row r="117" spans="1:19" hidden="1" x14ac:dyDescent="0.25">
      <c r="A117" s="54" t="s">
        <v>129</v>
      </c>
      <c r="B117" s="1">
        <v>45040</v>
      </c>
      <c r="C117" s="36">
        <f t="shared" si="18"/>
        <v>46826.400000000001</v>
      </c>
      <c r="D117" s="2">
        <v>26593</v>
      </c>
      <c r="E117" s="36">
        <f t="shared" si="19"/>
        <v>39697.600000000006</v>
      </c>
      <c r="F117" s="2">
        <v>12764</v>
      </c>
      <c r="G117" s="2">
        <f t="shared" si="16"/>
        <v>125881</v>
      </c>
      <c r="H117" s="3">
        <f t="shared" si="20"/>
        <v>0.37198941857786322</v>
      </c>
      <c r="I117" s="3">
        <f t="shared" si="21"/>
        <v>0.31535815571849607</v>
      </c>
      <c r="J117" s="3">
        <f t="shared" si="22"/>
        <v>0.21125507423677917</v>
      </c>
      <c r="K117" s="3">
        <f t="shared" si="23"/>
        <v>0.10139735146686156</v>
      </c>
      <c r="L117" s="3">
        <f t="shared" si="24"/>
        <v>0.68734757429635929</v>
      </c>
      <c r="M117" s="56">
        <f t="shared" si="25"/>
        <v>0.31265242570364071</v>
      </c>
      <c r="O117" s="2">
        <v>35173</v>
      </c>
      <c r="R117" s="2">
        <v>33425</v>
      </c>
      <c r="S117" s="36"/>
    </row>
    <row r="118" spans="1:19" hidden="1" x14ac:dyDescent="0.25">
      <c r="A118" s="54" t="s">
        <v>14</v>
      </c>
      <c r="B118" s="1">
        <v>45041</v>
      </c>
      <c r="C118" s="36">
        <f t="shared" si="18"/>
        <v>42525.600000000006</v>
      </c>
      <c r="D118" s="2">
        <v>17064</v>
      </c>
      <c r="E118" s="36">
        <f t="shared" si="19"/>
        <v>25424.800000000003</v>
      </c>
      <c r="F118" s="2">
        <v>17545</v>
      </c>
      <c r="G118" s="2">
        <f t="shared" si="16"/>
        <v>102559.40000000001</v>
      </c>
      <c r="H118" s="3">
        <f t="shared" si="20"/>
        <v>0.41464361140958317</v>
      </c>
      <c r="I118" s="3">
        <f t="shared" si="21"/>
        <v>0.24790316636017762</v>
      </c>
      <c r="J118" s="3">
        <f t="shared" si="22"/>
        <v>0.16638162859767119</v>
      </c>
      <c r="K118" s="3">
        <f t="shared" si="23"/>
        <v>0.17107159363256805</v>
      </c>
      <c r="L118" s="3">
        <f t="shared" si="24"/>
        <v>0.66254677776976079</v>
      </c>
      <c r="M118" s="56">
        <f t="shared" si="25"/>
        <v>0.33745322223023921</v>
      </c>
      <c r="O118" s="2">
        <v>38612</v>
      </c>
      <c r="R118" s="2">
        <v>20764</v>
      </c>
      <c r="S118" s="36"/>
    </row>
    <row r="119" spans="1:19" hidden="1" x14ac:dyDescent="0.25">
      <c r="A119" s="54" t="s">
        <v>21</v>
      </c>
      <c r="B119" s="1">
        <v>45042</v>
      </c>
      <c r="C119" s="36">
        <f t="shared" si="18"/>
        <v>32416.800000000003</v>
      </c>
      <c r="D119" s="2">
        <v>10802</v>
      </c>
      <c r="E119" s="36">
        <f t="shared" si="19"/>
        <v>32746.400000000001</v>
      </c>
      <c r="F119" s="2">
        <v>17677</v>
      </c>
      <c r="G119" s="2">
        <f t="shared" si="16"/>
        <v>93642.200000000012</v>
      </c>
      <c r="H119" s="3">
        <f t="shared" si="20"/>
        <v>0.34617725768937507</v>
      </c>
      <c r="I119" s="3">
        <f t="shared" si="21"/>
        <v>0.34969703830110782</v>
      </c>
      <c r="J119" s="3">
        <f t="shared" si="22"/>
        <v>0.11535397502408101</v>
      </c>
      <c r="K119" s="3">
        <f t="shared" si="23"/>
        <v>0.18877172898543604</v>
      </c>
      <c r="L119" s="3">
        <f t="shared" si="24"/>
        <v>0.69587429599048289</v>
      </c>
      <c r="M119" s="56">
        <f t="shared" si="25"/>
        <v>0.30412570400951705</v>
      </c>
      <c r="O119" s="2">
        <v>40944</v>
      </c>
      <c r="R119" s="2">
        <v>61809</v>
      </c>
      <c r="S119" s="36"/>
    </row>
    <row r="120" spans="1:19" x14ac:dyDescent="0.25">
      <c r="A120" s="54" t="s">
        <v>26</v>
      </c>
      <c r="B120" s="1">
        <v>45043</v>
      </c>
      <c r="C120" s="36">
        <f t="shared" si="18"/>
        <v>22518.400000000001</v>
      </c>
      <c r="D120" s="2">
        <v>16607</v>
      </c>
      <c r="E120" s="36">
        <f t="shared" si="19"/>
        <v>23911.200000000001</v>
      </c>
      <c r="F120" s="2">
        <v>10399</v>
      </c>
      <c r="G120" s="2">
        <f t="shared" si="16"/>
        <v>73435.600000000006</v>
      </c>
      <c r="H120" s="3">
        <f t="shared" si="20"/>
        <v>0.30664146544727627</v>
      </c>
      <c r="I120" s="3">
        <f t="shared" si="21"/>
        <v>0.32560774338331816</v>
      </c>
      <c r="J120" s="3">
        <f t="shared" si="22"/>
        <v>0.22614372320781745</v>
      </c>
      <c r="K120" s="3">
        <f t="shared" si="23"/>
        <v>0.14160706796158809</v>
      </c>
      <c r="L120" s="3">
        <f t="shared" si="24"/>
        <v>0.63224920883059443</v>
      </c>
      <c r="M120" s="56">
        <f t="shared" si="25"/>
        <v>0.36775079116940557</v>
      </c>
      <c r="O120" s="2">
        <v>44323</v>
      </c>
      <c r="R120" s="2">
        <v>36284</v>
      </c>
      <c r="S120" s="36"/>
    </row>
    <row r="121" spans="1:19" hidden="1" x14ac:dyDescent="0.25">
      <c r="A121" s="54" t="s">
        <v>7</v>
      </c>
      <c r="B121" s="1">
        <v>45044</v>
      </c>
      <c r="C121" s="36">
        <f t="shared" si="18"/>
        <v>32220.800000000003</v>
      </c>
      <c r="D121" s="2">
        <v>15414</v>
      </c>
      <c r="E121" s="36">
        <f t="shared" si="19"/>
        <v>27268.800000000003</v>
      </c>
      <c r="F121" s="2">
        <v>15409</v>
      </c>
      <c r="G121" s="2">
        <f t="shared" si="16"/>
        <v>90312.6</v>
      </c>
      <c r="H121" s="3">
        <f t="shared" si="20"/>
        <v>0.35676970876710451</v>
      </c>
      <c r="I121" s="3">
        <f t="shared" si="21"/>
        <v>0.30193793557045195</v>
      </c>
      <c r="J121" s="3">
        <f t="shared" si="22"/>
        <v>0.17067385946147048</v>
      </c>
      <c r="K121" s="3">
        <f t="shared" si="23"/>
        <v>0.17061849620097305</v>
      </c>
      <c r="L121" s="3">
        <f t="shared" si="24"/>
        <v>0.65870764433755646</v>
      </c>
      <c r="M121" s="56">
        <f t="shared" si="25"/>
        <v>0.34129235566244354</v>
      </c>
      <c r="O121" s="2">
        <v>42275</v>
      </c>
      <c r="R121" s="2">
        <v>46776</v>
      </c>
      <c r="S121" s="36"/>
    </row>
    <row r="122" spans="1:19" hidden="1" x14ac:dyDescent="0.25">
      <c r="A122" s="54" t="s">
        <v>30</v>
      </c>
      <c r="B122" s="1">
        <v>45045</v>
      </c>
      <c r="C122" s="36">
        <f t="shared" si="18"/>
        <v>35113.599999999999</v>
      </c>
      <c r="D122" s="2">
        <v>28925</v>
      </c>
      <c r="E122" s="36">
        <f t="shared" si="19"/>
        <v>36195.200000000004</v>
      </c>
      <c r="F122" s="2">
        <v>16847</v>
      </c>
      <c r="G122" s="2">
        <f t="shared" si="16"/>
        <v>117080.8</v>
      </c>
      <c r="H122" s="3">
        <f t="shared" si="20"/>
        <v>0.29990912258884461</v>
      </c>
      <c r="I122" s="3">
        <f t="shared" si="21"/>
        <v>0.30914718724163143</v>
      </c>
      <c r="J122" s="3">
        <f t="shared" si="22"/>
        <v>0.24705160880349297</v>
      </c>
      <c r="K122" s="3">
        <f t="shared" si="23"/>
        <v>0.14389208136603099</v>
      </c>
      <c r="L122" s="3">
        <f t="shared" si="24"/>
        <v>0.60905630983047609</v>
      </c>
      <c r="M122" s="56">
        <f t="shared" si="25"/>
        <v>0.39094369016952396</v>
      </c>
      <c r="O122" s="2">
        <v>33448</v>
      </c>
      <c r="R122" s="2">
        <v>23842</v>
      </c>
      <c r="S122" s="36"/>
    </row>
    <row r="123" spans="1:19" hidden="1" x14ac:dyDescent="0.25">
      <c r="A123" s="54" t="s">
        <v>31</v>
      </c>
      <c r="B123" s="1">
        <v>45046</v>
      </c>
      <c r="C123" s="36">
        <f t="shared" si="18"/>
        <v>31581.600000000002</v>
      </c>
      <c r="D123" s="2">
        <v>20913</v>
      </c>
      <c r="E123" s="36">
        <f t="shared" si="19"/>
        <v>44766.400000000001</v>
      </c>
      <c r="F123" s="2">
        <v>18175</v>
      </c>
      <c r="G123" s="2">
        <f t="shared" si="16"/>
        <v>115436</v>
      </c>
      <c r="H123" s="3">
        <f t="shared" si="20"/>
        <v>0.27358536331820232</v>
      </c>
      <c r="I123" s="3">
        <f t="shared" si="21"/>
        <v>0.38780276516857826</v>
      </c>
      <c r="J123" s="3">
        <f t="shared" si="22"/>
        <v>0.1811653210436952</v>
      </c>
      <c r="K123" s="3">
        <f t="shared" si="23"/>
        <v>0.15744655046952424</v>
      </c>
      <c r="L123" s="3">
        <f t="shared" si="24"/>
        <v>0.66138812848678052</v>
      </c>
      <c r="M123" s="56">
        <f t="shared" si="25"/>
        <v>0.33861187151321942</v>
      </c>
      <c r="O123" s="2">
        <v>25397</v>
      </c>
      <c r="R123" s="2">
        <v>38977</v>
      </c>
      <c r="S123" s="36"/>
    </row>
    <row r="124" spans="1:19" hidden="1" x14ac:dyDescent="0.25">
      <c r="A124" s="54" t="s">
        <v>129</v>
      </c>
      <c r="B124" s="1">
        <v>45047</v>
      </c>
      <c r="C124" s="36">
        <f t="shared" si="18"/>
        <v>52007.200000000004</v>
      </c>
      <c r="D124" s="2">
        <v>23141</v>
      </c>
      <c r="E124" s="36">
        <f t="shared" si="19"/>
        <v>40820</v>
      </c>
      <c r="F124" s="2">
        <v>19605</v>
      </c>
      <c r="G124" s="2">
        <f t="shared" si="16"/>
        <v>135573.20000000001</v>
      </c>
      <c r="H124" s="3">
        <f t="shared" si="20"/>
        <v>0.38360973997810777</v>
      </c>
      <c r="I124" s="3">
        <f t="shared" si="21"/>
        <v>0.30109195622733692</v>
      </c>
      <c r="J124" s="3">
        <f t="shared" si="22"/>
        <v>0.17069007738992661</v>
      </c>
      <c r="K124" s="3">
        <f t="shared" si="23"/>
        <v>0.14460822640462864</v>
      </c>
      <c r="L124" s="3">
        <f t="shared" si="24"/>
        <v>0.68470169620544474</v>
      </c>
      <c r="M124" s="56">
        <f t="shared" si="25"/>
        <v>0.31529830379455526</v>
      </c>
      <c r="O124" s="2">
        <v>32763</v>
      </c>
      <c r="R124" s="2">
        <v>27467</v>
      </c>
      <c r="S124" s="36"/>
    </row>
    <row r="125" spans="1:19" hidden="1" x14ac:dyDescent="0.25">
      <c r="A125" s="54" t="s">
        <v>14</v>
      </c>
      <c r="B125" s="1">
        <v>45048</v>
      </c>
      <c r="C125" s="36">
        <f t="shared" si="18"/>
        <v>66388</v>
      </c>
      <c r="D125" s="2">
        <v>20526</v>
      </c>
      <c r="E125" s="36">
        <f t="shared" si="19"/>
        <v>28599.200000000001</v>
      </c>
      <c r="F125" s="2">
        <v>22034</v>
      </c>
      <c r="G125" s="2">
        <f t="shared" si="16"/>
        <v>137547.20000000001</v>
      </c>
      <c r="H125" s="3">
        <f t="shared" si="20"/>
        <v>0.48265613549385228</v>
      </c>
      <c r="I125" s="3">
        <f t="shared" si="21"/>
        <v>0.20792280758895854</v>
      </c>
      <c r="J125" s="3">
        <f t="shared" si="22"/>
        <v>0.14922877383181918</v>
      </c>
      <c r="K125" s="3">
        <f t="shared" si="23"/>
        <v>0.16019228308536995</v>
      </c>
      <c r="L125" s="3">
        <f t="shared" si="24"/>
        <v>0.69057894308281076</v>
      </c>
      <c r="M125" s="56">
        <f t="shared" si="25"/>
        <v>0.30942105691718913</v>
      </c>
      <c r="O125" s="2">
        <v>30258</v>
      </c>
      <c r="R125" s="2">
        <v>38735</v>
      </c>
      <c r="S125" s="36"/>
    </row>
    <row r="126" spans="1:19" hidden="1" x14ac:dyDescent="0.25">
      <c r="A126" s="54" t="s">
        <v>21</v>
      </c>
      <c r="B126" s="1">
        <v>45049</v>
      </c>
      <c r="C126" s="36">
        <f t="shared" si="18"/>
        <v>36326.400000000001</v>
      </c>
      <c r="D126" s="2">
        <v>14219</v>
      </c>
      <c r="E126" s="36">
        <f t="shared" si="19"/>
        <v>30727.200000000001</v>
      </c>
      <c r="F126" s="2">
        <v>17147</v>
      </c>
      <c r="G126" s="2">
        <f t="shared" si="16"/>
        <v>98419.6</v>
      </c>
      <c r="H126" s="3">
        <f t="shared" si="20"/>
        <v>0.36909721234388271</v>
      </c>
      <c r="I126" s="3">
        <f t="shared" si="21"/>
        <v>0.3122061052879711</v>
      </c>
      <c r="J126" s="3">
        <f t="shared" si="22"/>
        <v>0.14447325532719091</v>
      </c>
      <c r="K126" s="3">
        <f t="shared" si="23"/>
        <v>0.17422342704095525</v>
      </c>
      <c r="L126" s="3">
        <f t="shared" si="24"/>
        <v>0.68130331763185381</v>
      </c>
      <c r="M126" s="56">
        <f t="shared" si="25"/>
        <v>0.31869668236814619</v>
      </c>
      <c r="O126" s="2">
        <v>37791</v>
      </c>
      <c r="R126" s="2">
        <v>41821</v>
      </c>
      <c r="S126" s="36"/>
    </row>
    <row r="127" spans="1:19" x14ac:dyDescent="0.25">
      <c r="A127" s="54" t="s">
        <v>26</v>
      </c>
      <c r="B127" s="1">
        <v>45050</v>
      </c>
      <c r="C127" s="36">
        <f t="shared" si="18"/>
        <v>21564.800000000003</v>
      </c>
      <c r="D127" s="2">
        <v>15735</v>
      </c>
      <c r="E127" s="36">
        <f t="shared" si="19"/>
        <v>20620</v>
      </c>
      <c r="F127" s="2">
        <v>11724</v>
      </c>
      <c r="G127" s="2">
        <f t="shared" si="16"/>
        <v>69643.8</v>
      </c>
      <c r="H127" s="3">
        <f t="shared" si="20"/>
        <v>0.30964421815007226</v>
      </c>
      <c r="I127" s="3">
        <f t="shared" si="21"/>
        <v>0.29607804284085587</v>
      </c>
      <c r="J127" s="3">
        <f t="shared" si="22"/>
        <v>0.22593540272070162</v>
      </c>
      <c r="K127" s="3">
        <f t="shared" si="23"/>
        <v>0.16834233628837025</v>
      </c>
      <c r="L127" s="3">
        <f t="shared" si="24"/>
        <v>0.60572226099092819</v>
      </c>
      <c r="M127" s="56">
        <f t="shared" si="25"/>
        <v>0.39427773900907187</v>
      </c>
      <c r="O127" s="2">
        <v>42199</v>
      </c>
      <c r="R127" s="2">
        <v>23364</v>
      </c>
      <c r="S127" s="36"/>
    </row>
    <row r="128" spans="1:19" hidden="1" x14ac:dyDescent="0.25">
      <c r="A128" s="54" t="s">
        <v>7</v>
      </c>
      <c r="B128" s="1">
        <v>45051</v>
      </c>
      <c r="C128" s="36">
        <f t="shared" si="18"/>
        <v>43215.200000000004</v>
      </c>
      <c r="D128" s="2">
        <v>19606</v>
      </c>
      <c r="E128" s="36">
        <f t="shared" si="19"/>
        <v>29204.800000000003</v>
      </c>
      <c r="F128" s="2">
        <v>11723</v>
      </c>
      <c r="G128" s="2">
        <f t="shared" si="16"/>
        <v>103749</v>
      </c>
      <c r="H128" s="3">
        <f t="shared" si="20"/>
        <v>0.41653606299819762</v>
      </c>
      <c r="I128" s="3">
        <f t="shared" si="21"/>
        <v>0.28149476139529056</v>
      </c>
      <c r="J128" s="3">
        <f t="shared" si="22"/>
        <v>0.18897531542472698</v>
      </c>
      <c r="K128" s="3">
        <f t="shared" si="23"/>
        <v>0.11299386018178488</v>
      </c>
      <c r="L128" s="3">
        <f t="shared" si="24"/>
        <v>0.69803082439348818</v>
      </c>
      <c r="M128" s="56">
        <f t="shared" si="25"/>
        <v>0.30196917560651187</v>
      </c>
      <c r="O128" s="2">
        <v>39769</v>
      </c>
      <c r="R128" s="2">
        <v>43561</v>
      </c>
      <c r="S128" s="36"/>
    </row>
    <row r="129" spans="1:19" hidden="1" x14ac:dyDescent="0.25">
      <c r="A129" s="54" t="s">
        <v>30</v>
      </c>
      <c r="B129" s="1">
        <v>45052</v>
      </c>
      <c r="C129" s="36">
        <f t="shared" si="18"/>
        <v>32904</v>
      </c>
      <c r="D129" s="2">
        <v>27018</v>
      </c>
      <c r="E129" s="36">
        <f t="shared" si="19"/>
        <v>37400.800000000003</v>
      </c>
      <c r="F129" s="2">
        <v>14160</v>
      </c>
      <c r="G129" s="2">
        <f t="shared" si="16"/>
        <v>111482.8</v>
      </c>
      <c r="H129" s="3">
        <f t="shared" si="20"/>
        <v>0.29514866867355322</v>
      </c>
      <c r="I129" s="3">
        <f t="shared" si="21"/>
        <v>0.33548493579278599</v>
      </c>
      <c r="J129" s="3">
        <f t="shared" si="22"/>
        <v>0.24235128647647888</v>
      </c>
      <c r="K129" s="3">
        <f t="shared" si="23"/>
        <v>0.12701510905718191</v>
      </c>
      <c r="L129" s="3">
        <f t="shared" si="24"/>
        <v>0.6306336044663392</v>
      </c>
      <c r="M129" s="56">
        <f t="shared" si="25"/>
        <v>0.3693663955336608</v>
      </c>
      <c r="O129" s="2">
        <v>37885</v>
      </c>
      <c r="R129" s="2">
        <v>26342</v>
      </c>
      <c r="S129" s="36"/>
    </row>
    <row r="130" spans="1:19" hidden="1" x14ac:dyDescent="0.25">
      <c r="A130" s="54" t="s">
        <v>31</v>
      </c>
      <c r="B130" s="1">
        <v>45053</v>
      </c>
      <c r="C130" s="36">
        <f t="shared" si="18"/>
        <v>28284.800000000003</v>
      </c>
      <c r="D130" s="2">
        <v>22047</v>
      </c>
      <c r="E130" s="36">
        <f t="shared" si="19"/>
        <v>34461.599999999999</v>
      </c>
      <c r="F130" s="2">
        <v>18642</v>
      </c>
      <c r="G130" s="2">
        <f t="shared" si="16"/>
        <v>103435.4</v>
      </c>
      <c r="H130" s="3">
        <f t="shared" si="20"/>
        <v>0.27345376921247466</v>
      </c>
      <c r="I130" s="3">
        <f t="shared" si="21"/>
        <v>0.33317026859276416</v>
      </c>
      <c r="J130" s="3">
        <f t="shared" si="22"/>
        <v>0.21314752976253779</v>
      </c>
      <c r="K130" s="3">
        <f t="shared" si="23"/>
        <v>0.18022843243222342</v>
      </c>
      <c r="L130" s="3">
        <f t="shared" si="24"/>
        <v>0.60662403780523888</v>
      </c>
      <c r="M130" s="56">
        <f t="shared" si="25"/>
        <v>0.39337596219476118</v>
      </c>
      <c r="O130" s="2">
        <v>39560</v>
      </c>
      <c r="R130" s="2">
        <v>17162</v>
      </c>
      <c r="S130" s="36"/>
    </row>
    <row r="131" spans="1:19" hidden="1" x14ac:dyDescent="0.25">
      <c r="A131" s="54" t="s">
        <v>129</v>
      </c>
      <c r="B131" s="1">
        <v>45054</v>
      </c>
      <c r="C131" s="36">
        <f t="shared" si="18"/>
        <v>43305.600000000006</v>
      </c>
      <c r="D131" s="2">
        <v>22147</v>
      </c>
      <c r="E131" s="36">
        <f t="shared" si="19"/>
        <v>45880</v>
      </c>
      <c r="F131" s="2">
        <v>16132</v>
      </c>
      <c r="G131" s="2">
        <f t="shared" si="16"/>
        <v>127464.6</v>
      </c>
      <c r="H131" s="3">
        <f t="shared" si="20"/>
        <v>0.33974609420968649</v>
      </c>
      <c r="I131" s="3">
        <f t="shared" si="21"/>
        <v>0.35994307439085044</v>
      </c>
      <c r="J131" s="3">
        <f t="shared" si="22"/>
        <v>0.17375020201687369</v>
      </c>
      <c r="K131" s="3">
        <f t="shared" si="23"/>
        <v>0.12656062938258936</v>
      </c>
      <c r="L131" s="3">
        <f t="shared" si="24"/>
        <v>0.69968916860053698</v>
      </c>
      <c r="M131" s="56">
        <f t="shared" si="25"/>
        <v>0.30031083139946307</v>
      </c>
      <c r="O131" s="2">
        <v>31840</v>
      </c>
      <c r="R131" s="2">
        <v>26731</v>
      </c>
      <c r="S131" s="36"/>
    </row>
    <row r="132" spans="1:19" hidden="1" x14ac:dyDescent="0.25">
      <c r="A132" s="54" t="s">
        <v>14</v>
      </c>
      <c r="B132" s="1">
        <v>45055</v>
      </c>
      <c r="C132" s="36">
        <f t="shared" si="18"/>
        <v>48117.600000000006</v>
      </c>
      <c r="D132" s="2">
        <v>19396</v>
      </c>
      <c r="E132" s="36">
        <f t="shared" si="19"/>
        <v>35653.599999999999</v>
      </c>
      <c r="F132" s="2">
        <v>14303</v>
      </c>
      <c r="G132" s="2">
        <f t="shared" ref="G132:G195" si="26">SUM(C132:F132)</f>
        <v>117470.20000000001</v>
      </c>
      <c r="H132" s="3">
        <f t="shared" si="20"/>
        <v>0.4096153747929262</v>
      </c>
      <c r="I132" s="3">
        <f t="shared" si="21"/>
        <v>0.30351186939325886</v>
      </c>
      <c r="J132" s="3">
        <f t="shared" si="22"/>
        <v>0.16511421620121527</v>
      </c>
      <c r="K132" s="3">
        <f t="shared" si="23"/>
        <v>0.12175853961259961</v>
      </c>
      <c r="L132" s="3">
        <f t="shared" si="24"/>
        <v>0.71312724418618512</v>
      </c>
      <c r="M132" s="56">
        <f t="shared" si="25"/>
        <v>0.28687275581381488</v>
      </c>
      <c r="O132" s="2">
        <v>36757</v>
      </c>
      <c r="R132" s="2">
        <v>48475</v>
      </c>
      <c r="S132" s="36"/>
    </row>
    <row r="133" spans="1:19" hidden="1" x14ac:dyDescent="0.25">
      <c r="A133" s="54" t="s">
        <v>21</v>
      </c>
      <c r="B133" s="1">
        <v>45056</v>
      </c>
      <c r="C133" s="36">
        <f t="shared" ref="C133:C196" si="27">O158*$P$27</f>
        <v>36210.400000000001</v>
      </c>
      <c r="D133" s="2">
        <v>19561</v>
      </c>
      <c r="E133" s="36">
        <f t="shared" ref="E133:E196" si="28">R158*$P$27</f>
        <v>29026.400000000001</v>
      </c>
      <c r="F133" s="2">
        <v>16388</v>
      </c>
      <c r="G133" s="2">
        <f t="shared" si="26"/>
        <v>101185.8</v>
      </c>
      <c r="H133" s="3">
        <f t="shared" ref="H133:H196" si="29">IFERROR(C133/G133,0)</f>
        <v>0.35786049030595202</v>
      </c>
      <c r="I133" s="3">
        <f t="shared" ref="I133:I196" si="30">IFERROR(E133/G133,0)</f>
        <v>0.2868623858288416</v>
      </c>
      <c r="J133" s="3">
        <f t="shared" ref="J133:J196" si="31">IFERROR(D133/G133,0)</f>
        <v>0.19331763943161984</v>
      </c>
      <c r="K133" s="3">
        <f t="shared" ref="K133:K196" si="32">IFERROR(F133/G133,0)</f>
        <v>0.16195948443358651</v>
      </c>
      <c r="L133" s="3">
        <f t="shared" ref="L133:L196" si="33">IFERROR((C133+E133)/G133, 0)</f>
        <v>0.64472287613479362</v>
      </c>
      <c r="M133" s="56">
        <f t="shared" ref="M133:M196" si="34">IFERROR((D133+F133)/G133, 0)</f>
        <v>0.35527712386520638</v>
      </c>
      <c r="O133" s="2">
        <v>47059</v>
      </c>
      <c r="R133" s="2">
        <v>43140</v>
      </c>
      <c r="S133" s="36"/>
    </row>
    <row r="134" spans="1:19" x14ac:dyDescent="0.25">
      <c r="A134" s="54" t="s">
        <v>26</v>
      </c>
      <c r="B134" s="1">
        <v>45057</v>
      </c>
      <c r="C134" s="36">
        <f t="shared" si="27"/>
        <v>40854.400000000001</v>
      </c>
      <c r="D134" s="2">
        <v>19169</v>
      </c>
      <c r="E134" s="36">
        <f t="shared" si="28"/>
        <v>24416.800000000003</v>
      </c>
      <c r="F134" s="2">
        <v>11708</v>
      </c>
      <c r="G134" s="2">
        <f t="shared" si="26"/>
        <v>96148.200000000012</v>
      </c>
      <c r="H134" s="3">
        <f t="shared" si="29"/>
        <v>0.42491071075693559</v>
      </c>
      <c r="I134" s="3">
        <f t="shared" si="30"/>
        <v>0.25394963192238651</v>
      </c>
      <c r="J134" s="3">
        <f t="shared" si="31"/>
        <v>0.19936930696570501</v>
      </c>
      <c r="K134" s="3">
        <f t="shared" si="32"/>
        <v>0.12177035035497283</v>
      </c>
      <c r="L134" s="3">
        <f t="shared" si="33"/>
        <v>0.67886034267932205</v>
      </c>
      <c r="M134" s="56">
        <f t="shared" si="34"/>
        <v>0.32113965732067784</v>
      </c>
      <c r="O134" s="2">
        <v>41429</v>
      </c>
      <c r="R134" s="2">
        <v>40388</v>
      </c>
      <c r="S134" s="36"/>
    </row>
    <row r="135" spans="1:19" hidden="1" x14ac:dyDescent="0.25">
      <c r="A135" s="54" t="s">
        <v>7</v>
      </c>
      <c r="B135" s="1">
        <v>45058</v>
      </c>
      <c r="C135" s="36">
        <f t="shared" si="27"/>
        <v>45143.200000000004</v>
      </c>
      <c r="D135" s="2">
        <v>22035</v>
      </c>
      <c r="E135" s="36">
        <f t="shared" si="28"/>
        <v>32937.599999999999</v>
      </c>
      <c r="F135" s="2">
        <v>15235</v>
      </c>
      <c r="G135" s="2">
        <f t="shared" si="26"/>
        <v>115350.80000000002</v>
      </c>
      <c r="H135" s="3">
        <f t="shared" si="29"/>
        <v>0.3913557599947291</v>
      </c>
      <c r="I135" s="3">
        <f t="shared" si="30"/>
        <v>0.28554288310094073</v>
      </c>
      <c r="J135" s="3">
        <f t="shared" si="31"/>
        <v>0.19102598334818655</v>
      </c>
      <c r="K135" s="3">
        <f t="shared" si="32"/>
        <v>0.13207537355614349</v>
      </c>
      <c r="L135" s="3">
        <f t="shared" si="33"/>
        <v>0.67689864309566983</v>
      </c>
      <c r="M135" s="56">
        <f t="shared" si="34"/>
        <v>0.32310135690433006</v>
      </c>
      <c r="O135" s="2">
        <v>40951</v>
      </c>
      <c r="R135" s="2">
        <v>40748</v>
      </c>
      <c r="S135" s="36"/>
    </row>
    <row r="136" spans="1:19" hidden="1" x14ac:dyDescent="0.25">
      <c r="A136" s="54" t="s">
        <v>30</v>
      </c>
      <c r="B136" s="1">
        <v>45059</v>
      </c>
      <c r="C136" s="36">
        <f t="shared" si="27"/>
        <v>50271.200000000004</v>
      </c>
      <c r="D136" s="2">
        <v>20251</v>
      </c>
      <c r="E136" s="36">
        <f t="shared" si="28"/>
        <v>32628.800000000003</v>
      </c>
      <c r="F136" s="2">
        <v>17347</v>
      </c>
      <c r="G136" s="2">
        <f t="shared" si="26"/>
        <v>120498.00000000001</v>
      </c>
      <c r="H136" s="3">
        <f t="shared" si="29"/>
        <v>0.41719530614616007</v>
      </c>
      <c r="I136" s="3">
        <f t="shared" si="30"/>
        <v>0.27078291755879763</v>
      </c>
      <c r="J136" s="3">
        <f t="shared" si="31"/>
        <v>0.16806088067851746</v>
      </c>
      <c r="K136" s="3">
        <f t="shared" si="32"/>
        <v>0.14396089561652473</v>
      </c>
      <c r="L136" s="3">
        <f t="shared" si="33"/>
        <v>0.68797822370495765</v>
      </c>
      <c r="M136" s="56">
        <f t="shared" si="34"/>
        <v>0.31202177629504219</v>
      </c>
      <c r="O136" s="2">
        <v>46740</v>
      </c>
      <c r="R136" s="2">
        <v>29637</v>
      </c>
      <c r="S136" s="36"/>
    </row>
    <row r="137" spans="1:19" hidden="1" x14ac:dyDescent="0.25">
      <c r="A137" s="54" t="s">
        <v>31</v>
      </c>
      <c r="B137" s="1">
        <v>45060</v>
      </c>
      <c r="C137" s="36">
        <f t="shared" si="27"/>
        <v>44596.800000000003</v>
      </c>
      <c r="D137" s="2">
        <v>24078</v>
      </c>
      <c r="E137" s="36">
        <f t="shared" si="28"/>
        <v>44730.400000000001</v>
      </c>
      <c r="F137" s="2">
        <v>21821</v>
      </c>
      <c r="G137" s="2">
        <f t="shared" si="26"/>
        <v>135226.20000000001</v>
      </c>
      <c r="H137" s="3">
        <f t="shared" si="29"/>
        <v>0.3297940783664704</v>
      </c>
      <c r="I137" s="3">
        <f t="shared" si="30"/>
        <v>0.33078205259040039</v>
      </c>
      <c r="J137" s="3">
        <f t="shared" si="31"/>
        <v>0.17805721080678152</v>
      </c>
      <c r="K137" s="3">
        <f t="shared" si="32"/>
        <v>0.16136665823634769</v>
      </c>
      <c r="L137" s="3">
        <f t="shared" si="33"/>
        <v>0.66057613095687084</v>
      </c>
      <c r="M137" s="56">
        <f t="shared" si="34"/>
        <v>0.33942386904312921</v>
      </c>
      <c r="O137" s="2">
        <v>38129</v>
      </c>
      <c r="R137" s="2">
        <v>39916</v>
      </c>
      <c r="S137" s="36"/>
    </row>
    <row r="138" spans="1:19" hidden="1" x14ac:dyDescent="0.25">
      <c r="A138" s="54" t="s">
        <v>129</v>
      </c>
      <c r="B138" s="1">
        <v>45061</v>
      </c>
      <c r="C138" s="36">
        <f t="shared" si="27"/>
        <v>47445.600000000006</v>
      </c>
      <c r="D138" s="2">
        <v>25235</v>
      </c>
      <c r="E138" s="36">
        <f t="shared" si="28"/>
        <v>43500</v>
      </c>
      <c r="F138" s="2">
        <v>21117</v>
      </c>
      <c r="G138" s="2">
        <f t="shared" si="26"/>
        <v>137297.60000000001</v>
      </c>
      <c r="H138" s="3">
        <f t="shared" si="29"/>
        <v>0.3455675845754041</v>
      </c>
      <c r="I138" s="3">
        <f t="shared" si="30"/>
        <v>0.31683001013856033</v>
      </c>
      <c r="J138" s="3">
        <f t="shared" si="31"/>
        <v>0.18379782312290965</v>
      </c>
      <c r="K138" s="3">
        <f t="shared" si="32"/>
        <v>0.15380458216312592</v>
      </c>
      <c r="L138" s="3">
        <f t="shared" si="33"/>
        <v>0.66239759471396442</v>
      </c>
      <c r="M138" s="56">
        <f t="shared" si="34"/>
        <v>0.33760240528603558</v>
      </c>
      <c r="O138" s="2">
        <v>35476</v>
      </c>
      <c r="R138" s="2">
        <v>34591</v>
      </c>
      <c r="S138" s="36"/>
    </row>
    <row r="139" spans="1:19" hidden="1" x14ac:dyDescent="0.25">
      <c r="A139" s="54" t="s">
        <v>14</v>
      </c>
      <c r="B139" s="1">
        <v>45062</v>
      </c>
      <c r="C139" s="36">
        <f t="shared" si="27"/>
        <v>53180.800000000003</v>
      </c>
      <c r="D139" s="2">
        <v>18271</v>
      </c>
      <c r="E139" s="36">
        <f t="shared" si="28"/>
        <v>48308</v>
      </c>
      <c r="F139" s="2">
        <v>21932</v>
      </c>
      <c r="G139" s="2">
        <f t="shared" si="26"/>
        <v>141691.79999999999</v>
      </c>
      <c r="H139" s="3">
        <f t="shared" si="29"/>
        <v>0.37532729487521516</v>
      </c>
      <c r="I139" s="3">
        <f t="shared" si="30"/>
        <v>0.34093716079547304</v>
      </c>
      <c r="J139" s="3">
        <f t="shared" si="31"/>
        <v>0.12894888765616641</v>
      </c>
      <c r="K139" s="3">
        <f t="shared" si="32"/>
        <v>0.15478665667314553</v>
      </c>
      <c r="L139" s="3">
        <f t="shared" si="33"/>
        <v>0.71626445567068819</v>
      </c>
      <c r="M139" s="56">
        <f t="shared" si="34"/>
        <v>0.28373554432931197</v>
      </c>
      <c r="O139" s="2">
        <v>52249</v>
      </c>
      <c r="R139" s="2">
        <v>44727</v>
      </c>
      <c r="S139" s="36"/>
    </row>
    <row r="140" spans="1:19" hidden="1" x14ac:dyDescent="0.25">
      <c r="A140" s="54" t="s">
        <v>21</v>
      </c>
      <c r="B140" s="1">
        <v>45063</v>
      </c>
      <c r="C140" s="36">
        <f t="shared" si="27"/>
        <v>37736</v>
      </c>
      <c r="D140" s="2">
        <v>13738</v>
      </c>
      <c r="E140" s="36">
        <f t="shared" si="28"/>
        <v>32754.400000000001</v>
      </c>
      <c r="F140" s="2">
        <v>20386</v>
      </c>
      <c r="G140" s="2">
        <f t="shared" si="26"/>
        <v>104614.39999999999</v>
      </c>
      <c r="H140" s="3">
        <f t="shared" si="29"/>
        <v>0.36071515967209106</v>
      </c>
      <c r="I140" s="3">
        <f t="shared" si="30"/>
        <v>0.31309647620212899</v>
      </c>
      <c r="J140" s="3">
        <f t="shared" si="31"/>
        <v>0.13132035360332803</v>
      </c>
      <c r="K140" s="3">
        <f t="shared" si="32"/>
        <v>0.19486801052245198</v>
      </c>
      <c r="L140" s="3">
        <f t="shared" si="33"/>
        <v>0.67381163587421999</v>
      </c>
      <c r="M140" s="56">
        <f t="shared" si="34"/>
        <v>0.32618836412578001</v>
      </c>
      <c r="O140" s="2">
        <v>59926</v>
      </c>
      <c r="R140" s="2">
        <v>52311</v>
      </c>
      <c r="S140" s="36"/>
    </row>
    <row r="141" spans="1:19" x14ac:dyDescent="0.25">
      <c r="A141" s="54" t="s">
        <v>26</v>
      </c>
      <c r="B141" s="1">
        <v>45064</v>
      </c>
      <c r="C141" s="36">
        <f t="shared" si="27"/>
        <v>41499.200000000004</v>
      </c>
      <c r="D141" s="2">
        <v>21726</v>
      </c>
      <c r="E141" s="36">
        <f t="shared" si="28"/>
        <v>26332</v>
      </c>
      <c r="F141" s="2">
        <v>13727</v>
      </c>
      <c r="G141" s="2">
        <f t="shared" si="26"/>
        <v>103284.20000000001</v>
      </c>
      <c r="H141" s="3">
        <f t="shared" si="29"/>
        <v>0.4017962089070739</v>
      </c>
      <c r="I141" s="3">
        <f t="shared" si="30"/>
        <v>0.25494702965216359</v>
      </c>
      <c r="J141" s="3">
        <f t="shared" si="31"/>
        <v>0.21035163171133628</v>
      </c>
      <c r="K141" s="3">
        <f t="shared" si="32"/>
        <v>0.13290512972942617</v>
      </c>
      <c r="L141" s="3">
        <f t="shared" si="33"/>
        <v>0.65674323855923755</v>
      </c>
      <c r="M141" s="56">
        <f t="shared" si="34"/>
        <v>0.34325676144076245</v>
      </c>
      <c r="O141" s="2">
        <v>56437</v>
      </c>
      <c r="R141" s="2">
        <v>38716</v>
      </c>
      <c r="S141" s="36"/>
    </row>
    <row r="142" spans="1:19" hidden="1" x14ac:dyDescent="0.25">
      <c r="A142" s="54" t="s">
        <v>7</v>
      </c>
      <c r="B142" s="1">
        <v>45065</v>
      </c>
      <c r="C142" s="36">
        <f t="shared" si="27"/>
        <v>29685.600000000002</v>
      </c>
      <c r="D142" s="2">
        <v>10025</v>
      </c>
      <c r="E142" s="36">
        <f t="shared" si="28"/>
        <v>33385.599999999999</v>
      </c>
      <c r="F142" s="2">
        <v>17399</v>
      </c>
      <c r="G142" s="2">
        <f t="shared" si="26"/>
        <v>90495.200000000012</v>
      </c>
      <c r="H142" s="3">
        <f t="shared" si="29"/>
        <v>0.32803507810359001</v>
      </c>
      <c r="I142" s="3">
        <f t="shared" si="30"/>
        <v>0.36892122455113635</v>
      </c>
      <c r="J142" s="3">
        <f t="shared" si="31"/>
        <v>0.11077935625314933</v>
      </c>
      <c r="K142" s="3">
        <f t="shared" si="32"/>
        <v>0.1922643410921242</v>
      </c>
      <c r="L142" s="3">
        <f t="shared" si="33"/>
        <v>0.6969563026547263</v>
      </c>
      <c r="M142" s="56">
        <f t="shared" si="34"/>
        <v>0.30304369734527353</v>
      </c>
      <c r="O142" s="2">
        <v>58533</v>
      </c>
      <c r="R142" s="2">
        <v>49622</v>
      </c>
      <c r="S142" s="36"/>
    </row>
    <row r="143" spans="1:19" hidden="1" x14ac:dyDescent="0.25">
      <c r="A143" s="54" t="s">
        <v>30</v>
      </c>
      <c r="B143" s="1">
        <v>45066</v>
      </c>
      <c r="C143" s="36">
        <f t="shared" si="27"/>
        <v>47761.600000000006</v>
      </c>
      <c r="D143" s="2">
        <v>20432</v>
      </c>
      <c r="E143" s="36">
        <f t="shared" si="28"/>
        <v>42264</v>
      </c>
      <c r="F143" s="2">
        <v>21395</v>
      </c>
      <c r="G143" s="2">
        <f t="shared" si="26"/>
        <v>131852.6</v>
      </c>
      <c r="H143" s="3">
        <f t="shared" si="29"/>
        <v>0.36223479855535656</v>
      </c>
      <c r="I143" s="3">
        <f t="shared" si="30"/>
        <v>0.32053975424072029</v>
      </c>
      <c r="J143" s="3">
        <f t="shared" si="31"/>
        <v>0.15496091848018165</v>
      </c>
      <c r="K143" s="3">
        <f t="shared" si="32"/>
        <v>0.1622645287237415</v>
      </c>
      <c r="L143" s="3">
        <f t="shared" si="33"/>
        <v>0.68277455279607679</v>
      </c>
      <c r="M143" s="56">
        <f t="shared" si="34"/>
        <v>0.31722544720392315</v>
      </c>
      <c r="O143" s="2">
        <v>53157</v>
      </c>
      <c r="R143" s="2">
        <v>31781</v>
      </c>
      <c r="S143" s="36"/>
    </row>
    <row r="144" spans="1:19" hidden="1" x14ac:dyDescent="0.25">
      <c r="A144" s="54" t="s">
        <v>31</v>
      </c>
      <c r="B144" s="1">
        <v>45067</v>
      </c>
      <c r="C144" s="36">
        <f t="shared" si="27"/>
        <v>41518.400000000001</v>
      </c>
      <c r="D144" s="2">
        <v>22344</v>
      </c>
      <c r="E144" s="36">
        <f t="shared" si="28"/>
        <v>50095.200000000004</v>
      </c>
      <c r="F144" s="2">
        <v>22928</v>
      </c>
      <c r="G144" s="2">
        <f t="shared" si="26"/>
        <v>136885.6</v>
      </c>
      <c r="H144" s="3">
        <f t="shared" si="29"/>
        <v>0.30330728725300543</v>
      </c>
      <c r="I144" s="3">
        <f t="shared" si="30"/>
        <v>0.36596398744645164</v>
      </c>
      <c r="J144" s="3">
        <f t="shared" si="31"/>
        <v>0.16323119451571239</v>
      </c>
      <c r="K144" s="3">
        <f t="shared" si="32"/>
        <v>0.16749753078483054</v>
      </c>
      <c r="L144" s="3">
        <f t="shared" si="33"/>
        <v>0.66927127469945713</v>
      </c>
      <c r="M144" s="56">
        <f t="shared" si="34"/>
        <v>0.33072872530054293</v>
      </c>
      <c r="O144" s="2">
        <v>40521</v>
      </c>
      <c r="R144" s="2">
        <v>40933</v>
      </c>
      <c r="S144" s="36"/>
    </row>
    <row r="145" spans="1:19" hidden="1" x14ac:dyDescent="0.25">
      <c r="A145" s="54" t="s">
        <v>129</v>
      </c>
      <c r="B145" s="1">
        <v>45068</v>
      </c>
      <c r="C145" s="36">
        <f t="shared" si="27"/>
        <v>56228</v>
      </c>
      <c r="D145" s="2">
        <v>25077</v>
      </c>
      <c r="E145" s="36">
        <f t="shared" si="28"/>
        <v>46020</v>
      </c>
      <c r="F145" s="2">
        <v>19939</v>
      </c>
      <c r="G145" s="2">
        <f t="shared" si="26"/>
        <v>147264</v>
      </c>
      <c r="H145" s="3">
        <f t="shared" si="29"/>
        <v>0.38181768796175575</v>
      </c>
      <c r="I145" s="3">
        <f t="shared" si="30"/>
        <v>0.3125</v>
      </c>
      <c r="J145" s="3">
        <f t="shared" si="31"/>
        <v>0.17028601694915255</v>
      </c>
      <c r="K145" s="3">
        <f t="shared" si="32"/>
        <v>0.13539629508909171</v>
      </c>
      <c r="L145" s="3">
        <f t="shared" si="33"/>
        <v>0.69431768796175575</v>
      </c>
      <c r="M145" s="56">
        <f t="shared" si="34"/>
        <v>0.30568231203824425</v>
      </c>
      <c r="O145" s="2">
        <v>28148</v>
      </c>
      <c r="R145" s="2">
        <v>29889</v>
      </c>
      <c r="S145" s="36"/>
    </row>
    <row r="146" spans="1:19" hidden="1" x14ac:dyDescent="0.25">
      <c r="A146" s="54" t="s">
        <v>14</v>
      </c>
      <c r="B146" s="1">
        <v>45069</v>
      </c>
      <c r="C146" s="36">
        <f t="shared" si="27"/>
        <v>75648</v>
      </c>
      <c r="D146" s="2">
        <v>19572</v>
      </c>
      <c r="E146" s="36">
        <f t="shared" si="28"/>
        <v>46643.200000000004</v>
      </c>
      <c r="F146" s="2">
        <v>19989</v>
      </c>
      <c r="G146" s="2">
        <f t="shared" si="26"/>
        <v>161852.20000000001</v>
      </c>
      <c r="H146" s="3">
        <f t="shared" si="29"/>
        <v>0.46738938364755001</v>
      </c>
      <c r="I146" s="3">
        <f t="shared" si="30"/>
        <v>0.28818391100028296</v>
      </c>
      <c r="J146" s="3">
        <f t="shared" si="31"/>
        <v>0.1209251403440917</v>
      </c>
      <c r="K146" s="3">
        <f t="shared" si="32"/>
        <v>0.12350156500807526</v>
      </c>
      <c r="L146" s="3">
        <f t="shared" si="33"/>
        <v>0.75557329464783307</v>
      </c>
      <c r="M146" s="56">
        <f t="shared" si="34"/>
        <v>0.24442670535216696</v>
      </c>
      <c r="O146" s="2">
        <v>40276</v>
      </c>
      <c r="R146" s="2">
        <v>34086</v>
      </c>
      <c r="S146" s="36"/>
    </row>
    <row r="147" spans="1:19" hidden="1" x14ac:dyDescent="0.25">
      <c r="A147" s="54" t="s">
        <v>21</v>
      </c>
      <c r="B147" s="1">
        <v>45070</v>
      </c>
      <c r="C147" s="36">
        <f t="shared" si="27"/>
        <v>38326.400000000001</v>
      </c>
      <c r="D147" s="2">
        <v>18333</v>
      </c>
      <c r="E147" s="36">
        <f t="shared" si="28"/>
        <v>31951.200000000001</v>
      </c>
      <c r="F147" s="2">
        <v>22787</v>
      </c>
      <c r="G147" s="2">
        <f t="shared" si="26"/>
        <v>111397.6</v>
      </c>
      <c r="H147" s="3">
        <f t="shared" si="29"/>
        <v>0.34405050019030931</v>
      </c>
      <c r="I147" s="3">
        <f t="shared" si="30"/>
        <v>0.28682126006305342</v>
      </c>
      <c r="J147" s="3">
        <f t="shared" si="31"/>
        <v>0.16457266583840224</v>
      </c>
      <c r="K147" s="3">
        <f t="shared" si="32"/>
        <v>0.20455557390823501</v>
      </c>
      <c r="L147" s="3">
        <f t="shared" si="33"/>
        <v>0.63087176025336278</v>
      </c>
      <c r="M147" s="56">
        <f t="shared" si="34"/>
        <v>0.36912823974663728</v>
      </c>
      <c r="O147" s="2">
        <v>43892</v>
      </c>
      <c r="R147" s="2">
        <v>45244</v>
      </c>
      <c r="S147" s="36"/>
    </row>
    <row r="148" spans="1:19" x14ac:dyDescent="0.25">
      <c r="A148" s="54" t="s">
        <v>26</v>
      </c>
      <c r="B148" s="1">
        <v>45071</v>
      </c>
      <c r="C148" s="36">
        <f t="shared" si="27"/>
        <v>51343.200000000004</v>
      </c>
      <c r="D148" s="2">
        <v>15151</v>
      </c>
      <c r="E148" s="36">
        <f t="shared" si="28"/>
        <v>25349.600000000002</v>
      </c>
      <c r="F148" s="2">
        <v>18737</v>
      </c>
      <c r="G148" s="2">
        <f t="shared" si="26"/>
        <v>110580.80000000002</v>
      </c>
      <c r="H148" s="3">
        <f t="shared" si="29"/>
        <v>0.46430483411225093</v>
      </c>
      <c r="I148" s="3">
        <f t="shared" si="30"/>
        <v>0.22924051914979815</v>
      </c>
      <c r="J148" s="3">
        <f t="shared" si="31"/>
        <v>0.13701293533778014</v>
      </c>
      <c r="K148" s="3">
        <f t="shared" si="32"/>
        <v>0.1694417114001707</v>
      </c>
      <c r="L148" s="3">
        <f t="shared" si="33"/>
        <v>0.69354535326204902</v>
      </c>
      <c r="M148" s="56">
        <f t="shared" si="34"/>
        <v>0.30645464673795086</v>
      </c>
      <c r="O148" s="2">
        <v>39477</v>
      </c>
      <c r="R148" s="2">
        <v>55958</v>
      </c>
      <c r="S148" s="36"/>
    </row>
    <row r="149" spans="1:19" hidden="1" x14ac:dyDescent="0.25">
      <c r="A149" s="54" t="s">
        <v>7</v>
      </c>
      <c r="B149" s="1">
        <v>45072</v>
      </c>
      <c r="C149" s="36">
        <f t="shared" si="27"/>
        <v>48647.200000000004</v>
      </c>
      <c r="D149" s="2">
        <v>17225</v>
      </c>
      <c r="E149" s="36">
        <f t="shared" si="28"/>
        <v>28098.400000000001</v>
      </c>
      <c r="F149" s="2">
        <v>15415</v>
      </c>
      <c r="G149" s="2">
        <f t="shared" si="26"/>
        <v>109385.60000000001</v>
      </c>
      <c r="H149" s="3">
        <f t="shared" si="29"/>
        <v>0.44473129918380483</v>
      </c>
      <c r="I149" s="3">
        <f t="shared" si="30"/>
        <v>0.25687476230874995</v>
      </c>
      <c r="J149" s="3">
        <f t="shared" si="31"/>
        <v>0.15747045314922622</v>
      </c>
      <c r="K149" s="3">
        <f t="shared" si="32"/>
        <v>0.140923485358219</v>
      </c>
      <c r="L149" s="3">
        <f t="shared" si="33"/>
        <v>0.70160606149255478</v>
      </c>
      <c r="M149" s="56">
        <f t="shared" si="34"/>
        <v>0.29839393850744522</v>
      </c>
      <c r="O149" s="2">
        <v>65009</v>
      </c>
      <c r="R149" s="2">
        <v>51025</v>
      </c>
      <c r="S149" s="36"/>
    </row>
    <row r="150" spans="1:19" hidden="1" x14ac:dyDescent="0.25">
      <c r="A150" s="54" t="s">
        <v>30</v>
      </c>
      <c r="B150" s="1">
        <v>45073</v>
      </c>
      <c r="C150" s="36">
        <f t="shared" si="27"/>
        <v>30674.400000000001</v>
      </c>
      <c r="D150" s="2">
        <v>23380</v>
      </c>
      <c r="E150" s="36">
        <f t="shared" si="28"/>
        <v>35912</v>
      </c>
      <c r="F150" s="2">
        <v>17203</v>
      </c>
      <c r="G150" s="2">
        <f t="shared" si="26"/>
        <v>107169.4</v>
      </c>
      <c r="H150" s="3">
        <f t="shared" si="29"/>
        <v>0.28622349290002558</v>
      </c>
      <c r="I150" s="3">
        <f t="shared" si="30"/>
        <v>0.33509565230373595</v>
      </c>
      <c r="J150" s="3">
        <f t="shared" si="31"/>
        <v>0.21815928800571807</v>
      </c>
      <c r="K150" s="3">
        <f t="shared" si="32"/>
        <v>0.16052156679052043</v>
      </c>
      <c r="L150" s="3">
        <f t="shared" si="33"/>
        <v>0.62131914520376152</v>
      </c>
      <c r="M150" s="56">
        <f t="shared" si="34"/>
        <v>0.37868085479623848</v>
      </c>
      <c r="O150" s="2">
        <v>82985</v>
      </c>
      <c r="R150" s="2">
        <v>35749</v>
      </c>
      <c r="S150" s="36"/>
    </row>
    <row r="151" spans="1:19" hidden="1" x14ac:dyDescent="0.25">
      <c r="A151" s="54" t="s">
        <v>31</v>
      </c>
      <c r="B151" s="1">
        <v>45074</v>
      </c>
      <c r="C151" s="36">
        <f t="shared" si="27"/>
        <v>27833.600000000002</v>
      </c>
      <c r="D151" s="2">
        <v>23882</v>
      </c>
      <c r="E151" s="36">
        <f t="shared" si="28"/>
        <v>42481.600000000006</v>
      </c>
      <c r="F151" s="2">
        <v>15480</v>
      </c>
      <c r="G151" s="2">
        <f t="shared" si="26"/>
        <v>109677.20000000001</v>
      </c>
      <c r="H151" s="3">
        <f t="shared" si="29"/>
        <v>0.25377744873136804</v>
      </c>
      <c r="I151" s="3">
        <f t="shared" si="30"/>
        <v>0.38733300996013759</v>
      </c>
      <c r="J151" s="3">
        <f t="shared" si="31"/>
        <v>0.21774808255498862</v>
      </c>
      <c r="K151" s="3">
        <f t="shared" si="32"/>
        <v>0.14114145875350573</v>
      </c>
      <c r="L151" s="3">
        <f t="shared" si="33"/>
        <v>0.64111045869150562</v>
      </c>
      <c r="M151" s="56">
        <f t="shared" si="34"/>
        <v>0.35888954130849432</v>
      </c>
      <c r="O151" s="2">
        <v>45408</v>
      </c>
      <c r="R151" s="2">
        <v>38409</v>
      </c>
      <c r="S151" s="36"/>
    </row>
    <row r="152" spans="1:19" hidden="1" x14ac:dyDescent="0.25">
      <c r="A152" s="54" t="s">
        <v>129</v>
      </c>
      <c r="B152" s="1">
        <v>45075</v>
      </c>
      <c r="C152" s="36">
        <f t="shared" si="27"/>
        <v>36700.800000000003</v>
      </c>
      <c r="D152" s="2">
        <v>23352</v>
      </c>
      <c r="E152" s="36">
        <f t="shared" si="28"/>
        <v>42068</v>
      </c>
      <c r="F152" s="2">
        <v>23556</v>
      </c>
      <c r="G152" s="2">
        <f t="shared" si="26"/>
        <v>125676.8</v>
      </c>
      <c r="H152" s="3">
        <f t="shared" si="29"/>
        <v>0.29202525844069871</v>
      </c>
      <c r="I152" s="3">
        <f t="shared" si="30"/>
        <v>0.33473162906757653</v>
      </c>
      <c r="J152" s="3">
        <f t="shared" si="31"/>
        <v>0.18580995060345265</v>
      </c>
      <c r="K152" s="3">
        <f t="shared" si="32"/>
        <v>0.18743316188827214</v>
      </c>
      <c r="L152" s="3">
        <f t="shared" si="33"/>
        <v>0.62675688750827518</v>
      </c>
      <c r="M152" s="56">
        <f t="shared" si="34"/>
        <v>0.37324311249172482</v>
      </c>
      <c r="O152" s="2">
        <v>26956</v>
      </c>
      <c r="R152" s="2">
        <v>25775</v>
      </c>
      <c r="S152" s="36"/>
    </row>
    <row r="153" spans="1:19" hidden="1" x14ac:dyDescent="0.25">
      <c r="A153" s="54" t="s">
        <v>14</v>
      </c>
      <c r="B153" s="1">
        <v>45076</v>
      </c>
      <c r="C153" s="36">
        <f t="shared" si="27"/>
        <v>51291.200000000004</v>
      </c>
      <c r="D153" s="2">
        <v>18362</v>
      </c>
      <c r="E153" s="36">
        <f t="shared" si="28"/>
        <v>31692</v>
      </c>
      <c r="F153" s="2">
        <v>15965</v>
      </c>
      <c r="G153" s="2">
        <f t="shared" si="26"/>
        <v>117310.20000000001</v>
      </c>
      <c r="H153" s="3">
        <f t="shared" si="29"/>
        <v>0.43722711239090889</v>
      </c>
      <c r="I153" s="3">
        <f t="shared" si="30"/>
        <v>0.270155536347223</v>
      </c>
      <c r="J153" s="3">
        <f t="shared" si="31"/>
        <v>0.15652517854372422</v>
      </c>
      <c r="K153" s="3">
        <f t="shared" si="32"/>
        <v>0.13609217271814386</v>
      </c>
      <c r="L153" s="3">
        <f t="shared" si="33"/>
        <v>0.70738264873813195</v>
      </c>
      <c r="M153" s="56">
        <f t="shared" si="34"/>
        <v>0.29261735126186805</v>
      </c>
      <c r="O153" s="2">
        <v>54019</v>
      </c>
      <c r="R153" s="2">
        <v>36506</v>
      </c>
      <c r="S153" s="36"/>
    </row>
    <row r="154" spans="1:19" hidden="1" x14ac:dyDescent="0.25">
      <c r="A154" s="54" t="s">
        <v>21</v>
      </c>
      <c r="B154" s="1">
        <v>45077</v>
      </c>
      <c r="C154" s="36">
        <f t="shared" si="27"/>
        <v>38073.599999999999</v>
      </c>
      <c r="D154" s="2">
        <v>17914</v>
      </c>
      <c r="E154" s="36">
        <f t="shared" si="28"/>
        <v>21751.200000000001</v>
      </c>
      <c r="F154" s="2">
        <v>16754</v>
      </c>
      <c r="G154" s="2">
        <f t="shared" si="26"/>
        <v>94492.800000000003</v>
      </c>
      <c r="H154" s="3">
        <f t="shared" si="29"/>
        <v>0.4029259372142639</v>
      </c>
      <c r="I154" s="3">
        <f t="shared" si="30"/>
        <v>0.23018896677842121</v>
      </c>
      <c r="J154" s="3">
        <f t="shared" si="31"/>
        <v>0.18958058180094145</v>
      </c>
      <c r="K154" s="3">
        <f t="shared" si="32"/>
        <v>0.17730451420637339</v>
      </c>
      <c r="L154" s="3">
        <f t="shared" si="33"/>
        <v>0.63311490399268522</v>
      </c>
      <c r="M154" s="56">
        <f t="shared" si="34"/>
        <v>0.36688509600731484</v>
      </c>
      <c r="O154" s="2">
        <v>41130</v>
      </c>
      <c r="R154" s="2">
        <v>46751</v>
      </c>
      <c r="S154" s="36"/>
    </row>
    <row r="155" spans="1:19" x14ac:dyDescent="0.25">
      <c r="A155" s="54" t="s">
        <v>26</v>
      </c>
      <c r="B155" s="1">
        <v>45078</v>
      </c>
      <c r="C155" s="36">
        <f t="shared" si="27"/>
        <v>34907.200000000004</v>
      </c>
      <c r="D155" s="2">
        <v>22852</v>
      </c>
      <c r="E155" s="36">
        <f t="shared" si="28"/>
        <v>22668</v>
      </c>
      <c r="F155" s="2">
        <v>14853</v>
      </c>
      <c r="G155" s="2">
        <f t="shared" si="26"/>
        <v>95280.200000000012</v>
      </c>
      <c r="H155" s="3">
        <f t="shared" si="29"/>
        <v>0.36636363063889454</v>
      </c>
      <c r="I155" s="3">
        <f t="shared" si="30"/>
        <v>0.23790882051045231</v>
      </c>
      <c r="J155" s="3">
        <f t="shared" si="31"/>
        <v>0.23983996675069949</v>
      </c>
      <c r="K155" s="3">
        <f t="shared" si="32"/>
        <v>0.1558875820999536</v>
      </c>
      <c r="L155" s="3">
        <f t="shared" si="33"/>
        <v>0.6042724511493468</v>
      </c>
      <c r="M155" s="56">
        <f t="shared" si="34"/>
        <v>0.39572754885065309</v>
      </c>
      <c r="O155" s="2">
        <v>35356</v>
      </c>
      <c r="R155" s="2">
        <v>43077</v>
      </c>
      <c r="S155" s="36"/>
    </row>
    <row r="156" spans="1:19" hidden="1" x14ac:dyDescent="0.25">
      <c r="A156" s="54" t="s">
        <v>7</v>
      </c>
      <c r="B156" s="1">
        <v>45079</v>
      </c>
      <c r="C156" s="36">
        <f t="shared" si="27"/>
        <v>40717.600000000006</v>
      </c>
      <c r="D156" s="2">
        <v>20279</v>
      </c>
      <c r="E156" s="36">
        <f t="shared" si="28"/>
        <v>29378.400000000001</v>
      </c>
      <c r="F156" s="2">
        <v>16918</v>
      </c>
      <c r="G156" s="2">
        <f t="shared" si="26"/>
        <v>107293</v>
      </c>
      <c r="H156" s="3">
        <f t="shared" si="29"/>
        <v>0.37949912855451901</v>
      </c>
      <c r="I156" s="3">
        <f t="shared" si="30"/>
        <v>0.27381469434166256</v>
      </c>
      <c r="J156" s="3">
        <f t="shared" si="31"/>
        <v>0.18900580652978294</v>
      </c>
      <c r="K156" s="3">
        <f t="shared" si="32"/>
        <v>0.15768037057403558</v>
      </c>
      <c r="L156" s="3">
        <f t="shared" si="33"/>
        <v>0.65331382289618145</v>
      </c>
      <c r="M156" s="56">
        <f t="shared" si="34"/>
        <v>0.34668617710381849</v>
      </c>
      <c r="O156" s="2">
        <v>54132</v>
      </c>
      <c r="R156" s="2">
        <v>57350</v>
      </c>
      <c r="S156" s="36"/>
    </row>
    <row r="157" spans="1:19" hidden="1" x14ac:dyDescent="0.25">
      <c r="A157" s="54" t="s">
        <v>30</v>
      </c>
      <c r="B157" s="1">
        <v>45080</v>
      </c>
      <c r="C157" s="36">
        <f t="shared" si="27"/>
        <v>41497.600000000006</v>
      </c>
      <c r="D157" s="2">
        <v>19376</v>
      </c>
      <c r="E157" s="36">
        <f t="shared" si="28"/>
        <v>24516.800000000003</v>
      </c>
      <c r="F157" s="2">
        <v>20621</v>
      </c>
      <c r="G157" s="2">
        <f t="shared" si="26"/>
        <v>106011.40000000001</v>
      </c>
      <c r="H157" s="3">
        <f t="shared" si="29"/>
        <v>0.39144469368388685</v>
      </c>
      <c r="I157" s="3">
        <f t="shared" si="30"/>
        <v>0.23126569406686451</v>
      </c>
      <c r="J157" s="3">
        <f t="shared" si="31"/>
        <v>0.18277279613324604</v>
      </c>
      <c r="K157" s="3">
        <f t="shared" si="32"/>
        <v>0.19451681611600261</v>
      </c>
      <c r="L157" s="3">
        <f t="shared" si="33"/>
        <v>0.62271038775075138</v>
      </c>
      <c r="M157" s="56">
        <f t="shared" si="34"/>
        <v>0.37728961224924862</v>
      </c>
      <c r="O157" s="2">
        <v>60147</v>
      </c>
      <c r="R157" s="2">
        <v>44567</v>
      </c>
      <c r="S157" s="36"/>
    </row>
    <row r="158" spans="1:19" hidden="1" x14ac:dyDescent="0.25">
      <c r="A158" s="54" t="s">
        <v>31</v>
      </c>
      <c r="B158" s="1">
        <v>45081</v>
      </c>
      <c r="C158" s="36">
        <f t="shared" si="27"/>
        <v>48128</v>
      </c>
      <c r="D158" s="2">
        <v>21574</v>
      </c>
      <c r="E158" s="36">
        <f t="shared" si="28"/>
        <v>39113.599999999999</v>
      </c>
      <c r="F158" s="2">
        <v>25613</v>
      </c>
      <c r="G158" s="2">
        <f t="shared" si="26"/>
        <v>134428.6</v>
      </c>
      <c r="H158" s="3">
        <f t="shared" si="29"/>
        <v>0.3580190524932938</v>
      </c>
      <c r="I158" s="3">
        <f t="shared" si="30"/>
        <v>0.29096189352563367</v>
      </c>
      <c r="J158" s="3">
        <f t="shared" si="31"/>
        <v>0.16048668214948306</v>
      </c>
      <c r="K158" s="3">
        <f t="shared" si="32"/>
        <v>0.19053237183158941</v>
      </c>
      <c r="L158" s="3">
        <f t="shared" si="33"/>
        <v>0.64898094601892753</v>
      </c>
      <c r="M158" s="56">
        <f t="shared" si="34"/>
        <v>0.35101905398107247</v>
      </c>
      <c r="O158" s="2">
        <v>45263</v>
      </c>
      <c r="R158" s="2">
        <v>36283</v>
      </c>
      <c r="S158" s="36"/>
    </row>
    <row r="159" spans="1:19" hidden="1" x14ac:dyDescent="0.25">
      <c r="A159" s="54" t="s">
        <v>129</v>
      </c>
      <c r="B159" s="1">
        <v>45082</v>
      </c>
      <c r="C159" s="36">
        <f t="shared" si="27"/>
        <v>53700</v>
      </c>
      <c r="D159" s="2">
        <v>17119</v>
      </c>
      <c r="E159" s="36">
        <f t="shared" si="28"/>
        <v>37045.599999999999</v>
      </c>
      <c r="F159" s="2">
        <v>24033</v>
      </c>
      <c r="G159" s="2">
        <f t="shared" si="26"/>
        <v>131897.60000000001</v>
      </c>
      <c r="H159" s="3">
        <f t="shared" si="29"/>
        <v>0.40713401911786112</v>
      </c>
      <c r="I159" s="3">
        <f t="shared" si="30"/>
        <v>0.28086636906206025</v>
      </c>
      <c r="J159" s="3">
        <f t="shared" si="31"/>
        <v>0.12979007957688388</v>
      </c>
      <c r="K159" s="3">
        <f t="shared" si="32"/>
        <v>0.18220953224319472</v>
      </c>
      <c r="L159" s="3">
        <f t="shared" si="33"/>
        <v>0.68800038817992137</v>
      </c>
      <c r="M159" s="56">
        <f t="shared" si="34"/>
        <v>0.31199961182007857</v>
      </c>
      <c r="O159" s="2">
        <v>51068</v>
      </c>
      <c r="R159" s="2">
        <v>30521</v>
      </c>
      <c r="S159" s="36"/>
    </row>
    <row r="160" spans="1:19" hidden="1" x14ac:dyDescent="0.25">
      <c r="A160" s="54" t="s">
        <v>14</v>
      </c>
      <c r="B160" s="1">
        <v>45083</v>
      </c>
      <c r="C160" s="36">
        <f t="shared" si="27"/>
        <v>58827.200000000004</v>
      </c>
      <c r="D160" s="2">
        <v>17612</v>
      </c>
      <c r="E160" s="36">
        <f t="shared" si="28"/>
        <v>31672</v>
      </c>
      <c r="F160" s="2">
        <v>16713</v>
      </c>
      <c r="G160" s="2">
        <f t="shared" si="26"/>
        <v>124824.20000000001</v>
      </c>
      <c r="H160" s="3">
        <f t="shared" si="29"/>
        <v>0.47128040876688976</v>
      </c>
      <c r="I160" s="3">
        <f t="shared" si="30"/>
        <v>0.25373284988007133</v>
      </c>
      <c r="J160" s="3">
        <f t="shared" si="31"/>
        <v>0.1410944352136845</v>
      </c>
      <c r="K160" s="3">
        <f t="shared" si="32"/>
        <v>0.13389230613935438</v>
      </c>
      <c r="L160" s="3">
        <f t="shared" si="33"/>
        <v>0.72501325864696109</v>
      </c>
      <c r="M160" s="56">
        <f t="shared" si="34"/>
        <v>0.27498674135303891</v>
      </c>
      <c r="O160" s="2">
        <v>56429</v>
      </c>
      <c r="R160" s="2">
        <v>41172</v>
      </c>
      <c r="S160" s="36"/>
    </row>
    <row r="161" spans="1:19" hidden="1" x14ac:dyDescent="0.25">
      <c r="A161" s="54" t="s">
        <v>21</v>
      </c>
      <c r="B161" s="1">
        <v>45084</v>
      </c>
      <c r="C161" s="36">
        <f t="shared" si="27"/>
        <v>28542.400000000001</v>
      </c>
      <c r="D161" s="2">
        <v>15092</v>
      </c>
      <c r="E161" s="36">
        <f t="shared" si="28"/>
        <v>24368.800000000003</v>
      </c>
      <c r="F161" s="2">
        <v>14685</v>
      </c>
      <c r="G161" s="2">
        <f t="shared" si="26"/>
        <v>82688.200000000012</v>
      </c>
      <c r="H161" s="3">
        <f t="shared" si="29"/>
        <v>0.34518105364489732</v>
      </c>
      <c r="I161" s="3">
        <f t="shared" si="30"/>
        <v>0.29470710452035476</v>
      </c>
      <c r="J161" s="3">
        <f t="shared" si="31"/>
        <v>0.18251697340128334</v>
      </c>
      <c r="K161" s="3">
        <f t="shared" si="32"/>
        <v>0.17759486843346448</v>
      </c>
      <c r="L161" s="3">
        <f t="shared" si="33"/>
        <v>0.63988815816525213</v>
      </c>
      <c r="M161" s="56">
        <f t="shared" si="34"/>
        <v>0.36011184183474781</v>
      </c>
      <c r="O161" s="2">
        <v>62839</v>
      </c>
      <c r="R161" s="2">
        <v>40786</v>
      </c>
      <c r="S161" s="36"/>
    </row>
    <row r="162" spans="1:19" x14ac:dyDescent="0.25">
      <c r="A162" s="54" t="s">
        <v>26</v>
      </c>
      <c r="B162" s="1">
        <v>45085</v>
      </c>
      <c r="C162" s="36">
        <f t="shared" si="27"/>
        <v>42272.800000000003</v>
      </c>
      <c r="D162" s="2">
        <v>15142</v>
      </c>
      <c r="E162" s="36">
        <f t="shared" si="28"/>
        <v>14663.2</v>
      </c>
      <c r="F162" s="2">
        <v>11101</v>
      </c>
      <c r="G162" s="2">
        <f t="shared" si="26"/>
        <v>83179</v>
      </c>
      <c r="H162" s="3">
        <f t="shared" si="29"/>
        <v>0.50821481383522282</v>
      </c>
      <c r="I162" s="3">
        <f t="shared" si="30"/>
        <v>0.17628487959701367</v>
      </c>
      <c r="J162" s="3">
        <f t="shared" si="31"/>
        <v>0.18204114019163492</v>
      </c>
      <c r="K162" s="3">
        <f t="shared" si="32"/>
        <v>0.13345916637612859</v>
      </c>
      <c r="L162" s="3">
        <f t="shared" si="33"/>
        <v>0.68449969343223649</v>
      </c>
      <c r="M162" s="56">
        <f t="shared" si="34"/>
        <v>0.31550030656776351</v>
      </c>
      <c r="O162" s="2">
        <v>55746</v>
      </c>
      <c r="R162" s="2">
        <v>55913</v>
      </c>
      <c r="S162" s="36"/>
    </row>
    <row r="163" spans="1:19" hidden="1" x14ac:dyDescent="0.25">
      <c r="A163" s="54" t="s">
        <v>7</v>
      </c>
      <c r="B163" s="1">
        <v>45086</v>
      </c>
      <c r="C163" s="36">
        <f t="shared" si="27"/>
        <v>33019.200000000004</v>
      </c>
      <c r="D163" s="2">
        <v>20113</v>
      </c>
      <c r="E163" s="36">
        <f t="shared" si="28"/>
        <v>33666.400000000001</v>
      </c>
      <c r="F163" s="2">
        <v>17021</v>
      </c>
      <c r="G163" s="2">
        <f t="shared" si="26"/>
        <v>103819.6</v>
      </c>
      <c r="H163" s="3">
        <f t="shared" si="29"/>
        <v>0.3180439916932834</v>
      </c>
      <c r="I163" s="3">
        <f t="shared" si="30"/>
        <v>0.32427788201842428</v>
      </c>
      <c r="J163" s="3">
        <f t="shared" si="31"/>
        <v>0.19373027829041914</v>
      </c>
      <c r="K163" s="3">
        <f t="shared" si="32"/>
        <v>0.16394784799787324</v>
      </c>
      <c r="L163" s="3">
        <f t="shared" si="33"/>
        <v>0.64232187371170768</v>
      </c>
      <c r="M163" s="56">
        <f t="shared" si="34"/>
        <v>0.35767812628829238</v>
      </c>
      <c r="O163" s="2">
        <v>59307</v>
      </c>
      <c r="R163" s="2">
        <v>54375</v>
      </c>
      <c r="S163" s="36"/>
    </row>
    <row r="164" spans="1:19" hidden="1" x14ac:dyDescent="0.25">
      <c r="A164" s="54" t="s">
        <v>30</v>
      </c>
      <c r="B164" s="1">
        <v>45087</v>
      </c>
      <c r="C164" s="36">
        <f t="shared" si="27"/>
        <v>38258.400000000001</v>
      </c>
      <c r="D164" s="2">
        <v>23400</v>
      </c>
      <c r="E164" s="36">
        <f t="shared" si="28"/>
        <v>39450.400000000001</v>
      </c>
      <c r="F164" s="2">
        <v>19069</v>
      </c>
      <c r="G164" s="2">
        <f t="shared" si="26"/>
        <v>120177.8</v>
      </c>
      <c r="H164" s="3">
        <f t="shared" si="29"/>
        <v>0.31834831391488277</v>
      </c>
      <c r="I164" s="3">
        <f t="shared" si="30"/>
        <v>0.32826695113406967</v>
      </c>
      <c r="J164" s="3">
        <f t="shared" si="31"/>
        <v>0.1947115024571926</v>
      </c>
      <c r="K164" s="3">
        <f t="shared" si="32"/>
        <v>0.15867323249385493</v>
      </c>
      <c r="L164" s="3">
        <f t="shared" si="33"/>
        <v>0.6466152650489525</v>
      </c>
      <c r="M164" s="56">
        <f t="shared" si="34"/>
        <v>0.3533847349510475</v>
      </c>
      <c r="O164" s="2">
        <v>66476</v>
      </c>
      <c r="R164" s="2">
        <v>60385</v>
      </c>
      <c r="S164" s="36"/>
    </row>
    <row r="165" spans="1:19" hidden="1" x14ac:dyDescent="0.25">
      <c r="A165" s="54" t="s">
        <v>31</v>
      </c>
      <c r="B165" s="1">
        <v>45088</v>
      </c>
      <c r="C165" s="36">
        <f t="shared" si="27"/>
        <v>31786.400000000001</v>
      </c>
      <c r="D165" s="2">
        <v>18968</v>
      </c>
      <c r="E165" s="36">
        <f t="shared" si="28"/>
        <v>50685.600000000006</v>
      </c>
      <c r="F165" s="2">
        <v>20908</v>
      </c>
      <c r="G165" s="2">
        <f t="shared" si="26"/>
        <v>122348</v>
      </c>
      <c r="H165" s="3">
        <f t="shared" si="29"/>
        <v>0.25980318435936839</v>
      </c>
      <c r="I165" s="3">
        <f t="shared" si="30"/>
        <v>0.41427403798999579</v>
      </c>
      <c r="J165" s="3">
        <f t="shared" si="31"/>
        <v>0.15503318403243208</v>
      </c>
      <c r="K165" s="3">
        <f t="shared" si="32"/>
        <v>0.1708895936182038</v>
      </c>
      <c r="L165" s="3">
        <f t="shared" si="33"/>
        <v>0.67407722234936407</v>
      </c>
      <c r="M165" s="56">
        <f t="shared" si="34"/>
        <v>0.32592277765063588</v>
      </c>
      <c r="O165" s="2">
        <v>47170</v>
      </c>
      <c r="R165" s="2">
        <v>40943</v>
      </c>
      <c r="S165" s="36"/>
    </row>
    <row r="166" spans="1:19" hidden="1" x14ac:dyDescent="0.25">
      <c r="A166" s="54" t="s">
        <v>129</v>
      </c>
      <c r="B166" s="1">
        <v>45089</v>
      </c>
      <c r="C166" s="36">
        <f t="shared" si="27"/>
        <v>53456.800000000003</v>
      </c>
      <c r="D166" s="2">
        <v>22270</v>
      </c>
      <c r="E166" s="36">
        <f t="shared" si="28"/>
        <v>39024.800000000003</v>
      </c>
      <c r="F166" s="2">
        <v>23640</v>
      </c>
      <c r="G166" s="2">
        <f t="shared" si="26"/>
        <v>138391.6</v>
      </c>
      <c r="H166" s="3">
        <f t="shared" si="29"/>
        <v>0.38627199916757954</v>
      </c>
      <c r="I166" s="3">
        <f t="shared" si="30"/>
        <v>0.28198821315744599</v>
      </c>
      <c r="J166" s="3">
        <f t="shared" si="31"/>
        <v>0.16092017145549295</v>
      </c>
      <c r="K166" s="3">
        <f t="shared" si="32"/>
        <v>0.17081961621948152</v>
      </c>
      <c r="L166" s="3">
        <f t="shared" si="33"/>
        <v>0.66826021232502553</v>
      </c>
      <c r="M166" s="56">
        <f t="shared" si="34"/>
        <v>0.33173978767497447</v>
      </c>
      <c r="O166" s="2">
        <v>51874</v>
      </c>
      <c r="R166" s="2">
        <v>32915</v>
      </c>
      <c r="S166" s="36"/>
    </row>
    <row r="167" spans="1:19" hidden="1" x14ac:dyDescent="0.25">
      <c r="A167" s="54" t="s">
        <v>14</v>
      </c>
      <c r="B167" s="1">
        <v>45090</v>
      </c>
      <c r="C167" s="36">
        <f t="shared" si="27"/>
        <v>71361.600000000006</v>
      </c>
      <c r="D167" s="2">
        <v>22634</v>
      </c>
      <c r="E167" s="36">
        <f t="shared" si="28"/>
        <v>42272</v>
      </c>
      <c r="F167" s="2">
        <v>20384</v>
      </c>
      <c r="G167" s="2">
        <f t="shared" si="26"/>
        <v>156651.6</v>
      </c>
      <c r="H167" s="3">
        <f t="shared" si="29"/>
        <v>0.45554338417226509</v>
      </c>
      <c r="I167" s="3">
        <f t="shared" si="30"/>
        <v>0.26984722786106236</v>
      </c>
      <c r="J167" s="3">
        <f t="shared" si="31"/>
        <v>0.14448623569756069</v>
      </c>
      <c r="K167" s="3">
        <f t="shared" si="32"/>
        <v>0.13012315226911184</v>
      </c>
      <c r="L167" s="3">
        <f t="shared" si="33"/>
        <v>0.72539061203332744</v>
      </c>
      <c r="M167" s="56">
        <f t="shared" si="34"/>
        <v>0.2746093879666725</v>
      </c>
      <c r="O167" s="2">
        <v>37107</v>
      </c>
      <c r="R167" s="2">
        <v>41732</v>
      </c>
      <c r="S167" s="36"/>
    </row>
    <row r="168" spans="1:19" hidden="1" x14ac:dyDescent="0.25">
      <c r="A168" s="54" t="s">
        <v>21</v>
      </c>
      <c r="B168" s="1">
        <v>45091</v>
      </c>
      <c r="C168" s="36">
        <f t="shared" si="27"/>
        <v>48110.400000000001</v>
      </c>
      <c r="D168" s="2">
        <v>24094</v>
      </c>
      <c r="E168" s="36">
        <f t="shared" si="28"/>
        <v>32537.600000000002</v>
      </c>
      <c r="F168" s="2">
        <v>20952</v>
      </c>
      <c r="G168" s="2">
        <f t="shared" si="26"/>
        <v>125694</v>
      </c>
      <c r="H168" s="3">
        <f t="shared" si="29"/>
        <v>0.38275812687956468</v>
      </c>
      <c r="I168" s="3">
        <f t="shared" si="30"/>
        <v>0.25886358935191817</v>
      </c>
      <c r="J168" s="3">
        <f t="shared" si="31"/>
        <v>0.19168774961414228</v>
      </c>
      <c r="K168" s="3">
        <f t="shared" si="32"/>
        <v>0.1666905341543749</v>
      </c>
      <c r="L168" s="3">
        <f t="shared" si="33"/>
        <v>0.64162171623148279</v>
      </c>
      <c r="M168" s="56">
        <f t="shared" si="34"/>
        <v>0.35837828376851721</v>
      </c>
      <c r="O168" s="2">
        <v>59702</v>
      </c>
      <c r="R168" s="2">
        <v>52830</v>
      </c>
      <c r="S168" s="36"/>
    </row>
    <row r="169" spans="1:19" x14ac:dyDescent="0.25">
      <c r="A169" s="54" t="s">
        <v>26</v>
      </c>
      <c r="B169" s="1">
        <v>45092</v>
      </c>
      <c r="C169" s="36">
        <f t="shared" si="27"/>
        <v>49749.600000000006</v>
      </c>
      <c r="D169" s="2">
        <v>16214</v>
      </c>
      <c r="E169" s="36">
        <f t="shared" si="28"/>
        <v>16026.400000000001</v>
      </c>
      <c r="F169" s="2">
        <v>16131</v>
      </c>
      <c r="G169" s="2">
        <f t="shared" si="26"/>
        <v>98121</v>
      </c>
      <c r="H169" s="3">
        <f t="shared" si="29"/>
        <v>0.50702296144556214</v>
      </c>
      <c r="I169" s="3">
        <f t="shared" si="30"/>
        <v>0.16333302758838578</v>
      </c>
      <c r="J169" s="3">
        <f t="shared" si="31"/>
        <v>0.16524495266049061</v>
      </c>
      <c r="K169" s="3">
        <f t="shared" si="32"/>
        <v>0.16439905830556151</v>
      </c>
      <c r="L169" s="3">
        <f t="shared" si="33"/>
        <v>0.67035598903394789</v>
      </c>
      <c r="M169" s="56">
        <f t="shared" si="34"/>
        <v>0.32964401096605211</v>
      </c>
      <c r="O169" s="2">
        <v>51898</v>
      </c>
      <c r="R169" s="2">
        <v>62619</v>
      </c>
      <c r="S169" s="36"/>
    </row>
    <row r="170" spans="1:19" hidden="1" x14ac:dyDescent="0.25">
      <c r="A170" s="54" t="s">
        <v>7</v>
      </c>
      <c r="B170" s="1">
        <v>45093</v>
      </c>
      <c r="C170" s="36">
        <f t="shared" si="27"/>
        <v>61452</v>
      </c>
      <c r="D170" s="2">
        <v>21129</v>
      </c>
      <c r="E170" s="36">
        <f t="shared" si="28"/>
        <v>23626.400000000001</v>
      </c>
      <c r="F170" s="2">
        <v>17525</v>
      </c>
      <c r="G170" s="2">
        <f t="shared" si="26"/>
        <v>123732.4</v>
      </c>
      <c r="H170" s="3">
        <f t="shared" si="29"/>
        <v>0.49665245319738405</v>
      </c>
      <c r="I170" s="3">
        <f t="shared" si="30"/>
        <v>0.19094756102686122</v>
      </c>
      <c r="J170" s="3">
        <f t="shared" si="31"/>
        <v>0.17076368032948525</v>
      </c>
      <c r="K170" s="3">
        <f t="shared" si="32"/>
        <v>0.14163630544626954</v>
      </c>
      <c r="L170" s="3">
        <f t="shared" si="33"/>
        <v>0.68760001422424522</v>
      </c>
      <c r="M170" s="56">
        <f t="shared" si="34"/>
        <v>0.31239998577575478</v>
      </c>
      <c r="O170" s="2">
        <v>70285</v>
      </c>
      <c r="R170" s="2">
        <v>57525</v>
      </c>
      <c r="S170" s="36"/>
    </row>
    <row r="171" spans="1:19" hidden="1" x14ac:dyDescent="0.25">
      <c r="A171" s="54" t="s">
        <v>30</v>
      </c>
      <c r="B171" s="1">
        <v>45094</v>
      </c>
      <c r="C171" s="36">
        <f t="shared" si="27"/>
        <v>43165.600000000006</v>
      </c>
      <c r="D171" s="2">
        <v>20225</v>
      </c>
      <c r="E171" s="36">
        <f t="shared" si="28"/>
        <v>37530.400000000001</v>
      </c>
      <c r="F171" s="2">
        <v>24659</v>
      </c>
      <c r="G171" s="2">
        <f t="shared" si="26"/>
        <v>125580</v>
      </c>
      <c r="H171" s="3">
        <f t="shared" si="29"/>
        <v>0.34372989329511072</v>
      </c>
      <c r="I171" s="3">
        <f t="shared" si="30"/>
        <v>0.29885650581302758</v>
      </c>
      <c r="J171" s="3">
        <f t="shared" si="31"/>
        <v>0.16105271540054147</v>
      </c>
      <c r="K171" s="3">
        <f t="shared" si="32"/>
        <v>0.19636088549132028</v>
      </c>
      <c r="L171" s="3">
        <f t="shared" si="33"/>
        <v>0.6425863991081382</v>
      </c>
      <c r="M171" s="56">
        <f t="shared" si="34"/>
        <v>0.35741360089186175</v>
      </c>
      <c r="O171" s="2">
        <v>94560</v>
      </c>
      <c r="R171" s="2">
        <v>58304</v>
      </c>
      <c r="S171" s="36"/>
    </row>
    <row r="172" spans="1:19" hidden="1" x14ac:dyDescent="0.25">
      <c r="A172" s="54" t="s">
        <v>31</v>
      </c>
      <c r="B172" s="1">
        <v>45095</v>
      </c>
      <c r="C172" s="36">
        <f t="shared" si="27"/>
        <v>35815.200000000004</v>
      </c>
      <c r="D172" s="2">
        <v>17966</v>
      </c>
      <c r="E172" s="36">
        <f t="shared" si="28"/>
        <v>50674.400000000001</v>
      </c>
      <c r="F172" s="2">
        <v>24082</v>
      </c>
      <c r="G172" s="2">
        <f t="shared" si="26"/>
        <v>128537.60000000001</v>
      </c>
      <c r="H172" s="3">
        <f t="shared" si="29"/>
        <v>0.27863597888866759</v>
      </c>
      <c r="I172" s="3">
        <f t="shared" si="30"/>
        <v>0.39423795060744871</v>
      </c>
      <c r="J172" s="3">
        <f t="shared" si="31"/>
        <v>0.13977233120892252</v>
      </c>
      <c r="K172" s="3">
        <f t="shared" si="32"/>
        <v>0.18735373929496116</v>
      </c>
      <c r="L172" s="3">
        <f t="shared" si="33"/>
        <v>0.67287392949611635</v>
      </c>
      <c r="M172" s="56">
        <f t="shared" si="34"/>
        <v>0.32712607050388365</v>
      </c>
      <c r="O172" s="2">
        <v>47908</v>
      </c>
      <c r="R172" s="2">
        <v>39939</v>
      </c>
      <c r="S172" s="36"/>
    </row>
    <row r="173" spans="1:19" hidden="1" x14ac:dyDescent="0.25">
      <c r="A173" s="54" t="s">
        <v>129</v>
      </c>
      <c r="B173" s="1">
        <v>45096</v>
      </c>
      <c r="C173" s="36">
        <f t="shared" si="27"/>
        <v>55059.200000000004</v>
      </c>
      <c r="D173" s="2">
        <v>20068</v>
      </c>
      <c r="E173" s="36">
        <f t="shared" si="28"/>
        <v>47200</v>
      </c>
      <c r="F173" s="2">
        <v>23385</v>
      </c>
      <c r="G173" s="2">
        <f t="shared" si="26"/>
        <v>145712.20000000001</v>
      </c>
      <c r="H173" s="3">
        <f t="shared" si="29"/>
        <v>0.37786266352439946</v>
      </c>
      <c r="I173" s="3">
        <f t="shared" si="30"/>
        <v>0.32392620521823151</v>
      </c>
      <c r="J173" s="3">
        <f t="shared" si="31"/>
        <v>0.13772353996439557</v>
      </c>
      <c r="K173" s="3">
        <f t="shared" si="32"/>
        <v>0.16048759129297341</v>
      </c>
      <c r="L173" s="3">
        <f t="shared" si="33"/>
        <v>0.70178886874263102</v>
      </c>
      <c r="M173" s="56">
        <f t="shared" si="34"/>
        <v>0.29821113125736898</v>
      </c>
      <c r="O173" s="2">
        <v>64179</v>
      </c>
      <c r="R173" s="2">
        <v>31687</v>
      </c>
      <c r="S173" s="36"/>
    </row>
    <row r="174" spans="1:19" hidden="1" x14ac:dyDescent="0.25">
      <c r="A174" s="54" t="s">
        <v>14</v>
      </c>
      <c r="B174" s="1">
        <v>45097</v>
      </c>
      <c r="C174" s="36">
        <f t="shared" si="27"/>
        <v>51022.400000000001</v>
      </c>
      <c r="D174" s="2">
        <v>13074</v>
      </c>
      <c r="E174" s="36">
        <f t="shared" si="28"/>
        <v>36109.599999999999</v>
      </c>
      <c r="F174" s="2">
        <v>19251</v>
      </c>
      <c r="G174" s="2">
        <f t="shared" si="26"/>
        <v>119457</v>
      </c>
      <c r="H174" s="3">
        <f t="shared" si="29"/>
        <v>0.42711938186962672</v>
      </c>
      <c r="I174" s="3">
        <f t="shared" si="30"/>
        <v>0.30228115556225249</v>
      </c>
      <c r="J174" s="3">
        <f t="shared" si="31"/>
        <v>0.10944523970968634</v>
      </c>
      <c r="K174" s="3">
        <f t="shared" si="32"/>
        <v>0.16115422285843442</v>
      </c>
      <c r="L174" s="3">
        <f t="shared" si="33"/>
        <v>0.72940053743187927</v>
      </c>
      <c r="M174" s="56">
        <f t="shared" si="34"/>
        <v>0.27059946256812073</v>
      </c>
      <c r="O174" s="2">
        <v>60809</v>
      </c>
      <c r="R174" s="2">
        <v>35123</v>
      </c>
      <c r="S174" s="36"/>
    </row>
    <row r="175" spans="1:19" hidden="1" x14ac:dyDescent="0.25">
      <c r="A175" s="54" t="s">
        <v>21</v>
      </c>
      <c r="B175" s="1">
        <v>45098</v>
      </c>
      <c r="C175" s="36">
        <f t="shared" si="27"/>
        <v>43078.400000000001</v>
      </c>
      <c r="D175" s="2">
        <v>16543</v>
      </c>
      <c r="E175" s="36">
        <f t="shared" si="28"/>
        <v>22828</v>
      </c>
      <c r="F175" s="2">
        <v>17840</v>
      </c>
      <c r="G175" s="2">
        <f t="shared" si="26"/>
        <v>100289.4</v>
      </c>
      <c r="H175" s="3">
        <f t="shared" si="29"/>
        <v>0.42954090861048133</v>
      </c>
      <c r="I175" s="3">
        <f t="shared" si="30"/>
        <v>0.22762126406180516</v>
      </c>
      <c r="J175" s="3">
        <f t="shared" si="31"/>
        <v>0.16495262709718078</v>
      </c>
      <c r="K175" s="3">
        <f t="shared" si="32"/>
        <v>0.17788520023053284</v>
      </c>
      <c r="L175" s="3">
        <f t="shared" si="33"/>
        <v>0.65716217267228638</v>
      </c>
      <c r="M175" s="56">
        <f t="shared" si="34"/>
        <v>0.34283782732771362</v>
      </c>
      <c r="O175" s="2">
        <v>38343</v>
      </c>
      <c r="R175" s="2">
        <v>44890</v>
      </c>
      <c r="S175" s="36"/>
    </row>
    <row r="176" spans="1:19" x14ac:dyDescent="0.25">
      <c r="A176" s="54" t="s">
        <v>26</v>
      </c>
      <c r="B176" s="1">
        <v>45099</v>
      </c>
      <c r="C176" s="36">
        <f t="shared" si="27"/>
        <v>44397.600000000006</v>
      </c>
      <c r="D176" s="2">
        <v>15452</v>
      </c>
      <c r="E176" s="36">
        <f t="shared" si="28"/>
        <v>13670.400000000001</v>
      </c>
      <c r="F176" s="2">
        <v>16886</v>
      </c>
      <c r="G176" s="2">
        <f t="shared" si="26"/>
        <v>90406</v>
      </c>
      <c r="H176" s="3">
        <f t="shared" si="29"/>
        <v>0.49109129925004985</v>
      </c>
      <c r="I176" s="3">
        <f t="shared" si="30"/>
        <v>0.15121120279627459</v>
      </c>
      <c r="J176" s="3">
        <f t="shared" si="31"/>
        <v>0.17091785943410837</v>
      </c>
      <c r="K176" s="3">
        <f t="shared" si="32"/>
        <v>0.18677963851956728</v>
      </c>
      <c r="L176" s="3">
        <f t="shared" si="33"/>
        <v>0.64230250204632444</v>
      </c>
      <c r="M176" s="56">
        <f t="shared" si="34"/>
        <v>0.35769749795367561</v>
      </c>
      <c r="O176" s="2">
        <v>34792</v>
      </c>
      <c r="R176" s="2">
        <v>53102</v>
      </c>
      <c r="S176" s="36"/>
    </row>
    <row r="177" spans="1:19" hidden="1" x14ac:dyDescent="0.25">
      <c r="A177" s="54" t="s">
        <v>7</v>
      </c>
      <c r="B177" s="1">
        <v>45100</v>
      </c>
      <c r="C177" s="36">
        <f t="shared" si="27"/>
        <v>55245.600000000006</v>
      </c>
      <c r="D177" s="2">
        <v>15650</v>
      </c>
      <c r="E177" s="36">
        <f t="shared" si="28"/>
        <v>24640.800000000003</v>
      </c>
      <c r="F177" s="2">
        <v>23404</v>
      </c>
      <c r="G177" s="2">
        <f t="shared" si="26"/>
        <v>118940.40000000001</v>
      </c>
      <c r="H177" s="3">
        <f t="shared" si="29"/>
        <v>0.46448137050152849</v>
      </c>
      <c r="I177" s="3">
        <f t="shared" si="30"/>
        <v>0.20716930496282174</v>
      </c>
      <c r="J177" s="3">
        <f t="shared" si="31"/>
        <v>0.13157850486462128</v>
      </c>
      <c r="K177" s="3">
        <f t="shared" si="32"/>
        <v>0.1967708196710285</v>
      </c>
      <c r="L177" s="3">
        <f t="shared" si="33"/>
        <v>0.6716506754643502</v>
      </c>
      <c r="M177" s="56">
        <f t="shared" si="34"/>
        <v>0.32834932453564974</v>
      </c>
      <c r="O177" s="2">
        <v>45876</v>
      </c>
      <c r="R177" s="2">
        <v>52585</v>
      </c>
      <c r="S177" s="36"/>
    </row>
    <row r="178" spans="1:19" hidden="1" x14ac:dyDescent="0.25">
      <c r="A178" s="54" t="s">
        <v>30</v>
      </c>
      <c r="B178" s="1">
        <v>45101</v>
      </c>
      <c r="C178" s="36">
        <f t="shared" si="27"/>
        <v>53292</v>
      </c>
      <c r="D178" s="2">
        <v>20219</v>
      </c>
      <c r="E178" s="36">
        <f t="shared" si="28"/>
        <v>36782.400000000001</v>
      </c>
      <c r="F178" s="2">
        <v>26351</v>
      </c>
      <c r="G178" s="2">
        <f t="shared" si="26"/>
        <v>136644.4</v>
      </c>
      <c r="H178" s="3">
        <f t="shared" si="29"/>
        <v>0.39000500569361057</v>
      </c>
      <c r="I178" s="3">
        <f t="shared" si="30"/>
        <v>0.26918336938798809</v>
      </c>
      <c r="J178" s="3">
        <f t="shared" si="31"/>
        <v>0.14796801039779164</v>
      </c>
      <c r="K178" s="3">
        <f t="shared" si="32"/>
        <v>0.19284361452060972</v>
      </c>
      <c r="L178" s="3">
        <f t="shared" si="33"/>
        <v>0.65918837508159867</v>
      </c>
      <c r="M178" s="56">
        <f t="shared" si="34"/>
        <v>0.34081162491840133</v>
      </c>
      <c r="O178" s="2">
        <v>64114</v>
      </c>
      <c r="R178" s="2">
        <v>39615</v>
      </c>
      <c r="S178" s="36"/>
    </row>
    <row r="179" spans="1:19" hidden="1" x14ac:dyDescent="0.25">
      <c r="A179" s="54" t="s">
        <v>31</v>
      </c>
      <c r="B179" s="1">
        <v>45102</v>
      </c>
      <c r="C179" s="36">
        <f t="shared" si="27"/>
        <v>46776</v>
      </c>
      <c r="D179" s="2">
        <v>17616</v>
      </c>
      <c r="E179" s="36">
        <f t="shared" si="28"/>
        <v>46172</v>
      </c>
      <c r="F179" s="2">
        <v>26635</v>
      </c>
      <c r="G179" s="2">
        <f t="shared" si="26"/>
        <v>137199</v>
      </c>
      <c r="H179" s="3">
        <f t="shared" si="29"/>
        <v>0.34093542955852446</v>
      </c>
      <c r="I179" s="3">
        <f t="shared" si="30"/>
        <v>0.33653306510980402</v>
      </c>
      <c r="J179" s="3">
        <f t="shared" si="31"/>
        <v>0.12839743729910569</v>
      </c>
      <c r="K179" s="3">
        <f t="shared" si="32"/>
        <v>0.19413406803256583</v>
      </c>
      <c r="L179" s="3">
        <f t="shared" si="33"/>
        <v>0.67746849466832848</v>
      </c>
      <c r="M179" s="56">
        <f t="shared" si="34"/>
        <v>0.32253150533167152</v>
      </c>
      <c r="O179" s="2">
        <v>47592</v>
      </c>
      <c r="R179" s="2">
        <v>27189</v>
      </c>
      <c r="S179" s="36"/>
    </row>
    <row r="180" spans="1:19" hidden="1" x14ac:dyDescent="0.25">
      <c r="A180" s="54" t="s">
        <v>129</v>
      </c>
      <c r="B180" s="1">
        <v>45103</v>
      </c>
      <c r="C180" s="36">
        <f t="shared" si="27"/>
        <v>52646.400000000001</v>
      </c>
      <c r="D180" s="2">
        <v>21218</v>
      </c>
      <c r="E180" s="36">
        <f t="shared" si="28"/>
        <v>49497.600000000006</v>
      </c>
      <c r="F180" s="2">
        <v>23068</v>
      </c>
      <c r="G180" s="2">
        <f t="shared" si="26"/>
        <v>146430</v>
      </c>
      <c r="H180" s="3">
        <f t="shared" si="29"/>
        <v>0.35953288260602334</v>
      </c>
      <c r="I180" s="3">
        <f t="shared" si="30"/>
        <v>0.33802909239909856</v>
      </c>
      <c r="J180" s="3">
        <f t="shared" si="31"/>
        <v>0.14490200095608824</v>
      </c>
      <c r="K180" s="3">
        <f t="shared" si="32"/>
        <v>0.15753602403878986</v>
      </c>
      <c r="L180" s="3">
        <f t="shared" si="33"/>
        <v>0.69756197500512185</v>
      </c>
      <c r="M180" s="56">
        <f t="shared" si="34"/>
        <v>0.3024380249948781</v>
      </c>
      <c r="O180" s="2">
        <v>43634</v>
      </c>
      <c r="R180" s="2">
        <v>28335</v>
      </c>
      <c r="S180" s="36"/>
    </row>
    <row r="181" spans="1:19" hidden="1" x14ac:dyDescent="0.25">
      <c r="A181" s="54" t="s">
        <v>14</v>
      </c>
      <c r="B181" s="1">
        <v>45104</v>
      </c>
      <c r="C181" s="36">
        <f t="shared" si="27"/>
        <v>68943.199999999997</v>
      </c>
      <c r="D181" s="2">
        <v>21356</v>
      </c>
      <c r="E181" s="36">
        <f t="shared" si="28"/>
        <v>34370.400000000001</v>
      </c>
      <c r="F181" s="2">
        <v>24563</v>
      </c>
      <c r="G181" s="2">
        <f t="shared" si="26"/>
        <v>149232.6</v>
      </c>
      <c r="H181" s="3">
        <f t="shared" si="29"/>
        <v>0.46198484781475357</v>
      </c>
      <c r="I181" s="3">
        <f t="shared" si="30"/>
        <v>0.23031428789688044</v>
      </c>
      <c r="J181" s="3">
        <f t="shared" si="31"/>
        <v>0.14310546087115014</v>
      </c>
      <c r="K181" s="3">
        <f t="shared" si="32"/>
        <v>0.16459540341721579</v>
      </c>
      <c r="L181" s="3">
        <f t="shared" si="33"/>
        <v>0.69229913571163404</v>
      </c>
      <c r="M181" s="56">
        <f t="shared" si="34"/>
        <v>0.30770086428836596</v>
      </c>
      <c r="O181" s="2">
        <v>50897</v>
      </c>
      <c r="R181" s="2">
        <v>36723</v>
      </c>
      <c r="S181" s="36"/>
    </row>
    <row r="182" spans="1:19" hidden="1" x14ac:dyDescent="0.25">
      <c r="A182" s="54" t="s">
        <v>21</v>
      </c>
      <c r="B182" s="1">
        <v>45105</v>
      </c>
      <c r="C182" s="36">
        <f t="shared" si="27"/>
        <v>45733.600000000006</v>
      </c>
      <c r="D182" s="2">
        <v>17470</v>
      </c>
      <c r="E182" s="36">
        <f t="shared" si="28"/>
        <v>41374.400000000001</v>
      </c>
      <c r="F182" s="2">
        <v>18361</v>
      </c>
      <c r="G182" s="2">
        <f t="shared" si="26"/>
        <v>122939</v>
      </c>
      <c r="H182" s="3">
        <f t="shared" si="29"/>
        <v>0.37200237516166557</v>
      </c>
      <c r="I182" s="3">
        <f t="shared" si="30"/>
        <v>0.33654413977663722</v>
      </c>
      <c r="J182" s="3">
        <f t="shared" si="31"/>
        <v>0.14210299416783934</v>
      </c>
      <c r="K182" s="3">
        <f t="shared" si="32"/>
        <v>0.14935049089385793</v>
      </c>
      <c r="L182" s="3">
        <f t="shared" si="33"/>
        <v>0.70854651493830278</v>
      </c>
      <c r="M182" s="56">
        <f t="shared" si="34"/>
        <v>0.29145348506169727</v>
      </c>
      <c r="O182" s="2">
        <v>51872</v>
      </c>
      <c r="R182" s="2">
        <v>30646</v>
      </c>
      <c r="S182" s="36"/>
    </row>
    <row r="183" spans="1:19" x14ac:dyDescent="0.25">
      <c r="A183" s="54" t="s">
        <v>26</v>
      </c>
      <c r="B183" s="1">
        <v>45106</v>
      </c>
      <c r="C183" s="36">
        <f t="shared" si="27"/>
        <v>40833.600000000006</v>
      </c>
      <c r="D183" s="2">
        <v>12816</v>
      </c>
      <c r="E183" s="36">
        <f t="shared" si="28"/>
        <v>27863.200000000001</v>
      </c>
      <c r="F183" s="2">
        <v>16972</v>
      </c>
      <c r="G183" s="2">
        <f t="shared" si="26"/>
        <v>98484.800000000003</v>
      </c>
      <c r="H183" s="3">
        <f t="shared" si="29"/>
        <v>0.41461829642746906</v>
      </c>
      <c r="I183" s="3">
        <f t="shared" si="30"/>
        <v>0.28291878543694055</v>
      </c>
      <c r="J183" s="3">
        <f t="shared" si="31"/>
        <v>0.13013175637255697</v>
      </c>
      <c r="K183" s="3">
        <f t="shared" si="32"/>
        <v>0.17233116176303348</v>
      </c>
      <c r="L183" s="3">
        <f t="shared" si="33"/>
        <v>0.69753708186440955</v>
      </c>
      <c r="M183" s="56">
        <f t="shared" si="34"/>
        <v>0.30246291813559045</v>
      </c>
      <c r="O183" s="2">
        <v>60160</v>
      </c>
      <c r="R183" s="2">
        <v>48892</v>
      </c>
      <c r="S183" s="36"/>
    </row>
    <row r="184" spans="1:19" hidden="1" x14ac:dyDescent="0.25">
      <c r="A184" s="54" t="s">
        <v>7</v>
      </c>
      <c r="B184" s="1">
        <v>45107</v>
      </c>
      <c r="C184" s="36">
        <f t="shared" si="27"/>
        <v>37235.200000000004</v>
      </c>
      <c r="D184" s="2">
        <v>11763</v>
      </c>
      <c r="E184" s="36">
        <f t="shared" si="28"/>
        <v>35313.599999999999</v>
      </c>
      <c r="F184" s="2">
        <v>20422</v>
      </c>
      <c r="G184" s="2">
        <f t="shared" si="26"/>
        <v>104733.8</v>
      </c>
      <c r="H184" s="3">
        <f t="shared" si="29"/>
        <v>0.35552228602418706</v>
      </c>
      <c r="I184" s="3">
        <f t="shared" si="30"/>
        <v>0.33717481844447539</v>
      </c>
      <c r="J184" s="3">
        <f t="shared" si="31"/>
        <v>0.1123133124168129</v>
      </c>
      <c r="K184" s="3">
        <f t="shared" si="32"/>
        <v>0.19498958311452463</v>
      </c>
      <c r="L184" s="3">
        <f t="shared" si="33"/>
        <v>0.69269710446866251</v>
      </c>
      <c r="M184" s="56">
        <f t="shared" si="34"/>
        <v>0.30730289553133755</v>
      </c>
      <c r="O184" s="2">
        <v>67125</v>
      </c>
      <c r="R184" s="2">
        <v>46307</v>
      </c>
      <c r="S184" s="36"/>
    </row>
    <row r="185" spans="1:19" hidden="1" x14ac:dyDescent="0.25">
      <c r="A185" s="54" t="s">
        <v>30</v>
      </c>
      <c r="B185" s="1">
        <v>45108</v>
      </c>
      <c r="C185" s="36">
        <f t="shared" si="27"/>
        <v>42482.400000000001</v>
      </c>
      <c r="D185" s="2">
        <v>22815</v>
      </c>
      <c r="E185" s="36">
        <f t="shared" si="28"/>
        <v>57336</v>
      </c>
      <c r="F185" s="2">
        <v>22482</v>
      </c>
      <c r="G185" s="2">
        <f t="shared" si="26"/>
        <v>145115.4</v>
      </c>
      <c r="H185" s="3">
        <f t="shared" si="29"/>
        <v>0.29274908107616421</v>
      </c>
      <c r="I185" s="3">
        <f t="shared" si="30"/>
        <v>0.39510623958587443</v>
      </c>
      <c r="J185" s="3">
        <f t="shared" si="31"/>
        <v>0.15721970238858179</v>
      </c>
      <c r="K185" s="3">
        <f t="shared" si="32"/>
        <v>0.15492497694937959</v>
      </c>
      <c r="L185" s="3">
        <f t="shared" si="33"/>
        <v>0.68785532066203858</v>
      </c>
      <c r="M185" s="56">
        <f t="shared" si="34"/>
        <v>0.31214467933796136</v>
      </c>
      <c r="O185" s="2">
        <v>73534</v>
      </c>
      <c r="R185" s="2">
        <v>39590</v>
      </c>
      <c r="S185" s="36"/>
    </row>
    <row r="186" spans="1:19" hidden="1" x14ac:dyDescent="0.25">
      <c r="A186" s="54" t="s">
        <v>31</v>
      </c>
      <c r="B186" s="1">
        <v>45109</v>
      </c>
      <c r="C186" s="36">
        <f t="shared" si="27"/>
        <v>43060</v>
      </c>
      <c r="D186" s="2">
        <v>18970</v>
      </c>
      <c r="E186" s="36">
        <f t="shared" si="28"/>
        <v>44061.600000000006</v>
      </c>
      <c r="F186" s="2">
        <v>27458</v>
      </c>
      <c r="G186" s="2">
        <f t="shared" si="26"/>
        <v>133549.6</v>
      </c>
      <c r="H186" s="3">
        <f t="shared" si="29"/>
        <v>0.32242702336809692</v>
      </c>
      <c r="I186" s="3">
        <f t="shared" si="30"/>
        <v>0.32992685863529359</v>
      </c>
      <c r="J186" s="3">
        <f t="shared" si="31"/>
        <v>0.14204460365287502</v>
      </c>
      <c r="K186" s="3">
        <f t="shared" si="32"/>
        <v>0.20560151434373444</v>
      </c>
      <c r="L186" s="3">
        <f t="shared" si="33"/>
        <v>0.65235388200339051</v>
      </c>
      <c r="M186" s="56">
        <f t="shared" si="34"/>
        <v>0.34764611799660949</v>
      </c>
      <c r="O186" s="2">
        <v>35678</v>
      </c>
      <c r="R186" s="2">
        <v>30461</v>
      </c>
      <c r="S186" s="36"/>
    </row>
    <row r="187" spans="1:19" hidden="1" x14ac:dyDescent="0.25">
      <c r="A187" s="54" t="s">
        <v>129</v>
      </c>
      <c r="B187" s="1">
        <v>45110</v>
      </c>
      <c r="C187" s="36">
        <f t="shared" si="27"/>
        <v>26338.400000000001</v>
      </c>
      <c r="D187" s="2">
        <v>12473</v>
      </c>
      <c r="E187" s="36">
        <f t="shared" si="28"/>
        <v>39101.599999999999</v>
      </c>
      <c r="F187" s="2">
        <v>23335</v>
      </c>
      <c r="G187" s="2">
        <f t="shared" si="26"/>
        <v>101248</v>
      </c>
      <c r="H187" s="3">
        <f t="shared" si="29"/>
        <v>0.26013748419721872</v>
      </c>
      <c r="I187" s="3">
        <f t="shared" si="30"/>
        <v>0.38619627054361566</v>
      </c>
      <c r="J187" s="3">
        <f t="shared" si="31"/>
        <v>0.12319255689001264</v>
      </c>
      <c r="K187" s="3">
        <f t="shared" si="32"/>
        <v>0.23047368836915297</v>
      </c>
      <c r="L187" s="3">
        <f t="shared" si="33"/>
        <v>0.64633375474083443</v>
      </c>
      <c r="M187" s="56">
        <f t="shared" si="34"/>
        <v>0.35366624525916562</v>
      </c>
      <c r="O187" s="2">
        <v>52841</v>
      </c>
      <c r="R187" s="2">
        <v>18329</v>
      </c>
      <c r="S187" s="36"/>
    </row>
    <row r="188" spans="1:19" hidden="1" x14ac:dyDescent="0.25">
      <c r="A188" s="54" t="s">
        <v>14</v>
      </c>
      <c r="B188" s="1">
        <v>45111</v>
      </c>
      <c r="C188" s="36">
        <f t="shared" si="27"/>
        <v>43402.400000000001</v>
      </c>
      <c r="D188" s="2">
        <v>16070</v>
      </c>
      <c r="E188" s="36">
        <f t="shared" si="28"/>
        <v>11604.800000000001</v>
      </c>
      <c r="F188" s="2">
        <v>9536</v>
      </c>
      <c r="G188" s="2">
        <f t="shared" si="26"/>
        <v>80613.2</v>
      </c>
      <c r="H188" s="3">
        <f t="shared" si="29"/>
        <v>0.53840313993241806</v>
      </c>
      <c r="I188" s="3">
        <f t="shared" si="30"/>
        <v>0.14395657286895944</v>
      </c>
      <c r="J188" s="3">
        <f t="shared" si="31"/>
        <v>0.1993470052051029</v>
      </c>
      <c r="K188" s="3">
        <f t="shared" si="32"/>
        <v>0.11829328199351967</v>
      </c>
      <c r="L188" s="3">
        <f t="shared" si="33"/>
        <v>0.68235971280137753</v>
      </c>
      <c r="M188" s="56">
        <f t="shared" si="34"/>
        <v>0.31764028719862258</v>
      </c>
      <c r="O188" s="2">
        <v>41274</v>
      </c>
      <c r="R188" s="2">
        <v>42083</v>
      </c>
      <c r="S188" s="36"/>
    </row>
    <row r="189" spans="1:19" hidden="1" x14ac:dyDescent="0.25">
      <c r="A189" s="54" t="s">
        <v>21</v>
      </c>
      <c r="B189" s="1">
        <v>45112</v>
      </c>
      <c r="C189" s="36">
        <f t="shared" si="27"/>
        <v>25551.200000000001</v>
      </c>
      <c r="D189" s="2">
        <v>13082</v>
      </c>
      <c r="E189" s="36">
        <f t="shared" si="28"/>
        <v>15259.2</v>
      </c>
      <c r="F189" s="2">
        <v>19355</v>
      </c>
      <c r="G189" s="2">
        <f t="shared" si="26"/>
        <v>73247.399999999994</v>
      </c>
      <c r="H189" s="3">
        <f t="shared" si="29"/>
        <v>0.34883422483255383</v>
      </c>
      <c r="I189" s="3">
        <f t="shared" si="30"/>
        <v>0.20832411798917097</v>
      </c>
      <c r="J189" s="3">
        <f t="shared" si="31"/>
        <v>0.17860019604791436</v>
      </c>
      <c r="K189" s="3">
        <f t="shared" si="32"/>
        <v>0.26424146113036096</v>
      </c>
      <c r="L189" s="3">
        <f t="shared" si="33"/>
        <v>0.55715834282172483</v>
      </c>
      <c r="M189" s="56">
        <f t="shared" si="34"/>
        <v>0.44284165717827528</v>
      </c>
      <c r="O189" s="2">
        <v>47823</v>
      </c>
      <c r="R189" s="2">
        <v>49313</v>
      </c>
      <c r="S189" s="36"/>
    </row>
    <row r="190" spans="1:19" x14ac:dyDescent="0.25">
      <c r="A190" s="54" t="s">
        <v>26</v>
      </c>
      <c r="B190" s="1">
        <v>45113</v>
      </c>
      <c r="C190" s="36">
        <f t="shared" si="27"/>
        <v>20240.800000000003</v>
      </c>
      <c r="D190" s="2">
        <v>12308</v>
      </c>
      <c r="E190" s="36">
        <f t="shared" si="28"/>
        <v>19261.600000000002</v>
      </c>
      <c r="F190" s="2">
        <v>15100</v>
      </c>
      <c r="G190" s="2">
        <f t="shared" si="26"/>
        <v>66910.400000000009</v>
      </c>
      <c r="H190" s="3">
        <f t="shared" si="29"/>
        <v>0.30250603792534492</v>
      </c>
      <c r="I190" s="3">
        <f t="shared" si="30"/>
        <v>0.28787154164375045</v>
      </c>
      <c r="J190" s="3">
        <f t="shared" si="31"/>
        <v>0.18394748798393074</v>
      </c>
      <c r="K190" s="3">
        <f t="shared" si="32"/>
        <v>0.22567493244697384</v>
      </c>
      <c r="L190" s="3">
        <f t="shared" si="33"/>
        <v>0.59037757956909542</v>
      </c>
      <c r="M190" s="56">
        <f t="shared" si="34"/>
        <v>0.40962242043090458</v>
      </c>
      <c r="O190" s="2">
        <v>39733</v>
      </c>
      <c r="R190" s="2">
        <v>63357</v>
      </c>
      <c r="S190" s="36"/>
    </row>
    <row r="191" spans="1:19" hidden="1" x14ac:dyDescent="0.25">
      <c r="A191" s="54" t="s">
        <v>7</v>
      </c>
      <c r="B191" s="1">
        <v>45114</v>
      </c>
      <c r="C191" s="36">
        <f t="shared" si="27"/>
        <v>45108.800000000003</v>
      </c>
      <c r="D191" s="2">
        <v>15008</v>
      </c>
      <c r="E191" s="36">
        <f t="shared" si="28"/>
        <v>29985.600000000002</v>
      </c>
      <c r="F191" s="2">
        <v>17844</v>
      </c>
      <c r="G191" s="2">
        <f t="shared" si="26"/>
        <v>107946.40000000001</v>
      </c>
      <c r="H191" s="3">
        <f t="shared" si="29"/>
        <v>0.41788146709848589</v>
      </c>
      <c r="I191" s="3">
        <f t="shared" si="30"/>
        <v>0.27778230677447324</v>
      </c>
      <c r="J191" s="3">
        <f t="shared" si="31"/>
        <v>0.13903196401176879</v>
      </c>
      <c r="K191" s="3">
        <f t="shared" si="32"/>
        <v>0.16530426211527202</v>
      </c>
      <c r="L191" s="3">
        <f t="shared" si="33"/>
        <v>0.69566377387295919</v>
      </c>
      <c r="M191" s="56">
        <f t="shared" si="34"/>
        <v>0.30433622612704081</v>
      </c>
      <c r="O191" s="2">
        <v>66821</v>
      </c>
      <c r="R191" s="2">
        <v>48781</v>
      </c>
      <c r="S191" s="36"/>
    </row>
    <row r="192" spans="1:19" hidden="1" x14ac:dyDescent="0.25">
      <c r="A192" s="54" t="s">
        <v>30</v>
      </c>
      <c r="B192" s="1">
        <v>45115</v>
      </c>
      <c r="C192" s="36">
        <f t="shared" si="27"/>
        <v>32056.800000000003</v>
      </c>
      <c r="D192" s="2">
        <v>21883</v>
      </c>
      <c r="E192" s="36">
        <f t="shared" si="28"/>
        <v>32099.200000000001</v>
      </c>
      <c r="F192" s="2">
        <v>26357</v>
      </c>
      <c r="G192" s="2">
        <f t="shared" si="26"/>
        <v>112396</v>
      </c>
      <c r="H192" s="3">
        <f t="shared" si="29"/>
        <v>0.28521299690380442</v>
      </c>
      <c r="I192" s="3">
        <f t="shared" si="30"/>
        <v>0.28559023452791915</v>
      </c>
      <c r="J192" s="3">
        <f t="shared" si="31"/>
        <v>0.19469554076657533</v>
      </c>
      <c r="K192" s="3">
        <f t="shared" si="32"/>
        <v>0.23450122780170113</v>
      </c>
      <c r="L192" s="3">
        <f t="shared" si="33"/>
        <v>0.57080323143172351</v>
      </c>
      <c r="M192" s="56">
        <f t="shared" si="34"/>
        <v>0.42919676856827643</v>
      </c>
      <c r="O192" s="2">
        <v>89202</v>
      </c>
      <c r="R192" s="2">
        <v>52840</v>
      </c>
      <c r="S192" s="36"/>
    </row>
    <row r="193" spans="1:19" hidden="1" x14ac:dyDescent="0.25">
      <c r="A193" s="54" t="s">
        <v>31</v>
      </c>
      <c r="B193" s="1">
        <v>45116</v>
      </c>
      <c r="C193" s="36">
        <f t="shared" si="27"/>
        <v>32684</v>
      </c>
      <c r="D193" s="2">
        <v>15403</v>
      </c>
      <c r="E193" s="36">
        <f t="shared" si="28"/>
        <v>31080.800000000003</v>
      </c>
      <c r="F193" s="2">
        <v>30136</v>
      </c>
      <c r="G193" s="2">
        <f t="shared" si="26"/>
        <v>109303.8</v>
      </c>
      <c r="H193" s="3">
        <f t="shared" si="29"/>
        <v>0.29901979620104696</v>
      </c>
      <c r="I193" s="3">
        <f t="shared" si="30"/>
        <v>0.28435241958651025</v>
      </c>
      <c r="J193" s="3">
        <f t="shared" si="31"/>
        <v>0.14091916292022783</v>
      </c>
      <c r="K193" s="3">
        <f t="shared" si="32"/>
        <v>0.27570862129221491</v>
      </c>
      <c r="L193" s="3">
        <f t="shared" si="33"/>
        <v>0.58337221578755727</v>
      </c>
      <c r="M193" s="56">
        <f t="shared" si="34"/>
        <v>0.41662778421244273</v>
      </c>
      <c r="O193" s="2">
        <v>60138</v>
      </c>
      <c r="R193" s="2">
        <v>40672</v>
      </c>
      <c r="S193" s="36"/>
    </row>
    <row r="194" spans="1:19" hidden="1" x14ac:dyDescent="0.25">
      <c r="A194" s="54" t="s">
        <v>129</v>
      </c>
      <c r="B194" s="1">
        <v>45117</v>
      </c>
      <c r="C194" s="36">
        <f t="shared" si="27"/>
        <v>39900.800000000003</v>
      </c>
      <c r="D194" s="2">
        <v>19170</v>
      </c>
      <c r="E194" s="36">
        <f t="shared" si="28"/>
        <v>30688.800000000003</v>
      </c>
      <c r="F194" s="2">
        <v>16778</v>
      </c>
      <c r="G194" s="2">
        <f t="shared" si="26"/>
        <v>106537.60000000001</v>
      </c>
      <c r="H194" s="3">
        <f t="shared" si="29"/>
        <v>0.37452317303937765</v>
      </c>
      <c r="I194" s="3">
        <f t="shared" si="30"/>
        <v>0.2880560478178596</v>
      </c>
      <c r="J194" s="3">
        <f t="shared" si="31"/>
        <v>0.17993647313249031</v>
      </c>
      <c r="K194" s="3">
        <f t="shared" si="32"/>
        <v>0.15748430601027241</v>
      </c>
      <c r="L194" s="3">
        <f t="shared" si="33"/>
        <v>0.66257922085723731</v>
      </c>
      <c r="M194" s="56">
        <f t="shared" si="34"/>
        <v>0.33742077914276275</v>
      </c>
      <c r="O194" s="2">
        <v>62187</v>
      </c>
      <c r="R194" s="2">
        <v>20033</v>
      </c>
      <c r="S194" s="36"/>
    </row>
    <row r="195" spans="1:19" hidden="1" x14ac:dyDescent="0.25">
      <c r="A195" s="54" t="s">
        <v>14</v>
      </c>
      <c r="B195" s="1">
        <v>45118</v>
      </c>
      <c r="C195" s="36">
        <f t="shared" si="27"/>
        <v>48772.800000000003</v>
      </c>
      <c r="D195" s="2">
        <v>15954</v>
      </c>
      <c r="E195" s="36">
        <f t="shared" si="28"/>
        <v>30793.600000000002</v>
      </c>
      <c r="F195" s="2">
        <v>16860</v>
      </c>
      <c r="G195" s="2">
        <f t="shared" si="26"/>
        <v>112380.40000000001</v>
      </c>
      <c r="H195" s="3">
        <f t="shared" si="29"/>
        <v>0.43399738744478572</v>
      </c>
      <c r="I195" s="3">
        <f t="shared" si="30"/>
        <v>0.27401219429722623</v>
      </c>
      <c r="J195" s="3">
        <f t="shared" si="31"/>
        <v>0.1419642571124502</v>
      </c>
      <c r="K195" s="3">
        <f t="shared" si="32"/>
        <v>0.15002616114553782</v>
      </c>
      <c r="L195" s="3">
        <f t="shared" si="33"/>
        <v>0.70800958174201201</v>
      </c>
      <c r="M195" s="56">
        <f t="shared" si="34"/>
        <v>0.29199041825798805</v>
      </c>
      <c r="O195" s="2">
        <v>76815</v>
      </c>
      <c r="R195" s="2">
        <v>29533</v>
      </c>
      <c r="S195" s="36"/>
    </row>
    <row r="196" spans="1:19" hidden="1" x14ac:dyDescent="0.25">
      <c r="A196" s="54" t="s">
        <v>21</v>
      </c>
      <c r="B196" s="1">
        <v>45119</v>
      </c>
      <c r="C196" s="36">
        <f t="shared" si="27"/>
        <v>26836.800000000003</v>
      </c>
      <c r="D196" s="2">
        <v>15042</v>
      </c>
      <c r="E196" s="36">
        <f t="shared" si="28"/>
        <v>37294.400000000001</v>
      </c>
      <c r="F196" s="2">
        <v>20690</v>
      </c>
      <c r="G196" s="2">
        <f t="shared" ref="G196:G259" si="35">SUM(C196:F196)</f>
        <v>99863.200000000012</v>
      </c>
      <c r="H196" s="3">
        <f t="shared" si="29"/>
        <v>0.2687356303423083</v>
      </c>
      <c r="I196" s="3">
        <f t="shared" si="30"/>
        <v>0.37345488628443707</v>
      </c>
      <c r="J196" s="3">
        <f t="shared" si="31"/>
        <v>0.15062605644521704</v>
      </c>
      <c r="K196" s="3">
        <f t="shared" si="32"/>
        <v>0.20718342692803754</v>
      </c>
      <c r="L196" s="3">
        <f t="shared" si="33"/>
        <v>0.64219051662674531</v>
      </c>
      <c r="M196" s="56">
        <f t="shared" si="34"/>
        <v>0.35780948337325458</v>
      </c>
      <c r="O196" s="2">
        <v>53957</v>
      </c>
      <c r="R196" s="2">
        <v>46913</v>
      </c>
      <c r="S196" s="36"/>
    </row>
    <row r="197" spans="1:19" x14ac:dyDescent="0.25">
      <c r="A197" s="54" t="s">
        <v>26</v>
      </c>
      <c r="B197" s="1">
        <v>45120</v>
      </c>
      <c r="C197" s="36">
        <f t="shared" ref="C197:C260" si="36">O222*$P$27</f>
        <v>23859.200000000001</v>
      </c>
      <c r="D197" s="2">
        <v>12937</v>
      </c>
      <c r="E197" s="36">
        <f t="shared" ref="E197:E260" si="37">R222*$P$27</f>
        <v>32300.800000000003</v>
      </c>
      <c r="F197" s="2">
        <v>16581</v>
      </c>
      <c r="G197" s="2">
        <f t="shared" si="35"/>
        <v>85678</v>
      </c>
      <c r="H197" s="3">
        <f t="shared" ref="H197:H260" si="38">IFERROR(C197/G197,0)</f>
        <v>0.27847522117696494</v>
      </c>
      <c r="I197" s="3">
        <f t="shared" ref="I197:I260" si="39">IFERROR(E197/G197,0)</f>
        <v>0.3770022642918836</v>
      </c>
      <c r="J197" s="3">
        <f t="shared" ref="J197:J260" si="40">IFERROR(D197/G197,0)</f>
        <v>0.15099558813230934</v>
      </c>
      <c r="K197" s="3">
        <f t="shared" ref="K197:K260" si="41">IFERROR(F197/G197,0)</f>
        <v>0.19352692639884217</v>
      </c>
      <c r="L197" s="3">
        <f t="shared" ref="L197:L260" si="42">IFERROR((C197+E197)/G197, 0)</f>
        <v>0.65547748546884843</v>
      </c>
      <c r="M197" s="56">
        <f t="shared" ref="M197:M260" si="43">IFERROR((D197+F197)/G197, 0)</f>
        <v>0.34452251453115151</v>
      </c>
      <c r="O197" s="2">
        <v>44769</v>
      </c>
      <c r="R197" s="2">
        <v>63343</v>
      </c>
      <c r="S197" s="36"/>
    </row>
    <row r="198" spans="1:19" hidden="1" x14ac:dyDescent="0.25">
      <c r="A198" s="54" t="s">
        <v>7</v>
      </c>
      <c r="B198" s="1">
        <v>45121</v>
      </c>
      <c r="C198" s="36">
        <f t="shared" si="36"/>
        <v>26118.400000000001</v>
      </c>
      <c r="D198" s="2">
        <v>13841</v>
      </c>
      <c r="E198" s="36">
        <f t="shared" si="37"/>
        <v>11727.2</v>
      </c>
      <c r="F198" s="2">
        <v>7352</v>
      </c>
      <c r="G198" s="2">
        <f t="shared" si="35"/>
        <v>59038.600000000006</v>
      </c>
      <c r="H198" s="3">
        <f t="shared" si="38"/>
        <v>0.44239531425203171</v>
      </c>
      <c r="I198" s="3">
        <f t="shared" si="39"/>
        <v>0.19863614652108957</v>
      </c>
      <c r="J198" s="3">
        <f t="shared" si="40"/>
        <v>0.23443984105314147</v>
      </c>
      <c r="K198" s="3">
        <f t="shared" si="41"/>
        <v>0.12452869817373717</v>
      </c>
      <c r="L198" s="3">
        <f t="shared" si="42"/>
        <v>0.64103146077312134</v>
      </c>
      <c r="M198" s="56">
        <f t="shared" si="43"/>
        <v>0.35896853922687866</v>
      </c>
      <c r="O198" s="2">
        <v>68824</v>
      </c>
      <c r="R198" s="2">
        <v>59000</v>
      </c>
      <c r="S198" s="36"/>
    </row>
    <row r="199" spans="1:19" hidden="1" x14ac:dyDescent="0.25">
      <c r="A199" s="54" t="s">
        <v>30</v>
      </c>
      <c r="B199" s="1">
        <v>45122</v>
      </c>
      <c r="C199" s="36">
        <f t="shared" si="36"/>
        <v>33951.200000000004</v>
      </c>
      <c r="D199" s="2">
        <v>24935</v>
      </c>
      <c r="E199" s="36">
        <f t="shared" si="37"/>
        <v>23030.400000000001</v>
      </c>
      <c r="F199" s="2">
        <v>24136</v>
      </c>
      <c r="G199" s="2">
        <f t="shared" si="35"/>
        <v>106052.6</v>
      </c>
      <c r="H199" s="3">
        <f t="shared" si="38"/>
        <v>0.32013547994108588</v>
      </c>
      <c r="I199" s="3">
        <f t="shared" si="39"/>
        <v>0.21716016391865922</v>
      </c>
      <c r="J199" s="3">
        <f t="shared" si="40"/>
        <v>0.23511917671042482</v>
      </c>
      <c r="K199" s="3">
        <f t="shared" si="41"/>
        <v>0.22758517942983009</v>
      </c>
      <c r="L199" s="3">
        <f t="shared" si="42"/>
        <v>0.53729564385974504</v>
      </c>
      <c r="M199" s="56">
        <f t="shared" si="43"/>
        <v>0.4627043561402549</v>
      </c>
      <c r="O199" s="2">
        <v>63778</v>
      </c>
      <c r="R199" s="2">
        <v>45137</v>
      </c>
      <c r="S199" s="36"/>
    </row>
    <row r="200" spans="1:19" hidden="1" x14ac:dyDescent="0.25">
      <c r="A200" s="54" t="s">
        <v>31</v>
      </c>
      <c r="B200" s="1">
        <v>45123</v>
      </c>
      <c r="C200" s="36">
        <f t="shared" si="36"/>
        <v>42647.200000000004</v>
      </c>
      <c r="D200" s="2">
        <v>21577</v>
      </c>
      <c r="E200" s="36">
        <f t="shared" si="37"/>
        <v>47283.200000000004</v>
      </c>
      <c r="F200" s="2">
        <v>21328</v>
      </c>
      <c r="G200" s="2">
        <f t="shared" si="35"/>
        <v>132835.40000000002</v>
      </c>
      <c r="H200" s="3">
        <f t="shared" si="38"/>
        <v>0.32105297232514823</v>
      </c>
      <c r="I200" s="3">
        <f t="shared" si="39"/>
        <v>0.35595330762733424</v>
      </c>
      <c r="J200" s="3">
        <f t="shared" si="40"/>
        <v>0.16243411018448392</v>
      </c>
      <c r="K200" s="3">
        <f t="shared" si="41"/>
        <v>0.16055960986303347</v>
      </c>
      <c r="L200" s="3">
        <f t="shared" si="42"/>
        <v>0.67700627995248253</v>
      </c>
      <c r="M200" s="56">
        <f t="shared" si="43"/>
        <v>0.32299372004751742</v>
      </c>
      <c r="O200" s="2">
        <v>53848</v>
      </c>
      <c r="R200" s="2">
        <v>28535</v>
      </c>
      <c r="S200" s="36"/>
    </row>
    <row r="201" spans="1:19" hidden="1" x14ac:dyDescent="0.25">
      <c r="A201" s="54" t="s">
        <v>129</v>
      </c>
      <c r="B201" s="1">
        <v>45124</v>
      </c>
      <c r="C201" s="36">
        <f t="shared" si="36"/>
        <v>47319.200000000004</v>
      </c>
      <c r="D201" s="2">
        <v>27638</v>
      </c>
      <c r="E201" s="36">
        <f t="shared" si="37"/>
        <v>38934.400000000001</v>
      </c>
      <c r="F201" s="2">
        <v>18211</v>
      </c>
      <c r="G201" s="2">
        <f t="shared" si="35"/>
        <v>132102.6</v>
      </c>
      <c r="H201" s="3">
        <f t="shared" si="38"/>
        <v>0.35820036850145265</v>
      </c>
      <c r="I201" s="3">
        <f t="shared" si="39"/>
        <v>0.29472849133930745</v>
      </c>
      <c r="J201" s="3">
        <f t="shared" si="40"/>
        <v>0.20921616985585445</v>
      </c>
      <c r="K201" s="3">
        <f t="shared" si="41"/>
        <v>0.13785497030338539</v>
      </c>
      <c r="L201" s="3">
        <f t="shared" si="42"/>
        <v>0.6529288598407601</v>
      </c>
      <c r="M201" s="56">
        <f t="shared" si="43"/>
        <v>0.34707114015923984</v>
      </c>
      <c r="O201" s="2">
        <v>55497</v>
      </c>
      <c r="R201" s="2">
        <v>17088</v>
      </c>
      <c r="S201" s="36"/>
    </row>
    <row r="202" spans="1:19" hidden="1" x14ac:dyDescent="0.25">
      <c r="A202" s="54" t="s">
        <v>14</v>
      </c>
      <c r="B202" s="1">
        <v>45125</v>
      </c>
      <c r="C202" s="36">
        <f t="shared" si="36"/>
        <v>43889.600000000006</v>
      </c>
      <c r="D202" s="2">
        <v>13840</v>
      </c>
      <c r="E202" s="36">
        <f t="shared" si="37"/>
        <v>26260</v>
      </c>
      <c r="F202" s="2">
        <v>17989</v>
      </c>
      <c r="G202" s="2">
        <f t="shared" si="35"/>
        <v>101978.6</v>
      </c>
      <c r="H202" s="3">
        <f t="shared" si="38"/>
        <v>0.4303804915933343</v>
      </c>
      <c r="I202" s="3">
        <f t="shared" si="39"/>
        <v>0.25750500595222919</v>
      </c>
      <c r="J202" s="3">
        <f t="shared" si="40"/>
        <v>0.13571474799614822</v>
      </c>
      <c r="K202" s="3">
        <f t="shared" si="41"/>
        <v>0.17639975445828829</v>
      </c>
      <c r="L202" s="3">
        <f t="shared" si="42"/>
        <v>0.6878854975455635</v>
      </c>
      <c r="M202" s="56">
        <f t="shared" si="43"/>
        <v>0.3121145024544365</v>
      </c>
      <c r="O202" s="2">
        <v>69057</v>
      </c>
      <c r="R202" s="2">
        <v>30801</v>
      </c>
      <c r="S202" s="36"/>
    </row>
    <row r="203" spans="1:19" hidden="1" x14ac:dyDescent="0.25">
      <c r="A203" s="54" t="s">
        <v>21</v>
      </c>
      <c r="B203" s="1">
        <v>45126</v>
      </c>
      <c r="C203" s="36">
        <f t="shared" si="36"/>
        <v>29488.800000000003</v>
      </c>
      <c r="D203" s="2">
        <v>10215</v>
      </c>
      <c r="E203" s="36">
        <f t="shared" si="37"/>
        <v>26469.600000000002</v>
      </c>
      <c r="F203" s="2">
        <v>18343</v>
      </c>
      <c r="G203" s="2">
        <f t="shared" si="35"/>
        <v>84516.400000000009</v>
      </c>
      <c r="H203" s="3">
        <f t="shared" si="38"/>
        <v>0.34891216379306267</v>
      </c>
      <c r="I203" s="3">
        <f t="shared" si="39"/>
        <v>0.31318891954697547</v>
      </c>
      <c r="J203" s="3">
        <f t="shared" si="40"/>
        <v>0.1208641163135202</v>
      </c>
      <c r="K203" s="3">
        <f t="shared" si="41"/>
        <v>0.21703480034644163</v>
      </c>
      <c r="L203" s="3">
        <f t="shared" si="42"/>
        <v>0.66210108334003814</v>
      </c>
      <c r="M203" s="56">
        <f t="shared" si="43"/>
        <v>0.3378989166599618</v>
      </c>
      <c r="O203" s="2">
        <v>66615</v>
      </c>
      <c r="R203" s="2">
        <v>45978</v>
      </c>
      <c r="S203" s="36"/>
    </row>
    <row r="204" spans="1:19" x14ac:dyDescent="0.25">
      <c r="A204" s="54" t="s">
        <v>26</v>
      </c>
      <c r="B204" s="1">
        <v>45127</v>
      </c>
      <c r="C204" s="36">
        <f t="shared" si="36"/>
        <v>23461.600000000002</v>
      </c>
      <c r="D204" s="2">
        <v>11143</v>
      </c>
      <c r="E204" s="36">
        <f t="shared" si="37"/>
        <v>19796.800000000003</v>
      </c>
      <c r="F204" s="2">
        <v>15354</v>
      </c>
      <c r="G204" s="2">
        <f t="shared" si="35"/>
        <v>69755.400000000009</v>
      </c>
      <c r="H204" s="3">
        <f t="shared" si="38"/>
        <v>0.33634098578748023</v>
      </c>
      <c r="I204" s="3">
        <f t="shared" si="39"/>
        <v>0.28380311775145722</v>
      </c>
      <c r="J204" s="3">
        <f t="shared" si="40"/>
        <v>0.159743905131359</v>
      </c>
      <c r="K204" s="3">
        <f t="shared" si="41"/>
        <v>0.22011199132970347</v>
      </c>
      <c r="L204" s="3">
        <f t="shared" si="42"/>
        <v>0.62014410353893756</v>
      </c>
      <c r="M204" s="56">
        <f t="shared" si="43"/>
        <v>0.37985589646106249</v>
      </c>
      <c r="O204" s="2">
        <v>58470</v>
      </c>
      <c r="R204" s="2">
        <v>57715</v>
      </c>
      <c r="S204" s="36"/>
    </row>
    <row r="205" spans="1:19" hidden="1" x14ac:dyDescent="0.25">
      <c r="A205" s="54" t="s">
        <v>7</v>
      </c>
      <c r="B205" s="1">
        <v>45128</v>
      </c>
      <c r="C205" s="36">
        <f t="shared" si="36"/>
        <v>35212</v>
      </c>
      <c r="D205" s="2">
        <v>16630</v>
      </c>
      <c r="E205" s="36">
        <f t="shared" si="37"/>
        <v>30437.600000000002</v>
      </c>
      <c r="F205" s="2">
        <v>16587</v>
      </c>
      <c r="G205" s="2">
        <f t="shared" si="35"/>
        <v>98866.6</v>
      </c>
      <c r="H205" s="3">
        <f t="shared" si="38"/>
        <v>0.35615667980895466</v>
      </c>
      <c r="I205" s="3">
        <f t="shared" si="39"/>
        <v>0.30786534582963304</v>
      </c>
      <c r="J205" s="3">
        <f t="shared" si="40"/>
        <v>0.16820645192613076</v>
      </c>
      <c r="K205" s="3">
        <f t="shared" si="41"/>
        <v>0.16777152243528148</v>
      </c>
      <c r="L205" s="3">
        <f t="shared" si="42"/>
        <v>0.66402202563858781</v>
      </c>
      <c r="M205" s="56">
        <f t="shared" si="43"/>
        <v>0.33597797436141225</v>
      </c>
      <c r="O205" s="2">
        <v>65808</v>
      </c>
      <c r="R205" s="2">
        <v>61872</v>
      </c>
      <c r="S205" s="36"/>
    </row>
    <row r="206" spans="1:19" hidden="1" x14ac:dyDescent="0.25">
      <c r="A206" s="54" t="s">
        <v>30</v>
      </c>
      <c r="B206" s="1">
        <v>45129</v>
      </c>
      <c r="C206" s="36">
        <f t="shared" si="36"/>
        <v>33566.400000000001</v>
      </c>
      <c r="D206" s="2">
        <v>23355</v>
      </c>
      <c r="E206" s="36">
        <f t="shared" si="37"/>
        <v>28064</v>
      </c>
      <c r="F206" s="2">
        <v>18656</v>
      </c>
      <c r="G206" s="2">
        <f t="shared" si="35"/>
        <v>103641.4</v>
      </c>
      <c r="H206" s="3">
        <f t="shared" si="38"/>
        <v>0.32387057681582848</v>
      </c>
      <c r="I206" s="3">
        <f t="shared" si="39"/>
        <v>0.27077982350682256</v>
      </c>
      <c r="J206" s="3">
        <f t="shared" si="40"/>
        <v>0.2253443122150029</v>
      </c>
      <c r="K206" s="3">
        <f t="shared" si="41"/>
        <v>0.18000528746234615</v>
      </c>
      <c r="L206" s="3">
        <f t="shared" si="42"/>
        <v>0.59465040032265104</v>
      </c>
      <c r="M206" s="56">
        <f t="shared" si="43"/>
        <v>0.40534959967734902</v>
      </c>
      <c r="O206" s="2">
        <v>86179</v>
      </c>
      <c r="R206" s="2">
        <v>42963</v>
      </c>
      <c r="S206" s="36"/>
    </row>
    <row r="207" spans="1:19" hidden="1" x14ac:dyDescent="0.25">
      <c r="A207" s="54" t="s">
        <v>31</v>
      </c>
      <c r="B207" s="1">
        <v>45130</v>
      </c>
      <c r="C207" s="36">
        <f t="shared" si="36"/>
        <v>36212</v>
      </c>
      <c r="D207" s="2">
        <v>24638</v>
      </c>
      <c r="E207" s="36">
        <f t="shared" si="37"/>
        <v>37638.400000000001</v>
      </c>
      <c r="F207" s="2">
        <v>23230</v>
      </c>
      <c r="G207" s="2">
        <f t="shared" si="35"/>
        <v>121718.39999999999</v>
      </c>
      <c r="H207" s="3">
        <f t="shared" si="38"/>
        <v>0.29750637537134894</v>
      </c>
      <c r="I207" s="3">
        <f t="shared" si="39"/>
        <v>0.3092252280674081</v>
      </c>
      <c r="J207" s="3">
        <f t="shared" si="40"/>
        <v>0.2024180403291532</v>
      </c>
      <c r="K207" s="3">
        <f t="shared" si="41"/>
        <v>0.19085035623208982</v>
      </c>
      <c r="L207" s="3">
        <f t="shared" si="42"/>
        <v>0.60673160343875698</v>
      </c>
      <c r="M207" s="56">
        <f t="shared" si="43"/>
        <v>0.39326839656124302</v>
      </c>
      <c r="O207" s="2">
        <v>57167</v>
      </c>
      <c r="R207" s="2">
        <v>51718</v>
      </c>
      <c r="S207" s="36"/>
    </row>
    <row r="208" spans="1:19" hidden="1" x14ac:dyDescent="0.25">
      <c r="A208" s="54" t="s">
        <v>129</v>
      </c>
      <c r="B208" s="1">
        <v>45131</v>
      </c>
      <c r="C208" s="36">
        <f t="shared" si="36"/>
        <v>41624</v>
      </c>
      <c r="D208" s="2">
        <v>25630</v>
      </c>
      <c r="E208" s="36">
        <f t="shared" si="37"/>
        <v>40225.600000000006</v>
      </c>
      <c r="F208" s="2">
        <v>17191</v>
      </c>
      <c r="G208" s="2">
        <f t="shared" si="35"/>
        <v>124670.6</v>
      </c>
      <c r="H208" s="3">
        <f t="shared" si="38"/>
        <v>0.33387181901747481</v>
      </c>
      <c r="I208" s="3">
        <f t="shared" si="39"/>
        <v>0.32265506061573462</v>
      </c>
      <c r="J208" s="3">
        <f t="shared" si="40"/>
        <v>0.20558174902503076</v>
      </c>
      <c r="K208" s="3">
        <f t="shared" si="41"/>
        <v>0.1378913713417598</v>
      </c>
      <c r="L208" s="3">
        <f t="shared" si="42"/>
        <v>0.65652687963320944</v>
      </c>
      <c r="M208" s="56">
        <f t="shared" si="43"/>
        <v>0.34347312036679056</v>
      </c>
      <c r="O208" s="2">
        <v>51042</v>
      </c>
      <c r="R208" s="2">
        <v>34829</v>
      </c>
      <c r="S208" s="36"/>
    </row>
    <row r="209" spans="1:19" hidden="1" x14ac:dyDescent="0.25">
      <c r="A209" s="54" t="s">
        <v>14</v>
      </c>
      <c r="B209" s="1">
        <v>45132</v>
      </c>
      <c r="C209" s="36">
        <f t="shared" si="36"/>
        <v>34871.200000000004</v>
      </c>
      <c r="D209" s="2">
        <v>12468</v>
      </c>
      <c r="E209" s="36">
        <f t="shared" si="37"/>
        <v>27930.400000000001</v>
      </c>
      <c r="F209" s="2">
        <v>15160</v>
      </c>
      <c r="G209" s="2">
        <f t="shared" si="35"/>
        <v>90429.6</v>
      </c>
      <c r="H209" s="3">
        <f t="shared" si="38"/>
        <v>0.38561709882604811</v>
      </c>
      <c r="I209" s="3">
        <f t="shared" si="39"/>
        <v>0.30886346948344345</v>
      </c>
      <c r="J209" s="3">
        <f t="shared" si="40"/>
        <v>0.13787520900236205</v>
      </c>
      <c r="K209" s="3">
        <f t="shared" si="41"/>
        <v>0.16764422268814635</v>
      </c>
      <c r="L209" s="3">
        <f t="shared" si="42"/>
        <v>0.69448056830949156</v>
      </c>
      <c r="M209" s="56">
        <f t="shared" si="43"/>
        <v>0.30551943169050838</v>
      </c>
      <c r="O209" s="2">
        <v>46544</v>
      </c>
      <c r="R209" s="2">
        <v>44142</v>
      </c>
      <c r="S209" s="36"/>
    </row>
    <row r="210" spans="1:19" hidden="1" x14ac:dyDescent="0.25">
      <c r="A210" s="54" t="s">
        <v>21</v>
      </c>
      <c r="B210" s="1">
        <v>45133</v>
      </c>
      <c r="C210" s="36">
        <f t="shared" si="36"/>
        <v>21913.600000000002</v>
      </c>
      <c r="D210" s="2">
        <v>15856</v>
      </c>
      <c r="E210" s="36">
        <f t="shared" si="37"/>
        <v>24679.200000000001</v>
      </c>
      <c r="F210" s="2">
        <v>17526</v>
      </c>
      <c r="G210" s="2">
        <f t="shared" si="35"/>
        <v>79974.8</v>
      </c>
      <c r="H210" s="3">
        <f t="shared" si="38"/>
        <v>0.27400631198827635</v>
      </c>
      <c r="I210" s="3">
        <f t="shared" si="39"/>
        <v>0.30858720496956543</v>
      </c>
      <c r="J210" s="3">
        <f t="shared" si="40"/>
        <v>0.19826245267259185</v>
      </c>
      <c r="K210" s="3">
        <f t="shared" si="41"/>
        <v>0.21914403036956639</v>
      </c>
      <c r="L210" s="3">
        <f t="shared" si="42"/>
        <v>0.58259351695784178</v>
      </c>
      <c r="M210" s="56">
        <f t="shared" si="43"/>
        <v>0.41740648304215827</v>
      </c>
      <c r="O210" s="2">
        <v>53103</v>
      </c>
      <c r="R210" s="2">
        <v>71670</v>
      </c>
      <c r="S210" s="36"/>
    </row>
    <row r="211" spans="1:19" x14ac:dyDescent="0.25">
      <c r="A211" s="54" t="s">
        <v>26</v>
      </c>
      <c r="B211" s="1">
        <v>45134</v>
      </c>
      <c r="C211" s="36">
        <f t="shared" si="36"/>
        <v>25850.400000000001</v>
      </c>
      <c r="D211" s="2">
        <v>14774</v>
      </c>
      <c r="E211" s="36">
        <f t="shared" si="37"/>
        <v>25661.600000000002</v>
      </c>
      <c r="F211" s="2">
        <v>14177</v>
      </c>
      <c r="G211" s="2">
        <f t="shared" si="35"/>
        <v>80463</v>
      </c>
      <c r="H211" s="3">
        <f t="shared" si="38"/>
        <v>0.32127064613549089</v>
      </c>
      <c r="I211" s="3">
        <f t="shared" si="39"/>
        <v>0.31892422604178322</v>
      </c>
      <c r="J211" s="3">
        <f t="shared" si="40"/>
        <v>0.18361234356163703</v>
      </c>
      <c r="K211" s="3">
        <f t="shared" si="41"/>
        <v>0.17619278426108895</v>
      </c>
      <c r="L211" s="3">
        <f t="shared" si="42"/>
        <v>0.640194872177274</v>
      </c>
      <c r="M211" s="56">
        <f t="shared" si="43"/>
        <v>0.359805127822726</v>
      </c>
      <c r="O211" s="2">
        <v>53825</v>
      </c>
      <c r="R211" s="2">
        <v>55077</v>
      </c>
      <c r="S211" s="36"/>
    </row>
    <row r="212" spans="1:19" hidden="1" x14ac:dyDescent="0.25">
      <c r="A212" s="54" t="s">
        <v>7</v>
      </c>
      <c r="B212" s="1">
        <v>45135</v>
      </c>
      <c r="C212" s="36">
        <f t="shared" si="36"/>
        <v>41996</v>
      </c>
      <c r="D212" s="2">
        <v>14313</v>
      </c>
      <c r="E212" s="36">
        <f t="shared" si="37"/>
        <v>20815.2</v>
      </c>
      <c r="F212" s="2">
        <v>21232</v>
      </c>
      <c r="G212" s="2">
        <f t="shared" si="35"/>
        <v>98356.2</v>
      </c>
      <c r="H212" s="3">
        <f t="shared" si="38"/>
        <v>0.42697867546733204</v>
      </c>
      <c r="I212" s="3">
        <f t="shared" si="39"/>
        <v>0.21163078687464543</v>
      </c>
      <c r="J212" s="3">
        <f t="shared" si="40"/>
        <v>0.14552209215077444</v>
      </c>
      <c r="K212" s="3">
        <f t="shared" si="41"/>
        <v>0.21586844550724815</v>
      </c>
      <c r="L212" s="3">
        <f t="shared" si="42"/>
        <v>0.63860946234197746</v>
      </c>
      <c r="M212" s="56">
        <f t="shared" si="43"/>
        <v>0.36139053765802259</v>
      </c>
      <c r="O212" s="2">
        <v>32923</v>
      </c>
      <c r="R212" s="2">
        <v>48877</v>
      </c>
      <c r="S212" s="36"/>
    </row>
    <row r="213" spans="1:19" hidden="1" x14ac:dyDescent="0.25">
      <c r="A213" s="54" t="s">
        <v>30</v>
      </c>
      <c r="B213" s="1">
        <v>45136</v>
      </c>
      <c r="C213" s="36">
        <f t="shared" si="36"/>
        <v>30406.400000000001</v>
      </c>
      <c r="D213" s="2">
        <v>23071</v>
      </c>
      <c r="E213" s="36">
        <f t="shared" si="37"/>
        <v>24568.800000000003</v>
      </c>
      <c r="F213" s="2">
        <v>20787</v>
      </c>
      <c r="G213" s="2">
        <f t="shared" si="35"/>
        <v>98833.200000000012</v>
      </c>
      <c r="H213" s="3">
        <f t="shared" si="38"/>
        <v>0.30765370341140424</v>
      </c>
      <c r="I213" s="3">
        <f t="shared" si="39"/>
        <v>0.24858853097946843</v>
      </c>
      <c r="J213" s="3">
        <f t="shared" si="40"/>
        <v>0.23343370446368222</v>
      </c>
      <c r="K213" s="3">
        <f t="shared" si="41"/>
        <v>0.21032406114544502</v>
      </c>
      <c r="L213" s="3">
        <f t="shared" si="42"/>
        <v>0.55624223439087273</v>
      </c>
      <c r="M213" s="56">
        <f t="shared" si="43"/>
        <v>0.44375776560912722</v>
      </c>
      <c r="O213" s="2">
        <v>54253</v>
      </c>
      <c r="R213" s="2">
        <v>14506</v>
      </c>
      <c r="S213" s="36"/>
    </row>
    <row r="214" spans="1:19" hidden="1" x14ac:dyDescent="0.25">
      <c r="A214" s="54" t="s">
        <v>31</v>
      </c>
      <c r="B214" s="1">
        <v>45137</v>
      </c>
      <c r="C214" s="36">
        <f t="shared" si="36"/>
        <v>42923.200000000004</v>
      </c>
      <c r="D214" s="2">
        <v>23118</v>
      </c>
      <c r="E214" s="36">
        <f t="shared" si="37"/>
        <v>34465.599999999999</v>
      </c>
      <c r="F214" s="2">
        <v>26330</v>
      </c>
      <c r="G214" s="2">
        <f t="shared" si="35"/>
        <v>126836.80000000002</v>
      </c>
      <c r="H214" s="3">
        <f t="shared" si="38"/>
        <v>0.3384128265613765</v>
      </c>
      <c r="I214" s="3">
        <f t="shared" si="39"/>
        <v>0.27173186330780968</v>
      </c>
      <c r="J214" s="3">
        <f t="shared" si="40"/>
        <v>0.18226571468217423</v>
      </c>
      <c r="K214" s="3">
        <f t="shared" si="41"/>
        <v>0.20758959544863947</v>
      </c>
      <c r="L214" s="3">
        <f t="shared" si="42"/>
        <v>0.61014468986918613</v>
      </c>
      <c r="M214" s="56">
        <f t="shared" si="43"/>
        <v>0.3898553101308137</v>
      </c>
      <c r="O214" s="2">
        <v>31939</v>
      </c>
      <c r="R214" s="2">
        <v>19074</v>
      </c>
      <c r="S214" s="36"/>
    </row>
    <row r="215" spans="1:19" hidden="1" x14ac:dyDescent="0.25">
      <c r="A215" s="54" t="s">
        <v>129</v>
      </c>
      <c r="B215" s="1">
        <v>45138</v>
      </c>
      <c r="C215" s="36">
        <f t="shared" si="36"/>
        <v>30860</v>
      </c>
      <c r="D215" s="2">
        <v>20734</v>
      </c>
      <c r="E215" s="36">
        <f t="shared" si="37"/>
        <v>31108</v>
      </c>
      <c r="F215" s="2">
        <v>16215</v>
      </c>
      <c r="G215" s="2">
        <f t="shared" si="35"/>
        <v>98917</v>
      </c>
      <c r="H215" s="3">
        <f t="shared" si="38"/>
        <v>0.31197872964202311</v>
      </c>
      <c r="I215" s="3">
        <f t="shared" si="39"/>
        <v>0.31448588210317741</v>
      </c>
      <c r="J215" s="3">
        <f t="shared" si="40"/>
        <v>0.20961007713537613</v>
      </c>
      <c r="K215" s="3">
        <f t="shared" si="41"/>
        <v>0.16392531111942335</v>
      </c>
      <c r="L215" s="3">
        <f t="shared" si="42"/>
        <v>0.62646461174520052</v>
      </c>
      <c r="M215" s="56">
        <f t="shared" si="43"/>
        <v>0.37353538825479948</v>
      </c>
      <c r="O215" s="2">
        <v>25301</v>
      </c>
      <c r="R215" s="2">
        <v>24077</v>
      </c>
      <c r="S215" s="36"/>
    </row>
    <row r="216" spans="1:19" hidden="1" x14ac:dyDescent="0.25">
      <c r="A216" s="54" t="s">
        <v>14</v>
      </c>
      <c r="B216" s="1">
        <v>45139</v>
      </c>
      <c r="C216" s="36">
        <f t="shared" si="36"/>
        <v>45975.200000000004</v>
      </c>
      <c r="D216" s="2">
        <v>14066</v>
      </c>
      <c r="E216" s="36">
        <f t="shared" si="37"/>
        <v>19976</v>
      </c>
      <c r="F216" s="2">
        <v>18436</v>
      </c>
      <c r="G216" s="2">
        <f t="shared" si="35"/>
        <v>98453.200000000012</v>
      </c>
      <c r="H216" s="3">
        <f t="shared" si="38"/>
        <v>0.46697517195987537</v>
      </c>
      <c r="I216" s="3">
        <f t="shared" si="39"/>
        <v>0.20289843296104138</v>
      </c>
      <c r="J216" s="3">
        <f t="shared" si="40"/>
        <v>0.14286991179565517</v>
      </c>
      <c r="K216" s="3">
        <f t="shared" si="41"/>
        <v>0.18725648328342803</v>
      </c>
      <c r="L216" s="3">
        <f t="shared" si="42"/>
        <v>0.66987360492091674</v>
      </c>
      <c r="M216" s="56">
        <f t="shared" si="43"/>
        <v>0.3301263950790832</v>
      </c>
      <c r="O216" s="2">
        <v>56386</v>
      </c>
      <c r="R216" s="2">
        <v>37482</v>
      </c>
      <c r="S216" s="36"/>
    </row>
    <row r="217" spans="1:19" hidden="1" x14ac:dyDescent="0.25">
      <c r="A217" s="54" t="s">
        <v>21</v>
      </c>
      <c r="B217" s="1">
        <v>45140</v>
      </c>
      <c r="C217" s="36">
        <f t="shared" si="36"/>
        <v>25498.400000000001</v>
      </c>
      <c r="D217" s="2">
        <v>12700</v>
      </c>
      <c r="E217" s="36">
        <f t="shared" si="37"/>
        <v>26687.200000000001</v>
      </c>
      <c r="F217" s="2">
        <v>15122</v>
      </c>
      <c r="G217" s="2">
        <f t="shared" si="35"/>
        <v>80007.600000000006</v>
      </c>
      <c r="H217" s="3">
        <f t="shared" si="38"/>
        <v>0.31869972352626502</v>
      </c>
      <c r="I217" s="3">
        <f t="shared" si="39"/>
        <v>0.33355831196036373</v>
      </c>
      <c r="J217" s="3">
        <f t="shared" si="40"/>
        <v>0.15873492018258265</v>
      </c>
      <c r="K217" s="3">
        <f t="shared" si="41"/>
        <v>0.18900704433078855</v>
      </c>
      <c r="L217" s="3">
        <f t="shared" si="42"/>
        <v>0.65225803548662875</v>
      </c>
      <c r="M217" s="56">
        <f t="shared" si="43"/>
        <v>0.34774196451337119</v>
      </c>
      <c r="O217" s="2">
        <v>40071</v>
      </c>
      <c r="R217" s="2">
        <v>40124</v>
      </c>
      <c r="S217" s="36"/>
    </row>
    <row r="218" spans="1:19" x14ac:dyDescent="0.25">
      <c r="A218" s="54" t="s">
        <v>26</v>
      </c>
      <c r="B218" s="1">
        <v>45141</v>
      </c>
      <c r="C218" s="36">
        <f t="shared" si="36"/>
        <v>21384</v>
      </c>
      <c r="D218" s="2">
        <v>13383</v>
      </c>
      <c r="E218" s="36">
        <f t="shared" si="37"/>
        <v>19706.400000000001</v>
      </c>
      <c r="F218" s="2">
        <v>11685</v>
      </c>
      <c r="G218" s="2">
        <f t="shared" si="35"/>
        <v>66158.399999999994</v>
      </c>
      <c r="H218" s="3">
        <f t="shared" si="38"/>
        <v>0.32322426177174785</v>
      </c>
      <c r="I218" s="3">
        <f t="shared" si="39"/>
        <v>0.29786693753174204</v>
      </c>
      <c r="J218" s="3">
        <f t="shared" si="40"/>
        <v>0.20228723790176306</v>
      </c>
      <c r="K218" s="3">
        <f t="shared" si="41"/>
        <v>0.17662156279474717</v>
      </c>
      <c r="L218" s="3">
        <f t="shared" si="42"/>
        <v>0.62109119930348988</v>
      </c>
      <c r="M218" s="56">
        <f t="shared" si="43"/>
        <v>0.37890880069651023</v>
      </c>
      <c r="O218" s="2">
        <v>40855</v>
      </c>
      <c r="R218" s="2">
        <v>38851</v>
      </c>
      <c r="S218" s="36"/>
    </row>
    <row r="219" spans="1:19" hidden="1" x14ac:dyDescent="0.25">
      <c r="A219" s="54" t="s">
        <v>7</v>
      </c>
      <c r="B219" s="1">
        <v>45142</v>
      </c>
      <c r="C219" s="36">
        <f t="shared" si="36"/>
        <v>25267.200000000001</v>
      </c>
      <c r="D219" s="2">
        <v>12273</v>
      </c>
      <c r="E219" s="36">
        <f t="shared" si="37"/>
        <v>26704.800000000003</v>
      </c>
      <c r="F219" s="2">
        <v>13430</v>
      </c>
      <c r="G219" s="2">
        <f t="shared" si="35"/>
        <v>77675</v>
      </c>
      <c r="H219" s="3">
        <f t="shared" si="38"/>
        <v>0.32529385259092375</v>
      </c>
      <c r="I219" s="3">
        <f t="shared" si="39"/>
        <v>0.34380173801094305</v>
      </c>
      <c r="J219" s="3">
        <f t="shared" si="40"/>
        <v>0.15800450595429674</v>
      </c>
      <c r="K219" s="3">
        <f t="shared" si="41"/>
        <v>0.17289990344383649</v>
      </c>
      <c r="L219" s="3">
        <f t="shared" si="42"/>
        <v>0.66909559060186674</v>
      </c>
      <c r="M219" s="56">
        <f t="shared" si="43"/>
        <v>0.33090440939813326</v>
      </c>
      <c r="O219" s="2">
        <v>49876</v>
      </c>
      <c r="R219" s="2">
        <v>38361</v>
      </c>
      <c r="S219" s="36"/>
    </row>
    <row r="220" spans="1:19" hidden="1" x14ac:dyDescent="0.25">
      <c r="A220" s="54" t="s">
        <v>30</v>
      </c>
      <c r="B220" s="1">
        <v>45143</v>
      </c>
      <c r="C220" s="36">
        <f t="shared" si="36"/>
        <v>25846.400000000001</v>
      </c>
      <c r="D220" s="2">
        <v>27054</v>
      </c>
      <c r="E220" s="36">
        <f t="shared" si="37"/>
        <v>34680</v>
      </c>
      <c r="F220" s="2">
        <v>17630</v>
      </c>
      <c r="G220" s="2">
        <f t="shared" si="35"/>
        <v>105210.4</v>
      </c>
      <c r="H220" s="3">
        <f t="shared" si="38"/>
        <v>0.24566392676009219</v>
      </c>
      <c r="I220" s="3">
        <f t="shared" si="39"/>
        <v>0.32962520815432694</v>
      </c>
      <c r="J220" s="3">
        <f t="shared" si="40"/>
        <v>0.25714187951001044</v>
      </c>
      <c r="K220" s="3">
        <f t="shared" si="41"/>
        <v>0.16756898557557048</v>
      </c>
      <c r="L220" s="3">
        <f t="shared" si="42"/>
        <v>0.57528913491441913</v>
      </c>
      <c r="M220" s="56">
        <f t="shared" si="43"/>
        <v>0.42471086508558092</v>
      </c>
      <c r="O220" s="2">
        <v>60966</v>
      </c>
      <c r="R220" s="2">
        <v>38492</v>
      </c>
      <c r="S220" s="36"/>
    </row>
    <row r="221" spans="1:19" hidden="1" x14ac:dyDescent="0.25">
      <c r="A221" s="54" t="s">
        <v>31</v>
      </c>
      <c r="B221" s="1">
        <v>45144</v>
      </c>
      <c r="C221" s="36">
        <f t="shared" si="36"/>
        <v>29572</v>
      </c>
      <c r="D221" s="2">
        <v>27513</v>
      </c>
      <c r="E221" s="36">
        <f t="shared" si="37"/>
        <v>29324.800000000003</v>
      </c>
      <c r="F221" s="2">
        <v>22614</v>
      </c>
      <c r="G221" s="2">
        <f t="shared" si="35"/>
        <v>109023.8</v>
      </c>
      <c r="H221" s="3">
        <f t="shared" si="38"/>
        <v>0.27124352664280643</v>
      </c>
      <c r="I221" s="3">
        <f t="shared" si="39"/>
        <v>0.26897613181708951</v>
      </c>
      <c r="J221" s="3">
        <f t="shared" si="40"/>
        <v>0.25235774207099732</v>
      </c>
      <c r="K221" s="3">
        <f t="shared" si="41"/>
        <v>0.20742259946910674</v>
      </c>
      <c r="L221" s="3">
        <f t="shared" si="42"/>
        <v>0.54021965845989595</v>
      </c>
      <c r="M221" s="56">
        <f t="shared" si="43"/>
        <v>0.45978034154010405</v>
      </c>
      <c r="O221" s="2">
        <v>33546</v>
      </c>
      <c r="R221" s="2">
        <v>46618</v>
      </c>
      <c r="S221" s="36"/>
    </row>
    <row r="222" spans="1:19" hidden="1" x14ac:dyDescent="0.25">
      <c r="A222" s="54" t="s">
        <v>129</v>
      </c>
      <c r="B222" s="1">
        <v>45145</v>
      </c>
      <c r="C222" s="36">
        <f t="shared" si="36"/>
        <v>45625.600000000006</v>
      </c>
      <c r="D222" s="2">
        <v>27046</v>
      </c>
      <c r="E222" s="36">
        <f t="shared" si="37"/>
        <v>38413.599999999999</v>
      </c>
      <c r="F222" s="2">
        <v>13981</v>
      </c>
      <c r="G222" s="2">
        <f t="shared" si="35"/>
        <v>125066.20000000001</v>
      </c>
      <c r="H222" s="3">
        <f t="shared" si="38"/>
        <v>0.36481159577887551</v>
      </c>
      <c r="I222" s="3">
        <f t="shared" si="39"/>
        <v>0.30714613540668856</v>
      </c>
      <c r="J222" s="3">
        <f t="shared" si="40"/>
        <v>0.21625347216114343</v>
      </c>
      <c r="K222" s="3">
        <f t="shared" si="41"/>
        <v>0.1117887966532924</v>
      </c>
      <c r="L222" s="3">
        <f t="shared" si="42"/>
        <v>0.67195773118556412</v>
      </c>
      <c r="M222" s="56">
        <f t="shared" si="43"/>
        <v>0.32804226881443582</v>
      </c>
      <c r="O222" s="2">
        <v>29824</v>
      </c>
      <c r="R222" s="2">
        <v>40376</v>
      </c>
      <c r="S222" s="36"/>
    </row>
    <row r="223" spans="1:19" hidden="1" x14ac:dyDescent="0.25">
      <c r="A223" s="54" t="s">
        <v>14</v>
      </c>
      <c r="B223" s="1">
        <v>45146</v>
      </c>
      <c r="C223" s="36">
        <f t="shared" si="36"/>
        <v>28055.200000000001</v>
      </c>
      <c r="D223" s="2">
        <v>16992</v>
      </c>
      <c r="E223" s="36">
        <f t="shared" si="37"/>
        <v>24833.600000000002</v>
      </c>
      <c r="F223" s="2">
        <v>11357</v>
      </c>
      <c r="G223" s="2">
        <f t="shared" si="35"/>
        <v>81237.8</v>
      </c>
      <c r="H223" s="3">
        <f t="shared" si="38"/>
        <v>0.34534662435467234</v>
      </c>
      <c r="I223" s="3">
        <f t="shared" si="39"/>
        <v>0.30569020825280846</v>
      </c>
      <c r="J223" s="3">
        <f t="shared" si="40"/>
        <v>0.20916371442850495</v>
      </c>
      <c r="K223" s="3">
        <f t="shared" si="41"/>
        <v>0.13979945296401428</v>
      </c>
      <c r="L223" s="3">
        <f t="shared" si="42"/>
        <v>0.6510368326074808</v>
      </c>
      <c r="M223" s="56">
        <f t="shared" si="43"/>
        <v>0.34896316739251926</v>
      </c>
      <c r="O223" s="2">
        <v>32648</v>
      </c>
      <c r="R223" s="2">
        <v>14659</v>
      </c>
      <c r="S223" s="36"/>
    </row>
    <row r="224" spans="1:19" hidden="1" x14ac:dyDescent="0.25">
      <c r="A224" s="54" t="s">
        <v>21</v>
      </c>
      <c r="B224" s="1">
        <v>45147</v>
      </c>
      <c r="C224" s="36">
        <f t="shared" si="36"/>
        <v>21766.400000000001</v>
      </c>
      <c r="D224" s="2">
        <v>16337</v>
      </c>
      <c r="E224" s="36">
        <f t="shared" si="37"/>
        <v>25627.200000000001</v>
      </c>
      <c r="F224" s="2">
        <v>15275</v>
      </c>
      <c r="G224" s="2">
        <f t="shared" si="35"/>
        <v>79005.600000000006</v>
      </c>
      <c r="H224" s="3">
        <f t="shared" si="38"/>
        <v>0.27550452119849733</v>
      </c>
      <c r="I224" s="3">
        <f t="shared" si="39"/>
        <v>0.32437194325465535</v>
      </c>
      <c r="J224" s="3">
        <f t="shared" si="40"/>
        <v>0.20678281033243212</v>
      </c>
      <c r="K224" s="3">
        <f t="shared" si="41"/>
        <v>0.19334072521441517</v>
      </c>
      <c r="L224" s="3">
        <f t="shared" si="42"/>
        <v>0.59987646445315268</v>
      </c>
      <c r="M224" s="56">
        <f t="shared" si="43"/>
        <v>0.40012353554684726</v>
      </c>
      <c r="O224" s="2">
        <v>42439</v>
      </c>
      <c r="R224" s="2">
        <v>28788</v>
      </c>
      <c r="S224" s="36"/>
    </row>
    <row r="225" spans="1:19" x14ac:dyDescent="0.25">
      <c r="A225" s="54" t="s">
        <v>26</v>
      </c>
      <c r="B225" s="1">
        <v>45148</v>
      </c>
      <c r="C225" s="36">
        <f t="shared" si="36"/>
        <v>23564</v>
      </c>
      <c r="D225" s="2">
        <v>14552</v>
      </c>
      <c r="E225" s="36">
        <f t="shared" si="37"/>
        <v>14663.2</v>
      </c>
      <c r="F225" s="2">
        <v>13645</v>
      </c>
      <c r="G225" s="2">
        <f t="shared" si="35"/>
        <v>66424.2</v>
      </c>
      <c r="H225" s="3">
        <f t="shared" si="38"/>
        <v>0.35475022657404981</v>
      </c>
      <c r="I225" s="3">
        <f t="shared" si="39"/>
        <v>0.22075087091752707</v>
      </c>
      <c r="J225" s="3">
        <f t="shared" si="40"/>
        <v>0.21907678225706897</v>
      </c>
      <c r="K225" s="3">
        <f t="shared" si="41"/>
        <v>0.20542212025135417</v>
      </c>
      <c r="L225" s="3">
        <f t="shared" si="42"/>
        <v>0.57550109749157685</v>
      </c>
      <c r="M225" s="56">
        <f t="shared" si="43"/>
        <v>0.42449890250842315</v>
      </c>
      <c r="O225" s="2">
        <v>53309</v>
      </c>
      <c r="R225" s="2">
        <v>59104</v>
      </c>
      <c r="S225" s="36"/>
    </row>
    <row r="226" spans="1:19" hidden="1" x14ac:dyDescent="0.25">
      <c r="A226" s="54" t="s">
        <v>7</v>
      </c>
      <c r="B226" s="1">
        <v>45149</v>
      </c>
      <c r="C226" s="36">
        <f t="shared" si="36"/>
        <v>31228.800000000003</v>
      </c>
      <c r="D226" s="2">
        <v>17041</v>
      </c>
      <c r="E226" s="36">
        <f t="shared" si="37"/>
        <v>36228</v>
      </c>
      <c r="F226" s="2">
        <v>15789</v>
      </c>
      <c r="G226" s="2">
        <f t="shared" si="35"/>
        <v>100286.8</v>
      </c>
      <c r="H226" s="3">
        <f t="shared" si="38"/>
        <v>0.31139491937124331</v>
      </c>
      <c r="I226" s="3">
        <f t="shared" si="39"/>
        <v>0.36124395234467543</v>
      </c>
      <c r="J226" s="3">
        <f t="shared" si="40"/>
        <v>0.16992266180594057</v>
      </c>
      <c r="K226" s="3">
        <f t="shared" si="41"/>
        <v>0.15743846647814069</v>
      </c>
      <c r="L226" s="3">
        <f t="shared" si="42"/>
        <v>0.67263887171591874</v>
      </c>
      <c r="M226" s="56">
        <f t="shared" si="43"/>
        <v>0.32736112828408126</v>
      </c>
      <c r="O226" s="2">
        <v>59149</v>
      </c>
      <c r="R226" s="2">
        <v>48668</v>
      </c>
      <c r="S226" s="36"/>
    </row>
    <row r="227" spans="1:19" hidden="1" x14ac:dyDescent="0.25">
      <c r="A227" s="54" t="s">
        <v>30</v>
      </c>
      <c r="B227" s="1">
        <v>45150</v>
      </c>
      <c r="C227" s="36">
        <f t="shared" si="36"/>
        <v>38022.400000000001</v>
      </c>
      <c r="D227" s="2">
        <v>24839</v>
      </c>
      <c r="E227" s="36">
        <f t="shared" si="37"/>
        <v>23349.600000000002</v>
      </c>
      <c r="F227" s="2">
        <v>22332</v>
      </c>
      <c r="G227" s="2">
        <f t="shared" si="35"/>
        <v>108543</v>
      </c>
      <c r="H227" s="3">
        <f t="shared" si="38"/>
        <v>0.35029803856536118</v>
      </c>
      <c r="I227" s="3">
        <f t="shared" si="39"/>
        <v>0.21511843232635916</v>
      </c>
      <c r="J227" s="3">
        <f t="shared" si="40"/>
        <v>0.22884018315322038</v>
      </c>
      <c r="K227" s="3">
        <f t="shared" si="41"/>
        <v>0.20574334595505928</v>
      </c>
      <c r="L227" s="3">
        <f t="shared" si="42"/>
        <v>0.56541647089172031</v>
      </c>
      <c r="M227" s="56">
        <f t="shared" si="43"/>
        <v>0.43458352910827969</v>
      </c>
      <c r="O227" s="2">
        <v>54862</v>
      </c>
      <c r="R227" s="2">
        <v>32825</v>
      </c>
      <c r="S227" s="36"/>
    </row>
    <row r="228" spans="1:19" hidden="1" x14ac:dyDescent="0.25">
      <c r="A228" s="54" t="s">
        <v>31</v>
      </c>
      <c r="B228" s="1">
        <v>45151</v>
      </c>
      <c r="C228" s="36">
        <f t="shared" si="36"/>
        <v>26225.600000000002</v>
      </c>
      <c r="D228" s="2">
        <v>24274</v>
      </c>
      <c r="E228" s="36">
        <f t="shared" si="37"/>
        <v>35694.400000000001</v>
      </c>
      <c r="F228" s="2">
        <v>21402</v>
      </c>
      <c r="G228" s="2">
        <f t="shared" si="35"/>
        <v>107596</v>
      </c>
      <c r="H228" s="3">
        <f t="shared" si="38"/>
        <v>0.24374140302613481</v>
      </c>
      <c r="I228" s="3">
        <f t="shared" si="39"/>
        <v>0.33174467452321649</v>
      </c>
      <c r="J228" s="3">
        <f t="shared" si="40"/>
        <v>0.22560318227443399</v>
      </c>
      <c r="K228" s="3">
        <f t="shared" si="41"/>
        <v>0.19891074017621474</v>
      </c>
      <c r="L228" s="3">
        <f t="shared" si="42"/>
        <v>0.57548607754935133</v>
      </c>
      <c r="M228" s="56">
        <f t="shared" si="43"/>
        <v>0.42451392245064873</v>
      </c>
      <c r="O228" s="2">
        <v>36861</v>
      </c>
      <c r="R228" s="2">
        <v>33087</v>
      </c>
      <c r="S228" s="36"/>
    </row>
    <row r="229" spans="1:19" hidden="1" x14ac:dyDescent="0.25">
      <c r="A229" s="54" t="s">
        <v>129</v>
      </c>
      <c r="B229" s="1">
        <v>45152</v>
      </c>
      <c r="C229" s="36">
        <f t="shared" si="36"/>
        <v>46124.800000000003</v>
      </c>
      <c r="D229" s="2">
        <v>22477</v>
      </c>
      <c r="E229" s="36">
        <f t="shared" si="37"/>
        <v>35668.800000000003</v>
      </c>
      <c r="F229" s="2">
        <v>14019</v>
      </c>
      <c r="G229" s="2">
        <f t="shared" si="35"/>
        <v>118289.60000000001</v>
      </c>
      <c r="H229" s="3">
        <f t="shared" si="38"/>
        <v>0.3899311520201269</v>
      </c>
      <c r="I229" s="3">
        <f t="shared" si="39"/>
        <v>0.30153792049343309</v>
      </c>
      <c r="J229" s="3">
        <f t="shared" si="40"/>
        <v>0.19001670476525409</v>
      </c>
      <c r="K229" s="3">
        <f t="shared" si="41"/>
        <v>0.11851422272118596</v>
      </c>
      <c r="L229" s="3">
        <f t="shared" si="42"/>
        <v>0.69146907251355993</v>
      </c>
      <c r="M229" s="56">
        <f t="shared" si="43"/>
        <v>0.30853092748644007</v>
      </c>
      <c r="O229" s="2">
        <v>29327</v>
      </c>
      <c r="R229" s="2">
        <v>24746</v>
      </c>
      <c r="S229" s="36"/>
    </row>
    <row r="230" spans="1:19" hidden="1" x14ac:dyDescent="0.25">
      <c r="A230" s="54" t="s">
        <v>14</v>
      </c>
      <c r="B230" s="1">
        <v>45153</v>
      </c>
      <c r="C230" s="36">
        <f t="shared" si="36"/>
        <v>43056</v>
      </c>
      <c r="D230" s="2">
        <v>19825</v>
      </c>
      <c r="E230" s="36">
        <f t="shared" si="37"/>
        <v>26482.400000000001</v>
      </c>
      <c r="F230" s="2">
        <v>17238</v>
      </c>
      <c r="G230" s="2">
        <f t="shared" si="35"/>
        <v>106601.4</v>
      </c>
      <c r="H230" s="3">
        <f t="shared" si="38"/>
        <v>0.40389713455920845</v>
      </c>
      <c r="I230" s="3">
        <f t="shared" si="39"/>
        <v>0.24842450474384017</v>
      </c>
      <c r="J230" s="3">
        <f t="shared" si="40"/>
        <v>0.18597316733176114</v>
      </c>
      <c r="K230" s="3">
        <f t="shared" si="41"/>
        <v>0.16170519336519035</v>
      </c>
      <c r="L230" s="3">
        <f t="shared" si="42"/>
        <v>0.65232163930304854</v>
      </c>
      <c r="M230" s="56">
        <f t="shared" si="43"/>
        <v>0.34767836069695146</v>
      </c>
      <c r="O230" s="2">
        <v>44015</v>
      </c>
      <c r="R230" s="2">
        <v>38047</v>
      </c>
      <c r="S230" s="36"/>
    </row>
    <row r="231" spans="1:19" hidden="1" x14ac:dyDescent="0.25">
      <c r="A231" s="54" t="s">
        <v>21</v>
      </c>
      <c r="B231" s="1">
        <v>45154</v>
      </c>
      <c r="C231" s="36">
        <f t="shared" si="36"/>
        <v>29478.400000000001</v>
      </c>
      <c r="D231" s="2">
        <v>16719</v>
      </c>
      <c r="E231" s="36">
        <f t="shared" si="37"/>
        <v>16124</v>
      </c>
      <c r="F231" s="2">
        <v>16073</v>
      </c>
      <c r="G231" s="2">
        <f t="shared" si="35"/>
        <v>78394.399999999994</v>
      </c>
      <c r="H231" s="3">
        <f t="shared" si="38"/>
        <v>0.37602685906136157</v>
      </c>
      <c r="I231" s="3">
        <f t="shared" si="39"/>
        <v>0.20567795658873594</v>
      </c>
      <c r="J231" s="3">
        <f t="shared" si="40"/>
        <v>0.21326778443358202</v>
      </c>
      <c r="K231" s="3">
        <f t="shared" si="41"/>
        <v>0.20502739991632057</v>
      </c>
      <c r="L231" s="3">
        <f t="shared" si="42"/>
        <v>0.58170481565009757</v>
      </c>
      <c r="M231" s="56">
        <f t="shared" si="43"/>
        <v>0.41829518434990259</v>
      </c>
      <c r="O231" s="2">
        <v>41958</v>
      </c>
      <c r="R231" s="2">
        <v>35080</v>
      </c>
      <c r="S231" s="36"/>
    </row>
    <row r="232" spans="1:19" x14ac:dyDescent="0.25">
      <c r="A232" s="54" t="s">
        <v>26</v>
      </c>
      <c r="B232" s="1">
        <v>45155</v>
      </c>
      <c r="C232" s="36">
        <f t="shared" si="36"/>
        <v>30683.200000000001</v>
      </c>
      <c r="D232" s="2">
        <v>9101</v>
      </c>
      <c r="E232" s="36">
        <f t="shared" si="37"/>
        <v>15912</v>
      </c>
      <c r="F232" s="2">
        <v>13458</v>
      </c>
      <c r="G232" s="2">
        <f t="shared" si="35"/>
        <v>69154.2</v>
      </c>
      <c r="H232" s="3">
        <f t="shared" si="38"/>
        <v>0.44369250168464103</v>
      </c>
      <c r="I232" s="3">
        <f t="shared" si="39"/>
        <v>0.23009448449985684</v>
      </c>
      <c r="J232" s="3">
        <f t="shared" si="40"/>
        <v>0.13160444340329294</v>
      </c>
      <c r="K232" s="3">
        <f t="shared" si="41"/>
        <v>0.19460857041220925</v>
      </c>
      <c r="L232" s="3">
        <f t="shared" si="42"/>
        <v>0.67378698618449784</v>
      </c>
      <c r="M232" s="56">
        <f t="shared" si="43"/>
        <v>0.32621301381550216</v>
      </c>
      <c r="O232" s="2">
        <v>45265</v>
      </c>
      <c r="R232" s="2">
        <v>47048</v>
      </c>
      <c r="S232" s="36"/>
    </row>
    <row r="233" spans="1:19" hidden="1" x14ac:dyDescent="0.25">
      <c r="A233" s="54" t="s">
        <v>7</v>
      </c>
      <c r="B233" s="1">
        <v>45156</v>
      </c>
      <c r="C233" s="36">
        <f t="shared" si="36"/>
        <v>36509.599999999999</v>
      </c>
      <c r="D233" s="2">
        <v>18351</v>
      </c>
      <c r="E233" s="36">
        <f t="shared" si="37"/>
        <v>21737.600000000002</v>
      </c>
      <c r="F233" s="2">
        <v>13618</v>
      </c>
      <c r="G233" s="2">
        <f t="shared" si="35"/>
        <v>90216.2</v>
      </c>
      <c r="H233" s="3">
        <f t="shared" si="38"/>
        <v>0.40469006675076097</v>
      </c>
      <c r="I233" s="3">
        <f t="shared" si="39"/>
        <v>0.2409500732684374</v>
      </c>
      <c r="J233" s="3">
        <f t="shared" si="40"/>
        <v>0.20341136070905227</v>
      </c>
      <c r="K233" s="3">
        <f t="shared" si="41"/>
        <v>0.15094849927174941</v>
      </c>
      <c r="L233" s="3">
        <f t="shared" si="42"/>
        <v>0.64564014001919834</v>
      </c>
      <c r="M233" s="56">
        <f t="shared" si="43"/>
        <v>0.35435985998080166</v>
      </c>
      <c r="O233" s="2">
        <v>52030</v>
      </c>
      <c r="R233" s="2">
        <v>50282</v>
      </c>
      <c r="S233" s="36"/>
    </row>
    <row r="234" spans="1:19" hidden="1" x14ac:dyDescent="0.25">
      <c r="A234" s="54" t="s">
        <v>30</v>
      </c>
      <c r="B234" s="1">
        <v>45157</v>
      </c>
      <c r="C234" s="36">
        <f t="shared" si="36"/>
        <v>34494.400000000001</v>
      </c>
      <c r="D234" s="2">
        <v>20273</v>
      </c>
      <c r="E234" s="36">
        <f t="shared" si="37"/>
        <v>26848.800000000003</v>
      </c>
      <c r="F234" s="2">
        <v>21393</v>
      </c>
      <c r="G234" s="2">
        <f t="shared" si="35"/>
        <v>103009.20000000001</v>
      </c>
      <c r="H234" s="3">
        <f t="shared" si="38"/>
        <v>0.33486717691235346</v>
      </c>
      <c r="I234" s="3">
        <f t="shared" si="39"/>
        <v>0.26064468028098459</v>
      </c>
      <c r="J234" s="3">
        <f t="shared" si="40"/>
        <v>0.19680766378148745</v>
      </c>
      <c r="K234" s="3">
        <f t="shared" si="41"/>
        <v>0.20768047902517442</v>
      </c>
      <c r="L234" s="3">
        <f t="shared" si="42"/>
        <v>0.5955118571933381</v>
      </c>
      <c r="M234" s="56">
        <f t="shared" si="43"/>
        <v>0.4044881428066619</v>
      </c>
      <c r="O234" s="2">
        <v>43589</v>
      </c>
      <c r="R234" s="2">
        <v>34913</v>
      </c>
      <c r="S234" s="36"/>
    </row>
    <row r="235" spans="1:19" hidden="1" x14ac:dyDescent="0.25">
      <c r="A235" s="54" t="s">
        <v>31</v>
      </c>
      <c r="B235" s="1">
        <v>45158</v>
      </c>
      <c r="C235" s="36">
        <f t="shared" si="36"/>
        <v>31073.600000000002</v>
      </c>
      <c r="D235" s="2">
        <v>26807</v>
      </c>
      <c r="E235" s="36">
        <f t="shared" si="37"/>
        <v>35262.400000000001</v>
      </c>
      <c r="F235" s="2">
        <v>23040</v>
      </c>
      <c r="G235" s="2">
        <f t="shared" si="35"/>
        <v>116183</v>
      </c>
      <c r="H235" s="3">
        <f t="shared" si="38"/>
        <v>0.26745393043732735</v>
      </c>
      <c r="I235" s="3">
        <f t="shared" si="39"/>
        <v>0.30350739781207237</v>
      </c>
      <c r="J235" s="3">
        <f t="shared" si="40"/>
        <v>0.23073082981159035</v>
      </c>
      <c r="K235" s="3">
        <f t="shared" si="41"/>
        <v>0.19830784193901002</v>
      </c>
      <c r="L235" s="3">
        <f t="shared" si="42"/>
        <v>0.5709613282493996</v>
      </c>
      <c r="M235" s="56">
        <f t="shared" si="43"/>
        <v>0.42903867175060034</v>
      </c>
      <c r="O235" s="2">
        <v>27392</v>
      </c>
      <c r="R235" s="2">
        <v>30849</v>
      </c>
      <c r="S235" s="36"/>
    </row>
    <row r="236" spans="1:19" hidden="1" x14ac:dyDescent="0.25">
      <c r="A236" s="54" t="s">
        <v>129</v>
      </c>
      <c r="B236" s="1">
        <v>45159</v>
      </c>
      <c r="C236" s="36">
        <f t="shared" si="36"/>
        <v>44811.200000000004</v>
      </c>
      <c r="D236" s="2">
        <v>19819</v>
      </c>
      <c r="E236" s="36">
        <f t="shared" si="37"/>
        <v>37805.599999999999</v>
      </c>
      <c r="F236" s="2">
        <v>20235</v>
      </c>
      <c r="G236" s="2">
        <f t="shared" si="35"/>
        <v>122670.8</v>
      </c>
      <c r="H236" s="3">
        <f t="shared" si="38"/>
        <v>0.36529638675218556</v>
      </c>
      <c r="I236" s="3">
        <f t="shared" si="39"/>
        <v>0.30818744151012301</v>
      </c>
      <c r="J236" s="3">
        <f t="shared" si="40"/>
        <v>0.16156249082911336</v>
      </c>
      <c r="K236" s="3">
        <f t="shared" si="41"/>
        <v>0.16495368090857807</v>
      </c>
      <c r="L236" s="3">
        <f t="shared" si="42"/>
        <v>0.67348382826230857</v>
      </c>
      <c r="M236" s="56">
        <f t="shared" si="43"/>
        <v>0.32651617173769143</v>
      </c>
      <c r="O236" s="2">
        <v>32313</v>
      </c>
      <c r="R236" s="2">
        <v>32077</v>
      </c>
      <c r="S236" s="36"/>
    </row>
    <row r="237" spans="1:19" hidden="1" x14ac:dyDescent="0.25">
      <c r="A237" s="54" t="s">
        <v>14</v>
      </c>
      <c r="B237" s="1">
        <v>45160</v>
      </c>
      <c r="C237" s="36">
        <f t="shared" si="36"/>
        <v>55344.800000000003</v>
      </c>
      <c r="D237" s="2">
        <v>23980</v>
      </c>
      <c r="E237" s="36">
        <f t="shared" si="37"/>
        <v>27216.800000000003</v>
      </c>
      <c r="F237" s="2">
        <v>22952</v>
      </c>
      <c r="G237" s="2">
        <f t="shared" si="35"/>
        <v>129493.6</v>
      </c>
      <c r="H237" s="3">
        <f t="shared" si="38"/>
        <v>0.42739409515219284</v>
      </c>
      <c r="I237" s="3">
        <f t="shared" si="39"/>
        <v>0.21017872697955731</v>
      </c>
      <c r="J237" s="3">
        <f t="shared" si="40"/>
        <v>0.18518289706981658</v>
      </c>
      <c r="K237" s="3">
        <f t="shared" si="41"/>
        <v>0.17724428079843327</v>
      </c>
      <c r="L237" s="3">
        <f t="shared" si="42"/>
        <v>0.63757282213175015</v>
      </c>
      <c r="M237" s="56">
        <f t="shared" si="43"/>
        <v>0.36242717786824985</v>
      </c>
      <c r="O237" s="2">
        <v>52495</v>
      </c>
      <c r="R237" s="2">
        <v>26019</v>
      </c>
      <c r="S237" s="36"/>
    </row>
    <row r="238" spans="1:19" hidden="1" x14ac:dyDescent="0.25">
      <c r="A238" s="54" t="s">
        <v>21</v>
      </c>
      <c r="B238" s="1">
        <v>45161</v>
      </c>
      <c r="C238" s="36">
        <f t="shared" si="36"/>
        <v>42070.400000000001</v>
      </c>
      <c r="D238" s="2">
        <v>16067</v>
      </c>
      <c r="E238" s="36">
        <f t="shared" si="37"/>
        <v>28501.600000000002</v>
      </c>
      <c r="F238" s="2">
        <v>21348</v>
      </c>
      <c r="G238" s="2">
        <f t="shared" si="35"/>
        <v>107987</v>
      </c>
      <c r="H238" s="3">
        <f t="shared" si="38"/>
        <v>0.38958763554872344</v>
      </c>
      <c r="I238" s="3">
        <f t="shared" si="39"/>
        <v>0.2639354737144286</v>
      </c>
      <c r="J238" s="3">
        <f t="shared" si="40"/>
        <v>0.14878642799596248</v>
      </c>
      <c r="K238" s="3">
        <f t="shared" si="41"/>
        <v>0.19769046274088548</v>
      </c>
      <c r="L238" s="3">
        <f t="shared" si="42"/>
        <v>0.65352310926315205</v>
      </c>
      <c r="M238" s="56">
        <f t="shared" si="43"/>
        <v>0.34647689073684795</v>
      </c>
      <c r="O238" s="2">
        <v>38008</v>
      </c>
      <c r="R238" s="2">
        <v>30711</v>
      </c>
      <c r="S238" s="36"/>
    </row>
    <row r="239" spans="1:19" x14ac:dyDescent="0.25">
      <c r="A239" s="54" t="s">
        <v>26</v>
      </c>
      <c r="B239" s="1">
        <v>45162</v>
      </c>
      <c r="C239" s="36">
        <f t="shared" si="36"/>
        <v>28984</v>
      </c>
      <c r="D239" s="2">
        <v>12799</v>
      </c>
      <c r="E239" s="36">
        <f t="shared" si="37"/>
        <v>18792.8</v>
      </c>
      <c r="F239" s="2">
        <v>13521</v>
      </c>
      <c r="G239" s="2">
        <f t="shared" si="35"/>
        <v>74096.800000000003</v>
      </c>
      <c r="H239" s="3">
        <f t="shared" si="38"/>
        <v>0.39116399088759568</v>
      </c>
      <c r="I239" s="3">
        <f t="shared" si="39"/>
        <v>0.25362498785372645</v>
      </c>
      <c r="J239" s="3">
        <f t="shared" si="40"/>
        <v>0.17273350536055537</v>
      </c>
      <c r="K239" s="3">
        <f t="shared" si="41"/>
        <v>0.18247751589812244</v>
      </c>
      <c r="L239" s="3">
        <f t="shared" si="42"/>
        <v>0.64478897874132213</v>
      </c>
      <c r="M239" s="56">
        <f t="shared" si="43"/>
        <v>0.35521102125867782</v>
      </c>
      <c r="O239" s="2">
        <v>53654</v>
      </c>
      <c r="R239" s="2">
        <v>43082</v>
      </c>
      <c r="S239" s="36"/>
    </row>
    <row r="240" spans="1:19" hidden="1" x14ac:dyDescent="0.25">
      <c r="A240" s="54" t="s">
        <v>7</v>
      </c>
      <c r="B240" s="1">
        <v>45163</v>
      </c>
      <c r="C240" s="36">
        <f t="shared" si="36"/>
        <v>34450.400000000001</v>
      </c>
      <c r="D240" s="2">
        <v>15104</v>
      </c>
      <c r="E240" s="36">
        <f t="shared" si="37"/>
        <v>30563.200000000001</v>
      </c>
      <c r="F240" s="2">
        <v>18459</v>
      </c>
      <c r="G240" s="2">
        <f t="shared" si="35"/>
        <v>98576.6</v>
      </c>
      <c r="H240" s="3">
        <f t="shared" si="38"/>
        <v>0.3494784766364431</v>
      </c>
      <c r="I240" s="3">
        <f t="shared" si="39"/>
        <v>0.31004518313676876</v>
      </c>
      <c r="J240" s="3">
        <f t="shared" si="40"/>
        <v>0.15322094695901461</v>
      </c>
      <c r="K240" s="3">
        <f t="shared" si="41"/>
        <v>0.18725539326777349</v>
      </c>
      <c r="L240" s="3">
        <f t="shared" si="42"/>
        <v>0.65952365977321192</v>
      </c>
      <c r="M240" s="56">
        <f t="shared" si="43"/>
        <v>0.34047634022678808</v>
      </c>
      <c r="O240" s="2">
        <v>38575</v>
      </c>
      <c r="R240" s="2">
        <v>38885</v>
      </c>
      <c r="S240" s="36"/>
    </row>
    <row r="241" spans="1:19" hidden="1" x14ac:dyDescent="0.25">
      <c r="A241" s="54" t="s">
        <v>30</v>
      </c>
      <c r="B241" s="1">
        <v>45164</v>
      </c>
      <c r="C241" s="36">
        <f t="shared" si="36"/>
        <v>41842.400000000001</v>
      </c>
      <c r="D241" s="2">
        <v>28416</v>
      </c>
      <c r="E241" s="36">
        <f t="shared" si="37"/>
        <v>33459.200000000004</v>
      </c>
      <c r="F241" s="2">
        <v>19956</v>
      </c>
      <c r="G241" s="2">
        <f t="shared" si="35"/>
        <v>123673.60000000001</v>
      </c>
      <c r="H241" s="3">
        <f t="shared" si="38"/>
        <v>0.33832927965224591</v>
      </c>
      <c r="I241" s="3">
        <f t="shared" si="39"/>
        <v>0.27054440074518737</v>
      </c>
      <c r="J241" s="3">
        <f t="shared" si="40"/>
        <v>0.22976609397640238</v>
      </c>
      <c r="K241" s="3">
        <f t="shared" si="41"/>
        <v>0.16136022562616434</v>
      </c>
      <c r="L241" s="3">
        <f t="shared" si="42"/>
        <v>0.60887368039743328</v>
      </c>
      <c r="M241" s="56">
        <f t="shared" si="43"/>
        <v>0.39112631960256672</v>
      </c>
      <c r="O241" s="2">
        <v>57469</v>
      </c>
      <c r="R241" s="2">
        <v>24970</v>
      </c>
      <c r="S241" s="36"/>
    </row>
    <row r="242" spans="1:19" hidden="1" x14ac:dyDescent="0.25">
      <c r="A242" s="54" t="s">
        <v>31</v>
      </c>
      <c r="B242" s="1">
        <v>45165</v>
      </c>
      <c r="C242" s="36">
        <f t="shared" si="36"/>
        <v>47363.200000000004</v>
      </c>
      <c r="D242" s="2">
        <v>25992</v>
      </c>
      <c r="E242" s="36">
        <f t="shared" si="37"/>
        <v>46090.400000000001</v>
      </c>
      <c r="F242" s="2">
        <v>26099</v>
      </c>
      <c r="G242" s="2">
        <f t="shared" si="35"/>
        <v>145544.6</v>
      </c>
      <c r="H242" s="3">
        <f t="shared" si="38"/>
        <v>0.32542052401806731</v>
      </c>
      <c r="I242" s="3">
        <f t="shared" si="39"/>
        <v>0.3166754383192506</v>
      </c>
      <c r="J242" s="3">
        <f t="shared" si="40"/>
        <v>0.17858443391235401</v>
      </c>
      <c r="K242" s="3">
        <f t="shared" si="41"/>
        <v>0.17931960375032807</v>
      </c>
      <c r="L242" s="3">
        <f t="shared" si="42"/>
        <v>0.64209596233731792</v>
      </c>
      <c r="M242" s="56">
        <f t="shared" si="43"/>
        <v>0.35790403766268208</v>
      </c>
      <c r="O242" s="2">
        <v>31873</v>
      </c>
      <c r="R242" s="2">
        <v>33359</v>
      </c>
      <c r="S242" s="36"/>
    </row>
    <row r="243" spans="1:19" hidden="1" x14ac:dyDescent="0.25">
      <c r="A243" s="54" t="s">
        <v>129</v>
      </c>
      <c r="B243" s="1">
        <v>45166</v>
      </c>
      <c r="C243" s="36">
        <f t="shared" si="36"/>
        <v>45823.200000000004</v>
      </c>
      <c r="D243" s="2">
        <v>23037</v>
      </c>
      <c r="E243" s="36">
        <f t="shared" si="37"/>
        <v>29297.600000000002</v>
      </c>
      <c r="F243" s="2">
        <v>17127</v>
      </c>
      <c r="G243" s="2">
        <f t="shared" si="35"/>
        <v>115284.80000000002</v>
      </c>
      <c r="H243" s="3">
        <f t="shared" si="38"/>
        <v>0.39747824518063091</v>
      </c>
      <c r="I243" s="3">
        <f t="shared" si="39"/>
        <v>0.25413237477967604</v>
      </c>
      <c r="J243" s="3">
        <f t="shared" si="40"/>
        <v>0.19982686355876922</v>
      </c>
      <c r="K243" s="3">
        <f t="shared" si="41"/>
        <v>0.14856251648092375</v>
      </c>
      <c r="L243" s="3">
        <f t="shared" si="42"/>
        <v>0.65161061996030689</v>
      </c>
      <c r="M243" s="56">
        <f t="shared" si="43"/>
        <v>0.34838938003969294</v>
      </c>
      <c r="O243" s="2">
        <v>26730</v>
      </c>
      <c r="R243" s="2">
        <v>24633</v>
      </c>
      <c r="S243" s="36"/>
    </row>
    <row r="244" spans="1:19" hidden="1" x14ac:dyDescent="0.25">
      <c r="A244" s="54" t="s">
        <v>14</v>
      </c>
      <c r="B244" s="1">
        <v>45167</v>
      </c>
      <c r="C244" s="36">
        <f t="shared" si="36"/>
        <v>44167.200000000004</v>
      </c>
      <c r="D244" s="2">
        <v>17662</v>
      </c>
      <c r="E244" s="36">
        <f t="shared" si="37"/>
        <v>26995.200000000001</v>
      </c>
      <c r="F244" s="2">
        <v>16171</v>
      </c>
      <c r="G244" s="2">
        <f t="shared" si="35"/>
        <v>104995.40000000001</v>
      </c>
      <c r="H244" s="3">
        <f t="shared" si="38"/>
        <v>0.42065842884545418</v>
      </c>
      <c r="I244" s="3">
        <f t="shared" si="39"/>
        <v>0.25710840665400581</v>
      </c>
      <c r="J244" s="3">
        <f t="shared" si="40"/>
        <v>0.16821689331151649</v>
      </c>
      <c r="K244" s="3">
        <f t="shared" si="41"/>
        <v>0.1540162711890235</v>
      </c>
      <c r="L244" s="3">
        <f t="shared" si="42"/>
        <v>0.67776683549946004</v>
      </c>
      <c r="M244" s="56">
        <f t="shared" si="43"/>
        <v>0.32223316450054001</v>
      </c>
      <c r="O244" s="2">
        <v>31584</v>
      </c>
      <c r="R244" s="2">
        <v>33381</v>
      </c>
      <c r="S244" s="36"/>
    </row>
    <row r="245" spans="1:19" hidden="1" x14ac:dyDescent="0.25">
      <c r="A245" s="54" t="s">
        <v>21</v>
      </c>
      <c r="B245" s="1">
        <v>45168</v>
      </c>
      <c r="C245" s="36">
        <f t="shared" si="36"/>
        <v>18122.400000000001</v>
      </c>
      <c r="D245" s="2">
        <v>13082</v>
      </c>
      <c r="E245" s="36">
        <f t="shared" si="37"/>
        <v>17888.8</v>
      </c>
      <c r="F245" s="2">
        <v>10795</v>
      </c>
      <c r="G245" s="2">
        <f t="shared" si="35"/>
        <v>59888.2</v>
      </c>
      <c r="H245" s="3">
        <f t="shared" si="38"/>
        <v>0.3026038518439359</v>
      </c>
      <c r="I245" s="3">
        <f t="shared" si="39"/>
        <v>0.29870325038989315</v>
      </c>
      <c r="J245" s="3">
        <f t="shared" si="40"/>
        <v>0.21844036053847002</v>
      </c>
      <c r="K245" s="3">
        <f t="shared" si="41"/>
        <v>0.18025253722770096</v>
      </c>
      <c r="L245" s="3">
        <f t="shared" si="42"/>
        <v>0.60130710223382899</v>
      </c>
      <c r="M245" s="56">
        <f t="shared" si="43"/>
        <v>0.39869289776617101</v>
      </c>
      <c r="O245" s="2">
        <v>32308</v>
      </c>
      <c r="R245" s="2">
        <v>43350</v>
      </c>
      <c r="S245" s="36"/>
    </row>
    <row r="246" spans="1:19" x14ac:dyDescent="0.25">
      <c r="A246" s="54" t="s">
        <v>26</v>
      </c>
      <c r="B246" s="1">
        <v>45169</v>
      </c>
      <c r="C246" s="36">
        <f t="shared" si="36"/>
        <v>23736.800000000003</v>
      </c>
      <c r="D246" s="2">
        <v>10533</v>
      </c>
      <c r="E246" s="36">
        <f t="shared" si="37"/>
        <v>14113.6</v>
      </c>
      <c r="F246" s="2">
        <v>12595</v>
      </c>
      <c r="G246" s="2">
        <f t="shared" si="35"/>
        <v>60978.400000000001</v>
      </c>
      <c r="H246" s="3">
        <f t="shared" si="38"/>
        <v>0.38926570720123849</v>
      </c>
      <c r="I246" s="3">
        <f t="shared" si="39"/>
        <v>0.23145244873594584</v>
      </c>
      <c r="J246" s="3">
        <f t="shared" si="40"/>
        <v>0.17273329572438764</v>
      </c>
      <c r="K246" s="3">
        <f t="shared" si="41"/>
        <v>0.20654854833842803</v>
      </c>
      <c r="L246" s="3">
        <f t="shared" si="42"/>
        <v>0.62071815593718427</v>
      </c>
      <c r="M246" s="56">
        <f t="shared" si="43"/>
        <v>0.37928184406281568</v>
      </c>
      <c r="O246" s="2">
        <v>36965</v>
      </c>
      <c r="R246" s="2">
        <v>36656</v>
      </c>
      <c r="S246" s="36"/>
    </row>
    <row r="247" spans="1:19" hidden="1" x14ac:dyDescent="0.25">
      <c r="A247" s="54" t="s">
        <v>7</v>
      </c>
      <c r="B247" s="1">
        <v>45170</v>
      </c>
      <c r="C247" s="36">
        <f t="shared" si="36"/>
        <v>27995.200000000001</v>
      </c>
      <c r="D247" s="2">
        <v>14224</v>
      </c>
      <c r="E247" s="36">
        <f t="shared" si="37"/>
        <v>24084.800000000003</v>
      </c>
      <c r="F247" s="2">
        <v>17773</v>
      </c>
      <c r="G247" s="2">
        <f t="shared" si="35"/>
        <v>84077</v>
      </c>
      <c r="H247" s="3">
        <f t="shared" si="38"/>
        <v>0.33297096708969159</v>
      </c>
      <c r="I247" s="3">
        <f t="shared" si="39"/>
        <v>0.28646122007207681</v>
      </c>
      <c r="J247" s="3">
        <f t="shared" si="40"/>
        <v>0.16917825326783781</v>
      </c>
      <c r="K247" s="3">
        <f t="shared" si="41"/>
        <v>0.21138955957039379</v>
      </c>
      <c r="L247" s="3">
        <f t="shared" si="42"/>
        <v>0.6194321871617684</v>
      </c>
      <c r="M247" s="56">
        <f t="shared" si="43"/>
        <v>0.3805678128382316</v>
      </c>
      <c r="O247" s="2">
        <v>57032</v>
      </c>
      <c r="R247" s="2">
        <v>48017</v>
      </c>
      <c r="S247" s="36"/>
    </row>
    <row r="248" spans="1:19" hidden="1" x14ac:dyDescent="0.25">
      <c r="A248" s="54" t="s">
        <v>30</v>
      </c>
      <c r="B248" s="1">
        <v>45171</v>
      </c>
      <c r="C248" s="36">
        <f t="shared" si="36"/>
        <v>34979.200000000004</v>
      </c>
      <c r="D248" s="2">
        <v>20609</v>
      </c>
      <c r="E248" s="36">
        <f t="shared" si="37"/>
        <v>31738.400000000001</v>
      </c>
      <c r="F248" s="2">
        <v>14257</v>
      </c>
      <c r="G248" s="2">
        <f t="shared" si="35"/>
        <v>101583.6</v>
      </c>
      <c r="H248" s="3">
        <f t="shared" si="38"/>
        <v>0.34433904685401978</v>
      </c>
      <c r="I248" s="3">
        <f t="shared" si="39"/>
        <v>0.31243625939620173</v>
      </c>
      <c r="J248" s="3">
        <f t="shared" si="40"/>
        <v>0.20287723608928998</v>
      </c>
      <c r="K248" s="3">
        <f t="shared" si="41"/>
        <v>0.14034745766048851</v>
      </c>
      <c r="L248" s="3">
        <f t="shared" si="42"/>
        <v>0.65677530625022151</v>
      </c>
      <c r="M248" s="56">
        <f t="shared" si="43"/>
        <v>0.34322469374977849</v>
      </c>
      <c r="O248" s="2">
        <v>35069</v>
      </c>
      <c r="R248" s="2">
        <v>31042</v>
      </c>
      <c r="S248" s="36"/>
    </row>
    <row r="249" spans="1:19" hidden="1" x14ac:dyDescent="0.25">
      <c r="A249" s="54" t="s">
        <v>31</v>
      </c>
      <c r="B249" s="1">
        <v>45172</v>
      </c>
      <c r="C249" s="36">
        <f t="shared" si="36"/>
        <v>28348.800000000003</v>
      </c>
      <c r="D249" s="2">
        <v>22130</v>
      </c>
      <c r="E249" s="36">
        <f t="shared" si="37"/>
        <v>32583.200000000001</v>
      </c>
      <c r="F249" s="2">
        <v>19273</v>
      </c>
      <c r="G249" s="2">
        <f t="shared" si="35"/>
        <v>102335</v>
      </c>
      <c r="H249" s="3">
        <f t="shared" si="38"/>
        <v>0.27701959251477992</v>
      </c>
      <c r="I249" s="3">
        <f t="shared" si="39"/>
        <v>0.31839742023745543</v>
      </c>
      <c r="J249" s="3">
        <f t="shared" si="40"/>
        <v>0.2162505496653149</v>
      </c>
      <c r="K249" s="3">
        <f t="shared" si="41"/>
        <v>0.1883324375824498</v>
      </c>
      <c r="L249" s="3">
        <f t="shared" si="42"/>
        <v>0.59541701275223535</v>
      </c>
      <c r="M249" s="56">
        <f t="shared" si="43"/>
        <v>0.4045829872477647</v>
      </c>
      <c r="O249" s="2">
        <v>27208</v>
      </c>
      <c r="R249" s="2">
        <v>32034</v>
      </c>
      <c r="S249" s="36"/>
    </row>
    <row r="250" spans="1:19" hidden="1" x14ac:dyDescent="0.25">
      <c r="A250" s="54" t="s">
        <v>129</v>
      </c>
      <c r="B250" s="1">
        <v>45173</v>
      </c>
      <c r="C250" s="36">
        <f t="shared" si="36"/>
        <v>32760</v>
      </c>
      <c r="D250" s="2">
        <v>25417</v>
      </c>
      <c r="E250" s="36">
        <f t="shared" si="37"/>
        <v>46156.800000000003</v>
      </c>
      <c r="F250" s="2">
        <v>25420</v>
      </c>
      <c r="G250" s="2">
        <f t="shared" si="35"/>
        <v>129753.8</v>
      </c>
      <c r="H250" s="3">
        <f t="shared" si="38"/>
        <v>0.25247815478236474</v>
      </c>
      <c r="I250" s="3">
        <f t="shared" si="39"/>
        <v>0.3557259980054534</v>
      </c>
      <c r="J250" s="3">
        <f t="shared" si="40"/>
        <v>0.19588636325101846</v>
      </c>
      <c r="K250" s="3">
        <f t="shared" si="41"/>
        <v>0.19590948396116337</v>
      </c>
      <c r="L250" s="3">
        <f t="shared" si="42"/>
        <v>0.60820415278781814</v>
      </c>
      <c r="M250" s="56">
        <f t="shared" si="43"/>
        <v>0.39179584721218186</v>
      </c>
      <c r="O250" s="2">
        <v>29455</v>
      </c>
      <c r="R250" s="2">
        <v>18329</v>
      </c>
      <c r="S250" s="36"/>
    </row>
    <row r="251" spans="1:19" hidden="1" x14ac:dyDescent="0.25">
      <c r="A251" s="54" t="s">
        <v>14</v>
      </c>
      <c r="B251" s="1">
        <v>45174</v>
      </c>
      <c r="C251" s="36">
        <f t="shared" si="36"/>
        <v>41544</v>
      </c>
      <c r="D251" s="2">
        <v>20655</v>
      </c>
      <c r="E251" s="36">
        <f t="shared" si="37"/>
        <v>30790.400000000001</v>
      </c>
      <c r="F251" s="2">
        <v>14906</v>
      </c>
      <c r="G251" s="2">
        <f t="shared" si="35"/>
        <v>107895.4</v>
      </c>
      <c r="H251" s="3">
        <f t="shared" si="38"/>
        <v>0.38503958463474813</v>
      </c>
      <c r="I251" s="3">
        <f t="shared" si="39"/>
        <v>0.28537268502642377</v>
      </c>
      <c r="J251" s="3">
        <f t="shared" si="40"/>
        <v>0.19143540873846338</v>
      </c>
      <c r="K251" s="3">
        <f t="shared" si="41"/>
        <v>0.13815232160036481</v>
      </c>
      <c r="L251" s="3">
        <f t="shared" si="42"/>
        <v>0.67041226966117184</v>
      </c>
      <c r="M251" s="56">
        <f t="shared" si="43"/>
        <v>0.32958773033882816</v>
      </c>
      <c r="O251" s="2">
        <v>39036</v>
      </c>
      <c r="R251" s="2">
        <v>45285</v>
      </c>
      <c r="S251" s="36"/>
    </row>
    <row r="252" spans="1:19" hidden="1" x14ac:dyDescent="0.25">
      <c r="A252" s="54" t="s">
        <v>21</v>
      </c>
      <c r="B252" s="1">
        <v>45175</v>
      </c>
      <c r="C252" s="36">
        <f t="shared" si="36"/>
        <v>21625.600000000002</v>
      </c>
      <c r="D252" s="2">
        <v>14370</v>
      </c>
      <c r="E252" s="36">
        <f t="shared" si="37"/>
        <v>21632</v>
      </c>
      <c r="F252" s="2">
        <v>15615</v>
      </c>
      <c r="G252" s="2">
        <f t="shared" si="35"/>
        <v>73242.600000000006</v>
      </c>
      <c r="H252" s="3">
        <f t="shared" si="38"/>
        <v>0.29525986242978813</v>
      </c>
      <c r="I252" s="3">
        <f t="shared" si="39"/>
        <v>0.29534724327099254</v>
      </c>
      <c r="J252" s="3">
        <f t="shared" si="40"/>
        <v>0.19619729501683444</v>
      </c>
      <c r="K252" s="3">
        <f t="shared" si="41"/>
        <v>0.21319559928238482</v>
      </c>
      <c r="L252" s="3">
        <f t="shared" si="42"/>
        <v>0.59060710570078068</v>
      </c>
      <c r="M252" s="56">
        <f t="shared" si="43"/>
        <v>0.40939289429921927</v>
      </c>
      <c r="O252" s="2">
        <v>47528</v>
      </c>
      <c r="R252" s="2">
        <v>29187</v>
      </c>
      <c r="S252" s="36"/>
    </row>
    <row r="253" spans="1:19" x14ac:dyDescent="0.25">
      <c r="A253" s="54" t="s">
        <v>26</v>
      </c>
      <c r="B253" s="1">
        <v>45176</v>
      </c>
      <c r="C253" s="36">
        <f t="shared" si="36"/>
        <v>29282.400000000001</v>
      </c>
      <c r="D253" s="2">
        <v>11244</v>
      </c>
      <c r="E253" s="36">
        <f t="shared" si="37"/>
        <v>18497.600000000002</v>
      </c>
      <c r="F253" s="2">
        <v>12080</v>
      </c>
      <c r="G253" s="2">
        <f t="shared" si="35"/>
        <v>71104</v>
      </c>
      <c r="H253" s="3">
        <f t="shared" si="38"/>
        <v>0.41182493249324936</v>
      </c>
      <c r="I253" s="3">
        <f t="shared" si="39"/>
        <v>0.26014851485148516</v>
      </c>
      <c r="J253" s="3">
        <f t="shared" si="40"/>
        <v>0.15813456345634563</v>
      </c>
      <c r="K253" s="3">
        <f t="shared" si="41"/>
        <v>0.1698919891989199</v>
      </c>
      <c r="L253" s="3">
        <f t="shared" si="42"/>
        <v>0.67197344734473452</v>
      </c>
      <c r="M253" s="56">
        <f t="shared" si="43"/>
        <v>0.32802655265526554</v>
      </c>
      <c r="O253" s="2">
        <v>32782</v>
      </c>
      <c r="R253" s="2">
        <v>44618</v>
      </c>
      <c r="S253" s="36"/>
    </row>
    <row r="254" spans="1:19" hidden="1" x14ac:dyDescent="0.25">
      <c r="A254" s="54" t="s">
        <v>7</v>
      </c>
      <c r="B254" s="1">
        <v>45177</v>
      </c>
      <c r="C254" s="36">
        <f t="shared" si="36"/>
        <v>30412</v>
      </c>
      <c r="D254" s="2">
        <v>15661</v>
      </c>
      <c r="E254" s="36">
        <f t="shared" si="37"/>
        <v>23766.400000000001</v>
      </c>
      <c r="F254" s="2">
        <v>16916</v>
      </c>
      <c r="G254" s="2">
        <f t="shared" si="35"/>
        <v>86755.4</v>
      </c>
      <c r="H254" s="3">
        <f t="shared" si="38"/>
        <v>0.35054878428316855</v>
      </c>
      <c r="I254" s="3">
        <f t="shared" si="39"/>
        <v>0.27394721250780935</v>
      </c>
      <c r="J254" s="3">
        <f t="shared" si="40"/>
        <v>0.18051902244701773</v>
      </c>
      <c r="K254" s="3">
        <f t="shared" si="41"/>
        <v>0.19498498076200446</v>
      </c>
      <c r="L254" s="3">
        <f t="shared" si="42"/>
        <v>0.62449599679097789</v>
      </c>
      <c r="M254" s="56">
        <f t="shared" si="43"/>
        <v>0.37550400320902216</v>
      </c>
      <c r="O254" s="2">
        <v>57656</v>
      </c>
      <c r="R254" s="2">
        <v>44586</v>
      </c>
      <c r="S254" s="36"/>
    </row>
    <row r="255" spans="1:19" hidden="1" x14ac:dyDescent="0.25">
      <c r="A255" s="54" t="s">
        <v>30</v>
      </c>
      <c r="B255" s="1">
        <v>45178</v>
      </c>
      <c r="C255" s="36">
        <f t="shared" si="36"/>
        <v>33928.800000000003</v>
      </c>
      <c r="D255" s="2">
        <v>24864</v>
      </c>
      <c r="E255" s="36">
        <f t="shared" si="37"/>
        <v>28468.800000000003</v>
      </c>
      <c r="F255" s="2">
        <v>23547</v>
      </c>
      <c r="G255" s="2">
        <f t="shared" si="35"/>
        <v>110808.6</v>
      </c>
      <c r="H255" s="3">
        <f t="shared" si="38"/>
        <v>0.30619284062789354</v>
      </c>
      <c r="I255" s="3">
        <f t="shared" si="39"/>
        <v>0.25691868681672725</v>
      </c>
      <c r="J255" s="3">
        <f t="shared" si="40"/>
        <v>0.22438691581700337</v>
      </c>
      <c r="K255" s="3">
        <f t="shared" si="41"/>
        <v>0.2125015567383759</v>
      </c>
      <c r="L255" s="3">
        <f t="shared" si="42"/>
        <v>0.56311152744462079</v>
      </c>
      <c r="M255" s="56">
        <f t="shared" si="43"/>
        <v>0.43688847255537927</v>
      </c>
      <c r="O255" s="2">
        <v>53820</v>
      </c>
      <c r="R255" s="2">
        <v>33103</v>
      </c>
      <c r="S255" s="36"/>
    </row>
    <row r="256" spans="1:19" hidden="1" x14ac:dyDescent="0.25">
      <c r="A256" s="54" t="s">
        <v>31</v>
      </c>
      <c r="B256" s="1">
        <v>45179</v>
      </c>
      <c r="C256" s="36">
        <f t="shared" si="36"/>
        <v>34364</v>
      </c>
      <c r="D256" s="2">
        <v>21282</v>
      </c>
      <c r="E256" s="36">
        <f t="shared" si="37"/>
        <v>36211.200000000004</v>
      </c>
      <c r="F256" s="2">
        <v>21522</v>
      </c>
      <c r="G256" s="2">
        <f t="shared" si="35"/>
        <v>113379.20000000001</v>
      </c>
      <c r="H256" s="3">
        <f t="shared" si="38"/>
        <v>0.30308910276311701</v>
      </c>
      <c r="I256" s="3">
        <f t="shared" si="39"/>
        <v>0.3193813327312241</v>
      </c>
      <c r="J256" s="3">
        <f t="shared" si="40"/>
        <v>0.18770638706217718</v>
      </c>
      <c r="K256" s="3">
        <f t="shared" si="41"/>
        <v>0.18982317744348168</v>
      </c>
      <c r="L256" s="3">
        <f t="shared" si="42"/>
        <v>0.62247043549434111</v>
      </c>
      <c r="M256" s="56">
        <f t="shared" si="43"/>
        <v>0.37752956450565883</v>
      </c>
      <c r="O256" s="2">
        <v>36848</v>
      </c>
      <c r="R256" s="2">
        <v>20155</v>
      </c>
      <c r="S256" s="36"/>
    </row>
    <row r="257" spans="1:19" hidden="1" x14ac:dyDescent="0.25">
      <c r="A257" s="54" t="s">
        <v>129</v>
      </c>
      <c r="B257" s="1">
        <v>45180</v>
      </c>
      <c r="C257" s="36">
        <f t="shared" si="36"/>
        <v>39170.400000000001</v>
      </c>
      <c r="D257" s="2">
        <v>23404</v>
      </c>
      <c r="E257" s="36">
        <f t="shared" si="37"/>
        <v>46044.800000000003</v>
      </c>
      <c r="F257" s="2">
        <v>14038</v>
      </c>
      <c r="G257" s="2">
        <f t="shared" si="35"/>
        <v>122657.20000000001</v>
      </c>
      <c r="H257" s="3">
        <f t="shared" si="38"/>
        <v>0.3193485584213564</v>
      </c>
      <c r="I257" s="3">
        <f t="shared" si="39"/>
        <v>0.37539418802972835</v>
      </c>
      <c r="J257" s="3">
        <f t="shared" si="40"/>
        <v>0.19080820367658807</v>
      </c>
      <c r="K257" s="3">
        <f t="shared" si="41"/>
        <v>0.1144490498723271</v>
      </c>
      <c r="L257" s="3">
        <f t="shared" si="42"/>
        <v>0.6947427464510848</v>
      </c>
      <c r="M257" s="56">
        <f t="shared" si="43"/>
        <v>0.30525725354891514</v>
      </c>
      <c r="O257" s="2">
        <v>38354</v>
      </c>
      <c r="R257" s="2">
        <v>19890</v>
      </c>
      <c r="S257" s="36"/>
    </row>
    <row r="258" spans="1:19" hidden="1" x14ac:dyDescent="0.25">
      <c r="A258" s="54" t="s">
        <v>14</v>
      </c>
      <c r="B258" s="1">
        <v>45181</v>
      </c>
      <c r="C258" s="36">
        <f t="shared" si="36"/>
        <v>40615.200000000004</v>
      </c>
      <c r="D258" s="2">
        <v>22816</v>
      </c>
      <c r="E258" s="36">
        <f t="shared" si="37"/>
        <v>25788.800000000003</v>
      </c>
      <c r="F258" s="2">
        <v>13723</v>
      </c>
      <c r="G258" s="2">
        <f t="shared" si="35"/>
        <v>102943</v>
      </c>
      <c r="H258" s="3">
        <f t="shared" si="38"/>
        <v>0.39454066813673588</v>
      </c>
      <c r="I258" s="3">
        <f t="shared" si="39"/>
        <v>0.25051533372837398</v>
      </c>
      <c r="J258" s="3">
        <f t="shared" si="40"/>
        <v>0.22163721671216111</v>
      </c>
      <c r="K258" s="3">
        <f t="shared" si="41"/>
        <v>0.13330678142272909</v>
      </c>
      <c r="L258" s="3">
        <f t="shared" si="42"/>
        <v>0.64505600186510981</v>
      </c>
      <c r="M258" s="56">
        <f t="shared" si="43"/>
        <v>0.35494399813489019</v>
      </c>
      <c r="O258" s="2">
        <v>45637</v>
      </c>
      <c r="R258" s="2">
        <v>27172</v>
      </c>
      <c r="S258" s="36"/>
    </row>
    <row r="259" spans="1:19" hidden="1" x14ac:dyDescent="0.25">
      <c r="A259" s="54" t="s">
        <v>21</v>
      </c>
      <c r="B259" s="1">
        <v>45182</v>
      </c>
      <c r="C259" s="36">
        <f t="shared" si="36"/>
        <v>22780</v>
      </c>
      <c r="D259" s="2">
        <v>16291</v>
      </c>
      <c r="E259" s="36">
        <f t="shared" si="37"/>
        <v>22720.800000000003</v>
      </c>
      <c r="F259" s="2">
        <v>15251</v>
      </c>
      <c r="G259" s="2">
        <f t="shared" si="35"/>
        <v>77042.8</v>
      </c>
      <c r="H259" s="3">
        <f t="shared" si="38"/>
        <v>0.29567980395312732</v>
      </c>
      <c r="I259" s="3">
        <f t="shared" si="39"/>
        <v>0.2949113998972</v>
      </c>
      <c r="J259" s="3">
        <f t="shared" si="40"/>
        <v>0.21145389316068469</v>
      </c>
      <c r="K259" s="3">
        <f t="shared" si="41"/>
        <v>0.19795490298898794</v>
      </c>
      <c r="L259" s="3">
        <f t="shared" si="42"/>
        <v>0.59059120385032737</v>
      </c>
      <c r="M259" s="56">
        <f t="shared" si="43"/>
        <v>0.40940879614967263</v>
      </c>
      <c r="O259" s="2">
        <v>43118</v>
      </c>
      <c r="R259" s="2">
        <v>33561</v>
      </c>
      <c r="S259" s="36"/>
    </row>
    <row r="260" spans="1:19" x14ac:dyDescent="0.25">
      <c r="A260" s="54" t="s">
        <v>26</v>
      </c>
      <c r="B260" s="1">
        <v>45183</v>
      </c>
      <c r="C260" s="36">
        <f t="shared" si="36"/>
        <v>25269.600000000002</v>
      </c>
      <c r="D260" s="2">
        <v>12686</v>
      </c>
      <c r="E260" s="36">
        <f t="shared" si="37"/>
        <v>14727.2</v>
      </c>
      <c r="F260" s="2">
        <v>11864</v>
      </c>
      <c r="G260" s="2">
        <f t="shared" ref="G260:G323" si="44">SUM(C260:F260)</f>
        <v>64546.8</v>
      </c>
      <c r="H260" s="3">
        <f t="shared" si="38"/>
        <v>0.39149268437784679</v>
      </c>
      <c r="I260" s="3">
        <f t="shared" si="39"/>
        <v>0.22816313124740498</v>
      </c>
      <c r="J260" s="3">
        <f t="shared" si="40"/>
        <v>0.19653956509075585</v>
      </c>
      <c r="K260" s="3">
        <f t="shared" si="41"/>
        <v>0.18380461928399239</v>
      </c>
      <c r="L260" s="3">
        <f t="shared" si="42"/>
        <v>0.61965581562525174</v>
      </c>
      <c r="M260" s="56">
        <f t="shared" si="43"/>
        <v>0.38034418437474821</v>
      </c>
      <c r="O260" s="2">
        <v>38842</v>
      </c>
      <c r="R260" s="2">
        <v>44078</v>
      </c>
      <c r="S260" s="36"/>
    </row>
    <row r="261" spans="1:19" hidden="1" x14ac:dyDescent="0.25">
      <c r="A261" s="54" t="s">
        <v>7</v>
      </c>
      <c r="B261" s="1">
        <v>45184</v>
      </c>
      <c r="C261" s="36">
        <f t="shared" ref="C261:C324" si="45">O286*$P$27</f>
        <v>37244</v>
      </c>
      <c r="D261" s="2">
        <v>20001</v>
      </c>
      <c r="E261" s="36">
        <f t="shared" ref="E261:E324" si="46">R286*$P$27</f>
        <v>19311.2</v>
      </c>
      <c r="F261" s="2">
        <v>13403</v>
      </c>
      <c r="G261" s="2">
        <f t="shared" si="44"/>
        <v>89959.2</v>
      </c>
      <c r="H261" s="3">
        <f t="shared" ref="H261:H324" si="47">IFERROR(C261/G261,0)</f>
        <v>0.4140099067132656</v>
      </c>
      <c r="I261" s="3">
        <f t="shared" ref="I261:I324" si="48">IFERROR(E261/G261,0)</f>
        <v>0.21466620423480867</v>
      </c>
      <c r="J261" s="3">
        <f t="shared" ref="J261:J324" si="49">IFERROR(D261/G261,0)</f>
        <v>0.22233412480324413</v>
      </c>
      <c r="K261" s="3">
        <f t="shared" ref="K261:K324" si="50">IFERROR(F261/G261,0)</f>
        <v>0.14898976424868163</v>
      </c>
      <c r="L261" s="3">
        <f t="shared" ref="L261:L324" si="51">IFERROR((C261+E261)/G261, 0)</f>
        <v>0.62867611094807418</v>
      </c>
      <c r="M261" s="56">
        <f t="shared" ref="M261:M324" si="52">IFERROR((D261+F261)/G261, 0)</f>
        <v>0.37132388905192576</v>
      </c>
      <c r="O261" s="2">
        <v>56014</v>
      </c>
      <c r="R261" s="2">
        <v>47257</v>
      </c>
      <c r="S261" s="36"/>
    </row>
    <row r="262" spans="1:19" hidden="1" x14ac:dyDescent="0.25">
      <c r="A262" s="54" t="s">
        <v>30</v>
      </c>
      <c r="B262" s="1">
        <v>45185</v>
      </c>
      <c r="C262" s="36">
        <f t="shared" si="45"/>
        <v>33780.800000000003</v>
      </c>
      <c r="D262" s="2">
        <v>21591</v>
      </c>
      <c r="E262" s="36">
        <f t="shared" si="46"/>
        <v>17213.600000000002</v>
      </c>
      <c r="F262" s="2">
        <v>15037</v>
      </c>
      <c r="G262" s="2">
        <f t="shared" si="44"/>
        <v>87622.400000000009</v>
      </c>
      <c r="H262" s="3">
        <f t="shared" si="47"/>
        <v>0.38552698853261264</v>
      </c>
      <c r="I262" s="3">
        <f t="shared" si="48"/>
        <v>0.1964520487911767</v>
      </c>
      <c r="J262" s="3">
        <f t="shared" si="49"/>
        <v>0.24640959389379882</v>
      </c>
      <c r="K262" s="3">
        <f t="shared" si="50"/>
        <v>0.17161136878241179</v>
      </c>
      <c r="L262" s="3">
        <f t="shared" si="51"/>
        <v>0.58197903732378942</v>
      </c>
      <c r="M262" s="56">
        <f t="shared" si="52"/>
        <v>0.41802096267621058</v>
      </c>
      <c r="O262" s="2">
        <v>69181</v>
      </c>
      <c r="R262" s="2">
        <v>34021</v>
      </c>
      <c r="S262" s="36"/>
    </row>
    <row r="263" spans="1:19" hidden="1" x14ac:dyDescent="0.25">
      <c r="A263" s="54" t="s">
        <v>31</v>
      </c>
      <c r="B263" s="1">
        <v>45186</v>
      </c>
      <c r="C263" s="36">
        <f t="shared" si="45"/>
        <v>28896</v>
      </c>
      <c r="D263" s="2">
        <v>22546</v>
      </c>
      <c r="E263" s="36">
        <f t="shared" si="46"/>
        <v>41091.200000000004</v>
      </c>
      <c r="F263" s="2">
        <v>21297</v>
      </c>
      <c r="G263" s="2">
        <f t="shared" si="44"/>
        <v>113830.20000000001</v>
      </c>
      <c r="H263" s="3">
        <f t="shared" si="47"/>
        <v>0.25385178977108008</v>
      </c>
      <c r="I263" s="3">
        <f t="shared" si="48"/>
        <v>0.36098680315065773</v>
      </c>
      <c r="J263" s="3">
        <f t="shared" si="49"/>
        <v>0.19806694532733843</v>
      </c>
      <c r="K263" s="3">
        <f t="shared" si="50"/>
        <v>0.18709446175092373</v>
      </c>
      <c r="L263" s="3">
        <f t="shared" si="51"/>
        <v>0.61483859292173781</v>
      </c>
      <c r="M263" s="56">
        <f t="shared" si="52"/>
        <v>0.38516140707826213</v>
      </c>
      <c r="O263" s="2">
        <v>52588</v>
      </c>
      <c r="R263" s="2">
        <v>35627</v>
      </c>
      <c r="S263" s="36"/>
    </row>
    <row r="264" spans="1:19" hidden="1" x14ac:dyDescent="0.25">
      <c r="A264" s="54" t="s">
        <v>129</v>
      </c>
      <c r="B264" s="1">
        <v>45187</v>
      </c>
      <c r="C264" s="36">
        <f t="shared" si="45"/>
        <v>37670.400000000001</v>
      </c>
      <c r="D264" s="2">
        <v>23888</v>
      </c>
      <c r="E264" s="36">
        <f t="shared" si="46"/>
        <v>38036</v>
      </c>
      <c r="F264" s="2">
        <v>20185</v>
      </c>
      <c r="G264" s="2">
        <f t="shared" si="44"/>
        <v>119779.4</v>
      </c>
      <c r="H264" s="3">
        <f t="shared" si="47"/>
        <v>0.31449815243689655</v>
      </c>
      <c r="I264" s="3">
        <f t="shared" si="48"/>
        <v>0.31755043020753154</v>
      </c>
      <c r="J264" s="3">
        <f t="shared" si="49"/>
        <v>0.1994332915342705</v>
      </c>
      <c r="K264" s="3">
        <f t="shared" si="50"/>
        <v>0.16851812582130149</v>
      </c>
      <c r="L264" s="3">
        <f t="shared" si="51"/>
        <v>0.63204858264442798</v>
      </c>
      <c r="M264" s="56">
        <f t="shared" si="52"/>
        <v>0.36795141735557202</v>
      </c>
      <c r="O264" s="2">
        <v>36230</v>
      </c>
      <c r="R264" s="2">
        <v>23491</v>
      </c>
      <c r="S264" s="36"/>
    </row>
    <row r="265" spans="1:19" hidden="1" x14ac:dyDescent="0.25">
      <c r="A265" s="54" t="s">
        <v>14</v>
      </c>
      <c r="B265" s="1">
        <v>45188</v>
      </c>
      <c r="C265" s="36">
        <f t="shared" si="45"/>
        <v>43950.400000000001</v>
      </c>
      <c r="D265" s="2">
        <v>23560</v>
      </c>
      <c r="E265" s="36">
        <f t="shared" si="46"/>
        <v>23094.400000000001</v>
      </c>
      <c r="F265" s="2">
        <v>15926</v>
      </c>
      <c r="G265" s="2">
        <f t="shared" si="44"/>
        <v>106530.79999999999</v>
      </c>
      <c r="H265" s="3">
        <f t="shared" si="47"/>
        <v>0.41256049893551916</v>
      </c>
      <c r="I265" s="3">
        <f t="shared" si="48"/>
        <v>0.21678613133478772</v>
      </c>
      <c r="J265" s="3">
        <f t="shared" si="49"/>
        <v>0.22115669834451634</v>
      </c>
      <c r="K265" s="3">
        <f t="shared" si="50"/>
        <v>0.14949667138517689</v>
      </c>
      <c r="L265" s="3">
        <f t="shared" si="51"/>
        <v>0.62934663027030691</v>
      </c>
      <c r="M265" s="56">
        <f t="shared" si="52"/>
        <v>0.37065336972969326</v>
      </c>
      <c r="O265" s="2">
        <v>43063</v>
      </c>
      <c r="R265" s="2">
        <v>38204</v>
      </c>
      <c r="S265" s="36"/>
    </row>
    <row r="266" spans="1:19" hidden="1" x14ac:dyDescent="0.25">
      <c r="A266" s="54" t="s">
        <v>21</v>
      </c>
      <c r="B266" s="1">
        <v>45189</v>
      </c>
      <c r="C266" s="36">
        <f t="shared" si="45"/>
        <v>25332</v>
      </c>
      <c r="D266" s="2">
        <v>16853</v>
      </c>
      <c r="E266" s="36">
        <f t="shared" si="46"/>
        <v>28791.200000000001</v>
      </c>
      <c r="F266" s="2">
        <v>16170</v>
      </c>
      <c r="G266" s="2">
        <f t="shared" si="44"/>
        <v>87146.2</v>
      </c>
      <c r="H266" s="3">
        <f t="shared" si="47"/>
        <v>0.29068393114100216</v>
      </c>
      <c r="I266" s="3">
        <f t="shared" si="48"/>
        <v>0.33037814614980343</v>
      </c>
      <c r="J266" s="3">
        <f t="shared" si="49"/>
        <v>0.19338766348963007</v>
      </c>
      <c r="K266" s="3">
        <f t="shared" si="50"/>
        <v>0.18555025921956436</v>
      </c>
      <c r="L266" s="3">
        <f t="shared" si="51"/>
        <v>0.62106207729080554</v>
      </c>
      <c r="M266" s="56">
        <f t="shared" si="52"/>
        <v>0.37893792270919446</v>
      </c>
      <c r="O266" s="2">
        <v>52303</v>
      </c>
      <c r="R266" s="2">
        <v>41824</v>
      </c>
      <c r="S266" s="36"/>
    </row>
    <row r="267" spans="1:19" x14ac:dyDescent="0.25">
      <c r="A267" s="54" t="s">
        <v>26</v>
      </c>
      <c r="B267" s="1">
        <v>45190</v>
      </c>
      <c r="C267" s="36">
        <f t="shared" si="45"/>
        <v>29180.800000000003</v>
      </c>
      <c r="D267" s="2">
        <v>13628</v>
      </c>
      <c r="E267" s="36">
        <f t="shared" si="46"/>
        <v>15108.800000000001</v>
      </c>
      <c r="F267" s="2">
        <v>12570</v>
      </c>
      <c r="G267" s="2">
        <f t="shared" si="44"/>
        <v>70487.600000000006</v>
      </c>
      <c r="H267" s="3">
        <f t="shared" si="47"/>
        <v>0.41398487109789522</v>
      </c>
      <c r="I267" s="3">
        <f t="shared" si="48"/>
        <v>0.2143469205931256</v>
      </c>
      <c r="J267" s="3">
        <f t="shared" si="49"/>
        <v>0.19333897025859867</v>
      </c>
      <c r="K267" s="3">
        <f t="shared" si="50"/>
        <v>0.17832923805038048</v>
      </c>
      <c r="L267" s="3">
        <f t="shared" si="51"/>
        <v>0.62833179169102082</v>
      </c>
      <c r="M267" s="56">
        <f t="shared" si="52"/>
        <v>0.37166820830897912</v>
      </c>
      <c r="O267" s="2">
        <v>59204</v>
      </c>
      <c r="R267" s="2">
        <v>57613</v>
      </c>
      <c r="S267" s="36"/>
    </row>
    <row r="268" spans="1:19" hidden="1" x14ac:dyDescent="0.25">
      <c r="A268" s="54" t="s">
        <v>7</v>
      </c>
      <c r="B268" s="1">
        <v>45191</v>
      </c>
      <c r="C268" s="36">
        <f t="shared" si="45"/>
        <v>33165.599999999999</v>
      </c>
      <c r="D268" s="2">
        <v>21341</v>
      </c>
      <c r="E268" s="36">
        <f t="shared" si="46"/>
        <v>29364</v>
      </c>
      <c r="F268" s="2">
        <v>11834</v>
      </c>
      <c r="G268" s="2">
        <f t="shared" si="44"/>
        <v>95704.6</v>
      </c>
      <c r="H268" s="3">
        <f t="shared" si="47"/>
        <v>0.34654133657107389</v>
      </c>
      <c r="I268" s="3">
        <f t="shared" si="48"/>
        <v>0.30681910796346257</v>
      </c>
      <c r="J268" s="3">
        <f t="shared" si="49"/>
        <v>0.22298823672007403</v>
      </c>
      <c r="K268" s="3">
        <f t="shared" si="50"/>
        <v>0.12365131874538945</v>
      </c>
      <c r="L268" s="3">
        <f t="shared" si="51"/>
        <v>0.65336044453453646</v>
      </c>
      <c r="M268" s="56">
        <f t="shared" si="52"/>
        <v>0.34663955546546349</v>
      </c>
      <c r="O268" s="2">
        <v>57279</v>
      </c>
      <c r="R268" s="2">
        <v>36622</v>
      </c>
      <c r="S268" s="36"/>
    </row>
    <row r="269" spans="1:19" hidden="1" x14ac:dyDescent="0.25">
      <c r="A269" s="54" t="s">
        <v>30</v>
      </c>
      <c r="B269" s="1">
        <v>45192</v>
      </c>
      <c r="C269" s="36">
        <f t="shared" si="45"/>
        <v>39564</v>
      </c>
      <c r="D269" s="2">
        <v>23965</v>
      </c>
      <c r="E269" s="36">
        <f t="shared" si="46"/>
        <v>30354.400000000001</v>
      </c>
      <c r="F269" s="2">
        <v>21222</v>
      </c>
      <c r="G269" s="2">
        <f t="shared" si="44"/>
        <v>115105.4</v>
      </c>
      <c r="H269" s="3">
        <f t="shared" si="47"/>
        <v>0.34371975598017124</v>
      </c>
      <c r="I269" s="3">
        <f t="shared" si="48"/>
        <v>0.26370960875858129</v>
      </c>
      <c r="J269" s="3">
        <f t="shared" si="49"/>
        <v>0.20820048407807107</v>
      </c>
      <c r="K269" s="3">
        <f t="shared" si="50"/>
        <v>0.18437015118317648</v>
      </c>
      <c r="L269" s="3">
        <f t="shared" si="51"/>
        <v>0.60742936473875242</v>
      </c>
      <c r="M269" s="56">
        <f t="shared" si="52"/>
        <v>0.39257063526124752</v>
      </c>
      <c r="O269" s="2">
        <v>55209</v>
      </c>
      <c r="R269" s="2">
        <v>33744</v>
      </c>
      <c r="S269" s="36"/>
    </row>
    <row r="270" spans="1:19" hidden="1" x14ac:dyDescent="0.25">
      <c r="A270" s="54" t="s">
        <v>31</v>
      </c>
      <c r="B270" s="1">
        <v>45193</v>
      </c>
      <c r="C270" s="36">
        <f t="shared" si="45"/>
        <v>22682.400000000001</v>
      </c>
      <c r="D270" s="2">
        <v>18540</v>
      </c>
      <c r="E270" s="36">
        <f t="shared" si="46"/>
        <v>31079.200000000001</v>
      </c>
      <c r="F270" s="2">
        <v>20754</v>
      </c>
      <c r="G270" s="2">
        <f t="shared" si="44"/>
        <v>93055.6</v>
      </c>
      <c r="H270" s="3">
        <f t="shared" si="47"/>
        <v>0.24375104776069362</v>
      </c>
      <c r="I270" s="3">
        <f t="shared" si="48"/>
        <v>0.33398527332046646</v>
      </c>
      <c r="J270" s="3">
        <f t="shared" si="49"/>
        <v>0.19923572573816084</v>
      </c>
      <c r="K270" s="3">
        <f t="shared" si="50"/>
        <v>0.22302795318067906</v>
      </c>
      <c r="L270" s="3">
        <f t="shared" si="51"/>
        <v>0.57773632108116013</v>
      </c>
      <c r="M270" s="56">
        <f t="shared" si="52"/>
        <v>0.42226367891883987</v>
      </c>
      <c r="O270" s="2">
        <v>22653</v>
      </c>
      <c r="R270" s="2">
        <v>22361</v>
      </c>
      <c r="S270" s="36"/>
    </row>
    <row r="271" spans="1:19" hidden="1" x14ac:dyDescent="0.25">
      <c r="A271" s="54" t="s">
        <v>129</v>
      </c>
      <c r="B271" s="1">
        <v>45194</v>
      </c>
      <c r="C271" s="36">
        <f t="shared" si="45"/>
        <v>29815.200000000001</v>
      </c>
      <c r="D271" s="2">
        <v>27894</v>
      </c>
      <c r="E271" s="36">
        <f t="shared" si="46"/>
        <v>40095.200000000004</v>
      </c>
      <c r="F271" s="2">
        <v>18269</v>
      </c>
      <c r="G271" s="2">
        <f t="shared" si="44"/>
        <v>116073.4</v>
      </c>
      <c r="H271" s="3">
        <f t="shared" si="47"/>
        <v>0.25686505263049075</v>
      </c>
      <c r="I271" s="3">
        <f t="shared" si="48"/>
        <v>0.34542970224013431</v>
      </c>
      <c r="J271" s="3">
        <f t="shared" si="49"/>
        <v>0.24031345682990246</v>
      </c>
      <c r="K271" s="3">
        <f t="shared" si="50"/>
        <v>0.15739178829947259</v>
      </c>
      <c r="L271" s="3">
        <f t="shared" si="51"/>
        <v>0.60229475487062512</v>
      </c>
      <c r="M271" s="56">
        <f t="shared" si="52"/>
        <v>0.39770524512937505</v>
      </c>
      <c r="O271" s="2">
        <v>29671</v>
      </c>
      <c r="R271" s="2">
        <v>17642</v>
      </c>
      <c r="S271" s="36"/>
    </row>
    <row r="272" spans="1:19" hidden="1" x14ac:dyDescent="0.25">
      <c r="A272" s="54" t="s">
        <v>14</v>
      </c>
      <c r="B272" s="1">
        <v>45195</v>
      </c>
      <c r="C272" s="36">
        <f t="shared" si="45"/>
        <v>34861.599999999999</v>
      </c>
      <c r="D272" s="2">
        <v>17874</v>
      </c>
      <c r="E272" s="36">
        <f t="shared" si="46"/>
        <v>27709.600000000002</v>
      </c>
      <c r="F272" s="2">
        <v>17047</v>
      </c>
      <c r="G272" s="2">
        <f t="shared" si="44"/>
        <v>97492.2</v>
      </c>
      <c r="H272" s="3">
        <f t="shared" si="47"/>
        <v>0.35758347847314964</v>
      </c>
      <c r="I272" s="3">
        <f t="shared" si="48"/>
        <v>0.28422376354210904</v>
      </c>
      <c r="J272" s="3">
        <f t="shared" si="49"/>
        <v>0.18333774394259233</v>
      </c>
      <c r="K272" s="3">
        <f t="shared" si="50"/>
        <v>0.17485501404214901</v>
      </c>
      <c r="L272" s="3">
        <f t="shared" si="51"/>
        <v>0.64180724201525863</v>
      </c>
      <c r="M272" s="56">
        <f t="shared" si="52"/>
        <v>0.35819275798474137</v>
      </c>
      <c r="O272" s="2">
        <v>34994</v>
      </c>
      <c r="R272" s="2">
        <v>30106</v>
      </c>
      <c r="S272" s="36"/>
    </row>
    <row r="273" spans="1:19" hidden="1" x14ac:dyDescent="0.25">
      <c r="A273" s="54" t="s">
        <v>21</v>
      </c>
      <c r="B273" s="1">
        <v>45196</v>
      </c>
      <c r="C273" s="36">
        <f t="shared" si="45"/>
        <v>29712</v>
      </c>
      <c r="D273" s="2">
        <v>14200</v>
      </c>
      <c r="E273" s="36">
        <f t="shared" si="46"/>
        <v>16383.2</v>
      </c>
      <c r="F273" s="2">
        <v>12623</v>
      </c>
      <c r="G273" s="2">
        <f t="shared" si="44"/>
        <v>72918.2</v>
      </c>
      <c r="H273" s="3">
        <f t="shared" si="47"/>
        <v>0.40747028862478779</v>
      </c>
      <c r="I273" s="3">
        <f t="shared" si="48"/>
        <v>0.22467916103249946</v>
      </c>
      <c r="J273" s="3">
        <f t="shared" si="49"/>
        <v>0.19473876206488916</v>
      </c>
      <c r="K273" s="3">
        <f t="shared" si="50"/>
        <v>0.17311178827782364</v>
      </c>
      <c r="L273" s="3">
        <f t="shared" si="51"/>
        <v>0.63214944965728714</v>
      </c>
      <c r="M273" s="56">
        <f t="shared" si="52"/>
        <v>0.3678505503427128</v>
      </c>
      <c r="O273" s="2">
        <v>43724</v>
      </c>
      <c r="R273" s="2">
        <v>39673</v>
      </c>
      <c r="S273" s="36"/>
    </row>
    <row r="274" spans="1:19" x14ac:dyDescent="0.25">
      <c r="A274" s="54" t="s">
        <v>26</v>
      </c>
      <c r="B274" s="1">
        <v>45197</v>
      </c>
      <c r="C274" s="36">
        <f t="shared" si="45"/>
        <v>26583.200000000001</v>
      </c>
      <c r="D274" s="2">
        <v>13002</v>
      </c>
      <c r="E274" s="36">
        <f t="shared" si="46"/>
        <v>25104.800000000003</v>
      </c>
      <c r="F274" s="2">
        <v>15416</v>
      </c>
      <c r="G274" s="2">
        <f t="shared" si="44"/>
        <v>80106</v>
      </c>
      <c r="H274" s="3">
        <f t="shared" si="47"/>
        <v>0.33185029835468005</v>
      </c>
      <c r="I274" s="3">
        <f t="shared" si="48"/>
        <v>0.31339475195366145</v>
      </c>
      <c r="J274" s="3">
        <f t="shared" si="49"/>
        <v>0.16230993933038723</v>
      </c>
      <c r="K274" s="3">
        <f t="shared" si="50"/>
        <v>0.19244501036127132</v>
      </c>
      <c r="L274" s="3">
        <f t="shared" si="51"/>
        <v>0.64524505030834145</v>
      </c>
      <c r="M274" s="56">
        <f t="shared" si="52"/>
        <v>0.35475494969165855</v>
      </c>
      <c r="O274" s="2">
        <v>35436</v>
      </c>
      <c r="R274" s="2">
        <v>40729</v>
      </c>
      <c r="S274" s="36"/>
    </row>
    <row r="275" spans="1:19" hidden="1" x14ac:dyDescent="0.25">
      <c r="A275" s="54" t="s">
        <v>7</v>
      </c>
      <c r="B275" s="1">
        <v>45198</v>
      </c>
      <c r="C275" s="36">
        <f t="shared" si="45"/>
        <v>26352.800000000003</v>
      </c>
      <c r="D275" s="2">
        <v>14142</v>
      </c>
      <c r="E275" s="36">
        <f t="shared" si="46"/>
        <v>33068</v>
      </c>
      <c r="F275" s="2">
        <v>12178</v>
      </c>
      <c r="G275" s="2">
        <f t="shared" si="44"/>
        <v>85740.800000000003</v>
      </c>
      <c r="H275" s="3">
        <f t="shared" si="47"/>
        <v>0.30735425841606334</v>
      </c>
      <c r="I275" s="3">
        <f t="shared" si="48"/>
        <v>0.38567403149958945</v>
      </c>
      <c r="J275" s="3">
        <f t="shared" si="49"/>
        <v>0.16493897887586773</v>
      </c>
      <c r="K275" s="3">
        <f t="shared" si="50"/>
        <v>0.14203273120847951</v>
      </c>
      <c r="L275" s="3">
        <f t="shared" si="51"/>
        <v>0.6930282899156528</v>
      </c>
      <c r="M275" s="56">
        <f t="shared" si="52"/>
        <v>0.3069717100843472</v>
      </c>
      <c r="O275" s="2">
        <v>40950</v>
      </c>
      <c r="R275" s="2">
        <v>57696</v>
      </c>
      <c r="S275" s="36"/>
    </row>
    <row r="276" spans="1:19" hidden="1" x14ac:dyDescent="0.25">
      <c r="A276" s="54" t="s">
        <v>30</v>
      </c>
      <c r="B276" s="1">
        <v>45199</v>
      </c>
      <c r="C276" s="36">
        <f t="shared" si="45"/>
        <v>29472</v>
      </c>
      <c r="D276" s="2">
        <v>22306</v>
      </c>
      <c r="E276" s="36">
        <f t="shared" si="46"/>
        <v>23198.400000000001</v>
      </c>
      <c r="F276" s="2">
        <v>19933</v>
      </c>
      <c r="G276" s="2">
        <f t="shared" si="44"/>
        <v>94909.4</v>
      </c>
      <c r="H276" s="3">
        <f t="shared" si="47"/>
        <v>0.31052772433499737</v>
      </c>
      <c r="I276" s="3">
        <f t="shared" si="48"/>
        <v>0.24442679018095154</v>
      </c>
      <c r="J276" s="3">
        <f t="shared" si="49"/>
        <v>0.23502413881027592</v>
      </c>
      <c r="K276" s="3">
        <f t="shared" si="50"/>
        <v>0.2100213466737752</v>
      </c>
      <c r="L276" s="3">
        <f t="shared" si="51"/>
        <v>0.5549545145159489</v>
      </c>
      <c r="M276" s="56">
        <f t="shared" si="52"/>
        <v>0.44504548548405115</v>
      </c>
      <c r="O276" s="2">
        <v>51930</v>
      </c>
      <c r="R276" s="2">
        <v>38488</v>
      </c>
      <c r="S276" s="36"/>
    </row>
    <row r="277" spans="1:19" hidden="1" x14ac:dyDescent="0.25">
      <c r="A277" s="54" t="s">
        <v>31</v>
      </c>
      <c r="B277" s="1">
        <v>45200</v>
      </c>
      <c r="C277" s="36">
        <f t="shared" si="45"/>
        <v>37639.200000000004</v>
      </c>
      <c r="D277" s="2">
        <v>19665</v>
      </c>
      <c r="E277" s="36">
        <f t="shared" si="46"/>
        <v>32684.800000000003</v>
      </c>
      <c r="F277" s="2">
        <v>23322</v>
      </c>
      <c r="G277" s="2">
        <f t="shared" si="44"/>
        <v>113311</v>
      </c>
      <c r="H277" s="3">
        <f t="shared" si="47"/>
        <v>0.33217604645621346</v>
      </c>
      <c r="I277" s="3">
        <f t="shared" si="48"/>
        <v>0.2884521361562426</v>
      </c>
      <c r="J277" s="3">
        <f t="shared" si="49"/>
        <v>0.17354890522544147</v>
      </c>
      <c r="K277" s="3">
        <f t="shared" si="50"/>
        <v>0.20582291216210252</v>
      </c>
      <c r="L277" s="3">
        <f t="shared" si="51"/>
        <v>0.620628182612456</v>
      </c>
      <c r="M277" s="56">
        <f t="shared" si="52"/>
        <v>0.379371817387544</v>
      </c>
      <c r="O277" s="2">
        <v>27032</v>
      </c>
      <c r="R277" s="2">
        <v>27040</v>
      </c>
      <c r="S277" s="36"/>
    </row>
    <row r="278" spans="1:19" hidden="1" x14ac:dyDescent="0.25">
      <c r="A278" s="54" t="s">
        <v>129</v>
      </c>
      <c r="B278" s="1">
        <v>45201</v>
      </c>
      <c r="C278" s="36">
        <f t="shared" si="45"/>
        <v>30650.400000000001</v>
      </c>
      <c r="D278" s="2">
        <v>21778</v>
      </c>
      <c r="E278" s="36">
        <f t="shared" si="46"/>
        <v>31410.400000000001</v>
      </c>
      <c r="F278" s="2">
        <v>20822</v>
      </c>
      <c r="G278" s="2">
        <f t="shared" si="44"/>
        <v>104660.8</v>
      </c>
      <c r="H278" s="3">
        <f t="shared" si="47"/>
        <v>0.2928546313423937</v>
      </c>
      <c r="I278" s="3">
        <f t="shared" si="48"/>
        <v>0.30011618485622127</v>
      </c>
      <c r="J278" s="3">
        <f t="shared" si="49"/>
        <v>0.20808172687386298</v>
      </c>
      <c r="K278" s="3">
        <f t="shared" si="50"/>
        <v>0.19894745692752205</v>
      </c>
      <c r="L278" s="3">
        <f t="shared" si="51"/>
        <v>0.59297081619861491</v>
      </c>
      <c r="M278" s="56">
        <f t="shared" si="52"/>
        <v>0.40702918380138503</v>
      </c>
      <c r="O278" s="2">
        <v>36603</v>
      </c>
      <c r="R278" s="2">
        <v>23122</v>
      </c>
      <c r="S278" s="36"/>
    </row>
    <row r="279" spans="1:19" hidden="1" x14ac:dyDescent="0.25">
      <c r="A279" s="54" t="s">
        <v>14</v>
      </c>
      <c r="B279" s="1">
        <v>45202</v>
      </c>
      <c r="C279" s="36">
        <f t="shared" si="45"/>
        <v>46694.400000000001</v>
      </c>
      <c r="D279" s="2">
        <v>16664</v>
      </c>
      <c r="E279" s="36">
        <f t="shared" si="46"/>
        <v>22309.600000000002</v>
      </c>
      <c r="F279" s="2">
        <v>16002</v>
      </c>
      <c r="G279" s="2">
        <f t="shared" si="44"/>
        <v>101670</v>
      </c>
      <c r="H279" s="3">
        <f t="shared" si="47"/>
        <v>0.45927412215992919</v>
      </c>
      <c r="I279" s="3">
        <f t="shared" si="48"/>
        <v>0.21943149404937545</v>
      </c>
      <c r="J279" s="3">
        <f t="shared" si="49"/>
        <v>0.16390282285826693</v>
      </c>
      <c r="K279" s="3">
        <f t="shared" si="50"/>
        <v>0.15739156093242845</v>
      </c>
      <c r="L279" s="3">
        <f t="shared" si="51"/>
        <v>0.67870561620930459</v>
      </c>
      <c r="M279" s="56">
        <f t="shared" si="52"/>
        <v>0.32129438379069541</v>
      </c>
      <c r="O279" s="2">
        <v>38015</v>
      </c>
      <c r="R279" s="2">
        <v>29708</v>
      </c>
      <c r="S279" s="36"/>
    </row>
    <row r="280" spans="1:19" hidden="1" x14ac:dyDescent="0.25">
      <c r="A280" s="54" t="s">
        <v>21</v>
      </c>
      <c r="B280" s="1">
        <v>45203</v>
      </c>
      <c r="C280" s="36">
        <f t="shared" si="45"/>
        <v>28573.600000000002</v>
      </c>
      <c r="D280" s="2">
        <v>16418</v>
      </c>
      <c r="E280" s="36">
        <f t="shared" si="46"/>
        <v>27680.800000000003</v>
      </c>
      <c r="F280" s="2">
        <v>17301</v>
      </c>
      <c r="G280" s="2">
        <f t="shared" si="44"/>
        <v>89973.400000000009</v>
      </c>
      <c r="H280" s="3">
        <f t="shared" si="47"/>
        <v>0.31757830647724772</v>
      </c>
      <c r="I280" s="3">
        <f t="shared" si="48"/>
        <v>0.30765537369933782</v>
      </c>
      <c r="J280" s="3">
        <f t="shared" si="49"/>
        <v>0.18247615406331202</v>
      </c>
      <c r="K280" s="3">
        <f t="shared" si="50"/>
        <v>0.19229016576010241</v>
      </c>
      <c r="L280" s="3">
        <f t="shared" si="51"/>
        <v>0.62523368017658554</v>
      </c>
      <c r="M280" s="56">
        <f t="shared" si="52"/>
        <v>0.37476631982341446</v>
      </c>
      <c r="O280" s="2">
        <v>42411</v>
      </c>
      <c r="R280" s="2">
        <v>35586</v>
      </c>
      <c r="S280" s="36"/>
    </row>
    <row r="281" spans="1:19" x14ac:dyDescent="0.25">
      <c r="A281" s="54" t="s">
        <v>26</v>
      </c>
      <c r="B281" s="1">
        <v>45204</v>
      </c>
      <c r="C281" s="36">
        <f t="shared" si="45"/>
        <v>27484</v>
      </c>
      <c r="D281" s="2">
        <v>17708</v>
      </c>
      <c r="E281" s="36">
        <f t="shared" si="46"/>
        <v>17343.2</v>
      </c>
      <c r="F281" s="2">
        <v>17960</v>
      </c>
      <c r="G281" s="2">
        <f t="shared" si="44"/>
        <v>80495.199999999997</v>
      </c>
      <c r="H281" s="3">
        <f t="shared" si="47"/>
        <v>0.34143650801538478</v>
      </c>
      <c r="I281" s="3">
        <f t="shared" si="48"/>
        <v>0.21545632534610762</v>
      </c>
      <c r="J281" s="3">
        <f t="shared" si="49"/>
        <v>0.2199882725926515</v>
      </c>
      <c r="K281" s="3">
        <f t="shared" si="50"/>
        <v>0.22311889404585616</v>
      </c>
      <c r="L281" s="3">
        <f t="shared" si="51"/>
        <v>0.55689283336149231</v>
      </c>
      <c r="M281" s="56">
        <f t="shared" si="52"/>
        <v>0.44310716663850763</v>
      </c>
      <c r="O281" s="2">
        <v>42955</v>
      </c>
      <c r="R281" s="2">
        <v>45264</v>
      </c>
      <c r="S281" s="36"/>
    </row>
    <row r="282" spans="1:19" hidden="1" x14ac:dyDescent="0.25">
      <c r="A282" s="54" t="s">
        <v>7</v>
      </c>
      <c r="B282" s="1">
        <v>45205</v>
      </c>
      <c r="C282" s="36">
        <f t="shared" si="45"/>
        <v>28946.400000000001</v>
      </c>
      <c r="D282" s="2">
        <v>13430</v>
      </c>
      <c r="E282" s="36">
        <f t="shared" si="46"/>
        <v>26119.200000000001</v>
      </c>
      <c r="F282" s="2">
        <v>16676</v>
      </c>
      <c r="G282" s="2">
        <f t="shared" si="44"/>
        <v>85171.6</v>
      </c>
      <c r="H282" s="3">
        <f t="shared" si="47"/>
        <v>0.33985976546172669</v>
      </c>
      <c r="I282" s="3">
        <f t="shared" si="48"/>
        <v>0.30666560214907318</v>
      </c>
      <c r="J282" s="3">
        <f t="shared" si="49"/>
        <v>0.15768166853739979</v>
      </c>
      <c r="K282" s="3">
        <f t="shared" si="50"/>
        <v>0.19579296385180034</v>
      </c>
      <c r="L282" s="3">
        <f t="shared" si="51"/>
        <v>0.64652536761079982</v>
      </c>
      <c r="M282" s="56">
        <f t="shared" si="52"/>
        <v>0.35347463238920013</v>
      </c>
      <c r="O282" s="2">
        <v>48963</v>
      </c>
      <c r="R282" s="2">
        <v>57556</v>
      </c>
      <c r="S282" s="36"/>
    </row>
    <row r="283" spans="1:19" hidden="1" x14ac:dyDescent="0.25">
      <c r="A283" s="54" t="s">
        <v>30</v>
      </c>
      <c r="B283" s="1">
        <v>45206</v>
      </c>
      <c r="C283" s="36">
        <f t="shared" si="45"/>
        <v>41596.800000000003</v>
      </c>
      <c r="D283" s="2">
        <v>21307</v>
      </c>
      <c r="E283" s="36">
        <f t="shared" si="46"/>
        <v>22680</v>
      </c>
      <c r="F283" s="2">
        <v>21836</v>
      </c>
      <c r="G283" s="2">
        <f t="shared" si="44"/>
        <v>107419.8</v>
      </c>
      <c r="H283" s="3">
        <f t="shared" si="47"/>
        <v>0.38723587271620319</v>
      </c>
      <c r="I283" s="3">
        <f t="shared" si="48"/>
        <v>0.21113426016432724</v>
      </c>
      <c r="J283" s="3">
        <f t="shared" si="49"/>
        <v>0.19835263145155735</v>
      </c>
      <c r="K283" s="3">
        <f t="shared" si="50"/>
        <v>0.20327723566791225</v>
      </c>
      <c r="L283" s="3">
        <f t="shared" si="51"/>
        <v>0.59837013288053043</v>
      </c>
      <c r="M283" s="56">
        <f t="shared" si="52"/>
        <v>0.40162986711946957</v>
      </c>
      <c r="O283" s="2">
        <v>50769</v>
      </c>
      <c r="R283" s="2">
        <v>32236</v>
      </c>
      <c r="S283" s="36"/>
    </row>
    <row r="284" spans="1:19" hidden="1" x14ac:dyDescent="0.25">
      <c r="A284" s="54" t="s">
        <v>31</v>
      </c>
      <c r="B284" s="1">
        <v>45207</v>
      </c>
      <c r="C284" s="36">
        <f t="shared" si="45"/>
        <v>25426.400000000001</v>
      </c>
      <c r="D284" s="2">
        <v>22105</v>
      </c>
      <c r="E284" s="36">
        <f t="shared" si="46"/>
        <v>40748</v>
      </c>
      <c r="F284" s="2">
        <v>17990</v>
      </c>
      <c r="G284" s="2">
        <f t="shared" si="44"/>
        <v>106269.4</v>
      </c>
      <c r="H284" s="3">
        <f t="shared" si="47"/>
        <v>0.23926360739780222</v>
      </c>
      <c r="I284" s="3">
        <f t="shared" si="48"/>
        <v>0.3834405764970914</v>
      </c>
      <c r="J284" s="3">
        <f t="shared" si="49"/>
        <v>0.20800907881290381</v>
      </c>
      <c r="K284" s="3">
        <f t="shared" si="50"/>
        <v>0.16928673729220264</v>
      </c>
      <c r="L284" s="3">
        <f t="shared" si="51"/>
        <v>0.62270418389489357</v>
      </c>
      <c r="M284" s="56">
        <f t="shared" si="52"/>
        <v>0.37729581610510649</v>
      </c>
      <c r="O284" s="2">
        <v>28475</v>
      </c>
      <c r="R284" s="2">
        <v>28401</v>
      </c>
      <c r="S284" s="36"/>
    </row>
    <row r="285" spans="1:19" hidden="1" x14ac:dyDescent="0.25">
      <c r="A285" s="54" t="s">
        <v>129</v>
      </c>
      <c r="B285" s="1">
        <v>45208</v>
      </c>
      <c r="C285" s="36">
        <f t="shared" si="45"/>
        <v>33148</v>
      </c>
      <c r="D285" s="2">
        <v>26984</v>
      </c>
      <c r="E285" s="36">
        <f t="shared" si="46"/>
        <v>35248</v>
      </c>
      <c r="F285" s="2">
        <v>17821</v>
      </c>
      <c r="G285" s="2">
        <f t="shared" si="44"/>
        <v>113201</v>
      </c>
      <c r="H285" s="3">
        <f t="shared" si="47"/>
        <v>0.29282426833685216</v>
      </c>
      <c r="I285" s="3">
        <f t="shared" si="48"/>
        <v>0.31137534120723315</v>
      </c>
      <c r="J285" s="3">
        <f t="shared" si="49"/>
        <v>0.23837245254017192</v>
      </c>
      <c r="K285" s="3">
        <f t="shared" si="50"/>
        <v>0.1574279379157428</v>
      </c>
      <c r="L285" s="3">
        <f t="shared" si="51"/>
        <v>0.60419960954408525</v>
      </c>
      <c r="M285" s="56">
        <f t="shared" si="52"/>
        <v>0.3958003904559147</v>
      </c>
      <c r="O285" s="2">
        <v>31587</v>
      </c>
      <c r="R285" s="2">
        <v>18409</v>
      </c>
      <c r="S285" s="36"/>
    </row>
    <row r="286" spans="1:19" hidden="1" x14ac:dyDescent="0.25">
      <c r="A286" s="54" t="s">
        <v>14</v>
      </c>
      <c r="B286" s="1">
        <v>45209</v>
      </c>
      <c r="C286" s="36">
        <f t="shared" si="45"/>
        <v>39410.400000000001</v>
      </c>
      <c r="D286" s="2">
        <v>15555</v>
      </c>
      <c r="E286" s="36">
        <f t="shared" si="46"/>
        <v>22941.600000000002</v>
      </c>
      <c r="F286" s="2">
        <v>15577</v>
      </c>
      <c r="G286" s="2">
        <f t="shared" si="44"/>
        <v>93484</v>
      </c>
      <c r="H286" s="3">
        <f t="shared" si="47"/>
        <v>0.42157374523982716</v>
      </c>
      <c r="I286" s="3">
        <f t="shared" si="48"/>
        <v>0.24540670061186942</v>
      </c>
      <c r="J286" s="3">
        <f t="shared" si="49"/>
        <v>0.16639210987976552</v>
      </c>
      <c r="K286" s="3">
        <f t="shared" si="50"/>
        <v>0.16662744426853793</v>
      </c>
      <c r="L286" s="3">
        <f t="shared" si="51"/>
        <v>0.66698044585169658</v>
      </c>
      <c r="M286" s="56">
        <f t="shared" si="52"/>
        <v>0.33301955414830348</v>
      </c>
      <c r="O286" s="2">
        <v>46555</v>
      </c>
      <c r="R286" s="2">
        <v>24139</v>
      </c>
      <c r="S286" s="36"/>
    </row>
    <row r="287" spans="1:19" hidden="1" x14ac:dyDescent="0.25">
      <c r="A287" s="54" t="s">
        <v>21</v>
      </c>
      <c r="B287" s="1">
        <v>45210</v>
      </c>
      <c r="C287" s="36">
        <f t="shared" si="45"/>
        <v>23826.400000000001</v>
      </c>
      <c r="D287" s="2">
        <v>15258</v>
      </c>
      <c r="E287" s="36">
        <f t="shared" si="46"/>
        <v>22864.800000000003</v>
      </c>
      <c r="F287" s="2">
        <v>18117</v>
      </c>
      <c r="G287" s="2">
        <f t="shared" si="44"/>
        <v>80066.200000000012</v>
      </c>
      <c r="H287" s="3">
        <f t="shared" si="47"/>
        <v>0.29758374944733229</v>
      </c>
      <c r="I287" s="3">
        <f t="shared" si="48"/>
        <v>0.28557368777336756</v>
      </c>
      <c r="J287" s="3">
        <f t="shared" si="49"/>
        <v>0.19056730555465351</v>
      </c>
      <c r="K287" s="3">
        <f t="shared" si="50"/>
        <v>0.22627525722464656</v>
      </c>
      <c r="L287" s="3">
        <f t="shared" si="51"/>
        <v>0.58315743722069979</v>
      </c>
      <c r="M287" s="56">
        <f t="shared" si="52"/>
        <v>0.41684256277930004</v>
      </c>
      <c r="O287" s="2">
        <v>42226</v>
      </c>
      <c r="R287" s="2">
        <v>21517</v>
      </c>
      <c r="S287" s="36"/>
    </row>
    <row r="288" spans="1:19" x14ac:dyDescent="0.25">
      <c r="A288" s="54" t="s">
        <v>26</v>
      </c>
      <c r="B288" s="1">
        <v>45211</v>
      </c>
      <c r="C288" s="36">
        <f t="shared" si="45"/>
        <v>26576</v>
      </c>
      <c r="D288" s="2">
        <v>11881</v>
      </c>
      <c r="E288" s="36">
        <f t="shared" si="46"/>
        <v>24678.400000000001</v>
      </c>
      <c r="F288" s="2">
        <v>14118</v>
      </c>
      <c r="G288" s="2">
        <f t="shared" si="44"/>
        <v>77253.399999999994</v>
      </c>
      <c r="H288" s="3">
        <f t="shared" si="47"/>
        <v>0.34401074904146617</v>
      </c>
      <c r="I288" s="3">
        <f t="shared" si="48"/>
        <v>0.31944742885102795</v>
      </c>
      <c r="J288" s="3">
        <f t="shared" si="49"/>
        <v>0.15379258388627556</v>
      </c>
      <c r="K288" s="3">
        <f t="shared" si="50"/>
        <v>0.1827492382212304</v>
      </c>
      <c r="L288" s="3">
        <f t="shared" si="51"/>
        <v>0.66345817789249417</v>
      </c>
      <c r="M288" s="56">
        <f t="shared" si="52"/>
        <v>0.33654182210750599</v>
      </c>
      <c r="O288" s="2">
        <v>36120</v>
      </c>
      <c r="R288" s="2">
        <v>51364</v>
      </c>
      <c r="S288" s="36"/>
    </row>
    <row r="289" spans="1:19" hidden="1" x14ac:dyDescent="0.25">
      <c r="A289" s="54" t="s">
        <v>7</v>
      </c>
      <c r="B289" s="1">
        <v>45212</v>
      </c>
      <c r="C289" s="36">
        <f t="shared" si="45"/>
        <v>29183.200000000001</v>
      </c>
      <c r="D289" s="2">
        <v>14923</v>
      </c>
      <c r="E289" s="36">
        <f t="shared" si="46"/>
        <v>22142.400000000001</v>
      </c>
      <c r="F289" s="2">
        <v>16613</v>
      </c>
      <c r="G289" s="2">
        <f t="shared" si="44"/>
        <v>82861.600000000006</v>
      </c>
      <c r="H289" s="3">
        <f t="shared" si="47"/>
        <v>0.3521920889772826</v>
      </c>
      <c r="I289" s="3">
        <f t="shared" si="48"/>
        <v>0.26722148739585044</v>
      </c>
      <c r="J289" s="3">
        <f t="shared" si="49"/>
        <v>0.18009548451876381</v>
      </c>
      <c r="K289" s="3">
        <f t="shared" si="50"/>
        <v>0.20049093910810314</v>
      </c>
      <c r="L289" s="3">
        <f t="shared" si="51"/>
        <v>0.6194135763731331</v>
      </c>
      <c r="M289" s="56">
        <f t="shared" si="52"/>
        <v>0.38058642362686695</v>
      </c>
      <c r="O289" s="2">
        <v>47088</v>
      </c>
      <c r="R289" s="2">
        <v>47545</v>
      </c>
      <c r="S289" s="36"/>
    </row>
    <row r="290" spans="1:19" hidden="1" x14ac:dyDescent="0.25">
      <c r="A290" s="54" t="s">
        <v>30</v>
      </c>
      <c r="B290" s="1">
        <v>45213</v>
      </c>
      <c r="C290" s="36">
        <f t="shared" si="45"/>
        <v>38784</v>
      </c>
      <c r="D290" s="2">
        <v>21844</v>
      </c>
      <c r="E290" s="36">
        <f t="shared" si="46"/>
        <v>22513.600000000002</v>
      </c>
      <c r="F290" s="2">
        <v>22778</v>
      </c>
      <c r="G290" s="2">
        <f t="shared" si="44"/>
        <v>105919.6</v>
      </c>
      <c r="H290" s="3">
        <f t="shared" si="47"/>
        <v>0.36616452479050143</v>
      </c>
      <c r="I290" s="3">
        <f t="shared" si="48"/>
        <v>0.21255367278577336</v>
      </c>
      <c r="J290" s="3">
        <f t="shared" si="49"/>
        <v>0.20623189664613537</v>
      </c>
      <c r="K290" s="3">
        <f t="shared" si="50"/>
        <v>0.21504990577758978</v>
      </c>
      <c r="L290" s="3">
        <f t="shared" si="51"/>
        <v>0.57871819757627485</v>
      </c>
      <c r="M290" s="56">
        <f t="shared" si="52"/>
        <v>0.42128180242372515</v>
      </c>
      <c r="O290" s="2">
        <v>54938</v>
      </c>
      <c r="R290" s="2">
        <v>28868</v>
      </c>
      <c r="S290" s="36"/>
    </row>
    <row r="291" spans="1:19" hidden="1" x14ac:dyDescent="0.25">
      <c r="A291" s="54" t="s">
        <v>31</v>
      </c>
      <c r="B291" s="1">
        <v>45214</v>
      </c>
      <c r="C291" s="36">
        <f t="shared" si="45"/>
        <v>28116</v>
      </c>
      <c r="D291" s="2">
        <v>23355</v>
      </c>
      <c r="E291" s="36">
        <f t="shared" si="46"/>
        <v>26716</v>
      </c>
      <c r="F291" s="2">
        <v>22287</v>
      </c>
      <c r="G291" s="2">
        <f t="shared" si="44"/>
        <v>100474</v>
      </c>
      <c r="H291" s="3">
        <f t="shared" si="47"/>
        <v>0.2798335887891395</v>
      </c>
      <c r="I291" s="3">
        <f t="shared" si="48"/>
        <v>0.26589963572665565</v>
      </c>
      <c r="J291" s="3">
        <f t="shared" si="49"/>
        <v>0.23244819555307841</v>
      </c>
      <c r="K291" s="3">
        <f t="shared" si="50"/>
        <v>0.22181857993112647</v>
      </c>
      <c r="L291" s="3">
        <f t="shared" si="51"/>
        <v>0.54573322451579509</v>
      </c>
      <c r="M291" s="56">
        <f t="shared" si="52"/>
        <v>0.45426677548420485</v>
      </c>
      <c r="O291" s="2">
        <v>31665</v>
      </c>
      <c r="R291" s="2">
        <v>35989</v>
      </c>
      <c r="S291" s="36"/>
    </row>
    <row r="292" spans="1:19" hidden="1" x14ac:dyDescent="0.25">
      <c r="A292" s="54" t="s">
        <v>129</v>
      </c>
      <c r="B292" s="1">
        <v>45215</v>
      </c>
      <c r="C292" s="36">
        <f t="shared" si="45"/>
        <v>43638.400000000001</v>
      </c>
      <c r="D292" s="2">
        <v>24174</v>
      </c>
      <c r="E292" s="36">
        <f t="shared" si="46"/>
        <v>27773.600000000002</v>
      </c>
      <c r="F292" s="2">
        <v>19463</v>
      </c>
      <c r="G292" s="2">
        <f t="shared" si="44"/>
        <v>115049</v>
      </c>
      <c r="H292" s="3">
        <f t="shared" si="47"/>
        <v>0.37930273187946006</v>
      </c>
      <c r="I292" s="3">
        <f t="shared" si="48"/>
        <v>0.24140670496918706</v>
      </c>
      <c r="J292" s="3">
        <f t="shared" si="49"/>
        <v>0.21011916661596364</v>
      </c>
      <c r="K292" s="3">
        <f t="shared" si="50"/>
        <v>0.16917139653538926</v>
      </c>
      <c r="L292" s="3">
        <f t="shared" si="51"/>
        <v>0.6207094368486471</v>
      </c>
      <c r="M292" s="56">
        <f t="shared" si="52"/>
        <v>0.3792905631513529</v>
      </c>
      <c r="O292" s="2">
        <v>36476</v>
      </c>
      <c r="R292" s="2">
        <v>18886</v>
      </c>
      <c r="S292" s="36"/>
    </row>
    <row r="293" spans="1:19" hidden="1" x14ac:dyDescent="0.25">
      <c r="A293" s="54" t="s">
        <v>14</v>
      </c>
      <c r="B293" s="1">
        <v>45216</v>
      </c>
      <c r="C293" s="36">
        <f t="shared" si="45"/>
        <v>35514.400000000001</v>
      </c>
      <c r="D293" s="2">
        <v>19468</v>
      </c>
      <c r="E293" s="36">
        <f t="shared" si="46"/>
        <v>20110.400000000001</v>
      </c>
      <c r="F293" s="2">
        <v>17292</v>
      </c>
      <c r="G293" s="2">
        <f t="shared" si="44"/>
        <v>92384.8</v>
      </c>
      <c r="H293" s="3">
        <f t="shared" si="47"/>
        <v>0.38441821598358172</v>
      </c>
      <c r="I293" s="3">
        <f t="shared" si="48"/>
        <v>0.21768083061282809</v>
      </c>
      <c r="J293" s="3">
        <f t="shared" si="49"/>
        <v>0.21072730579056295</v>
      </c>
      <c r="K293" s="3">
        <f t="shared" si="50"/>
        <v>0.18717364761302724</v>
      </c>
      <c r="L293" s="3">
        <f t="shared" si="51"/>
        <v>0.60209904659640978</v>
      </c>
      <c r="M293" s="56">
        <f t="shared" si="52"/>
        <v>0.39790095340359016</v>
      </c>
      <c r="O293" s="2">
        <v>41457</v>
      </c>
      <c r="R293" s="2">
        <v>36705</v>
      </c>
      <c r="S293" s="36"/>
    </row>
    <row r="294" spans="1:19" hidden="1" x14ac:dyDescent="0.25">
      <c r="A294" s="54" t="s">
        <v>21</v>
      </c>
      <c r="B294" s="1">
        <v>45217</v>
      </c>
      <c r="C294" s="36">
        <f t="shared" si="45"/>
        <v>36598.400000000001</v>
      </c>
      <c r="D294" s="2">
        <v>12998</v>
      </c>
      <c r="E294" s="36">
        <f t="shared" si="46"/>
        <v>26570.400000000001</v>
      </c>
      <c r="F294" s="2">
        <v>20033</v>
      </c>
      <c r="G294" s="2">
        <f t="shared" si="44"/>
        <v>96199.8</v>
      </c>
      <c r="H294" s="3">
        <f t="shared" si="47"/>
        <v>0.38044153937949976</v>
      </c>
      <c r="I294" s="3">
        <f t="shared" si="48"/>
        <v>0.27620015842028778</v>
      </c>
      <c r="J294" s="3">
        <f t="shared" si="49"/>
        <v>0.1351146260179335</v>
      </c>
      <c r="K294" s="3">
        <f t="shared" si="50"/>
        <v>0.20824367618227896</v>
      </c>
      <c r="L294" s="3">
        <f t="shared" si="51"/>
        <v>0.65664169779978754</v>
      </c>
      <c r="M294" s="56">
        <f t="shared" si="52"/>
        <v>0.34335830220021246</v>
      </c>
      <c r="O294" s="2">
        <v>49455</v>
      </c>
      <c r="R294" s="2">
        <v>37943</v>
      </c>
      <c r="S294" s="36"/>
    </row>
    <row r="295" spans="1:19" x14ac:dyDescent="0.25">
      <c r="A295" s="54" t="s">
        <v>26</v>
      </c>
      <c r="B295" s="1">
        <v>45218</v>
      </c>
      <c r="C295" s="36">
        <f t="shared" si="45"/>
        <v>30127.200000000001</v>
      </c>
      <c r="D295" s="2">
        <v>13105</v>
      </c>
      <c r="E295" s="36">
        <f t="shared" si="46"/>
        <v>16759.2</v>
      </c>
      <c r="F295" s="2">
        <v>16962</v>
      </c>
      <c r="G295" s="2">
        <f t="shared" si="44"/>
        <v>76953.399999999994</v>
      </c>
      <c r="H295" s="3">
        <f t="shared" si="47"/>
        <v>0.3914992709873768</v>
      </c>
      <c r="I295" s="3">
        <f t="shared" si="48"/>
        <v>0.21778374964588962</v>
      </c>
      <c r="J295" s="3">
        <f t="shared" si="49"/>
        <v>0.17029786858020571</v>
      </c>
      <c r="K295" s="3">
        <f t="shared" si="50"/>
        <v>0.22041911078652796</v>
      </c>
      <c r="L295" s="3">
        <f t="shared" si="51"/>
        <v>0.60928302063326645</v>
      </c>
      <c r="M295" s="56">
        <f t="shared" si="52"/>
        <v>0.39071697936673366</v>
      </c>
      <c r="O295" s="2">
        <v>28353</v>
      </c>
      <c r="R295" s="2">
        <v>38849</v>
      </c>
      <c r="S295" s="36"/>
    </row>
    <row r="296" spans="1:19" hidden="1" x14ac:dyDescent="0.25">
      <c r="A296" s="54" t="s">
        <v>7</v>
      </c>
      <c r="B296" s="1">
        <v>45219</v>
      </c>
      <c r="C296" s="36">
        <f t="shared" si="45"/>
        <v>37460</v>
      </c>
      <c r="D296" s="2">
        <v>14833</v>
      </c>
      <c r="E296" s="36">
        <f t="shared" si="46"/>
        <v>22094.400000000001</v>
      </c>
      <c r="F296" s="2">
        <v>12357</v>
      </c>
      <c r="G296" s="2">
        <f t="shared" si="44"/>
        <v>86744.4</v>
      </c>
      <c r="H296" s="3">
        <f t="shared" si="47"/>
        <v>0.43184343888481563</v>
      </c>
      <c r="I296" s="3">
        <f t="shared" si="48"/>
        <v>0.25470693209014073</v>
      </c>
      <c r="J296" s="3">
        <f t="shared" si="49"/>
        <v>0.17099662917721492</v>
      </c>
      <c r="K296" s="3">
        <f t="shared" si="50"/>
        <v>0.1424529998478288</v>
      </c>
      <c r="L296" s="3">
        <f t="shared" si="51"/>
        <v>0.68655037097495641</v>
      </c>
      <c r="M296" s="56">
        <f t="shared" si="52"/>
        <v>0.3134496290250437</v>
      </c>
      <c r="O296" s="2">
        <v>37269</v>
      </c>
      <c r="R296" s="2">
        <v>50119</v>
      </c>
      <c r="S296" s="36"/>
    </row>
    <row r="297" spans="1:19" hidden="1" x14ac:dyDescent="0.25">
      <c r="A297" s="54" t="s">
        <v>30</v>
      </c>
      <c r="B297" s="1">
        <v>45220</v>
      </c>
      <c r="C297" s="36">
        <f t="shared" si="45"/>
        <v>33428.800000000003</v>
      </c>
      <c r="D297" s="2">
        <v>24810</v>
      </c>
      <c r="E297" s="36">
        <f t="shared" si="46"/>
        <v>20380</v>
      </c>
      <c r="F297" s="2">
        <v>21149</v>
      </c>
      <c r="G297" s="2">
        <f t="shared" si="44"/>
        <v>99767.8</v>
      </c>
      <c r="H297" s="3">
        <f t="shared" si="47"/>
        <v>0.33506602330611684</v>
      </c>
      <c r="I297" s="3">
        <f t="shared" si="48"/>
        <v>0.20427432498260961</v>
      </c>
      <c r="J297" s="3">
        <f t="shared" si="49"/>
        <v>0.24867742899011505</v>
      </c>
      <c r="K297" s="3">
        <f t="shared" si="50"/>
        <v>0.21198222272115852</v>
      </c>
      <c r="L297" s="3">
        <f t="shared" si="51"/>
        <v>0.53934034828872646</v>
      </c>
      <c r="M297" s="56">
        <f t="shared" si="52"/>
        <v>0.46065965171127354</v>
      </c>
      <c r="O297" s="2">
        <v>43577</v>
      </c>
      <c r="R297" s="2">
        <v>34637</v>
      </c>
      <c r="S297" s="36"/>
    </row>
    <row r="298" spans="1:19" hidden="1" x14ac:dyDescent="0.25">
      <c r="A298" s="54" t="s">
        <v>31</v>
      </c>
      <c r="B298" s="1">
        <v>45221</v>
      </c>
      <c r="C298" s="36">
        <f t="shared" si="45"/>
        <v>39527.200000000004</v>
      </c>
      <c r="D298" s="2">
        <v>26077</v>
      </c>
      <c r="E298" s="36">
        <f t="shared" si="46"/>
        <v>37010.400000000001</v>
      </c>
      <c r="F298" s="2">
        <v>19095</v>
      </c>
      <c r="G298" s="2">
        <f t="shared" si="44"/>
        <v>121709.6</v>
      </c>
      <c r="H298" s="3">
        <f t="shared" si="47"/>
        <v>0.32476649335796026</v>
      </c>
      <c r="I298" s="3">
        <f t="shared" si="48"/>
        <v>0.30408776300308277</v>
      </c>
      <c r="J298" s="3">
        <f t="shared" si="49"/>
        <v>0.21425590093139735</v>
      </c>
      <c r="K298" s="3">
        <f t="shared" si="50"/>
        <v>0.15688984270755962</v>
      </c>
      <c r="L298" s="3">
        <f t="shared" si="51"/>
        <v>0.62885425636104297</v>
      </c>
      <c r="M298" s="56">
        <f t="shared" si="52"/>
        <v>0.37114574363895697</v>
      </c>
      <c r="O298" s="2">
        <v>37140</v>
      </c>
      <c r="R298" s="2">
        <v>20479</v>
      </c>
      <c r="S298" s="36"/>
    </row>
    <row r="299" spans="1:19" hidden="1" x14ac:dyDescent="0.25">
      <c r="A299" s="54" t="s">
        <v>129</v>
      </c>
      <c r="B299" s="1">
        <v>45222</v>
      </c>
      <c r="C299" s="36">
        <f t="shared" si="45"/>
        <v>35852</v>
      </c>
      <c r="D299" s="2">
        <v>26829</v>
      </c>
      <c r="E299" s="36">
        <f t="shared" si="46"/>
        <v>36963.200000000004</v>
      </c>
      <c r="F299" s="2">
        <v>15720</v>
      </c>
      <c r="G299" s="2">
        <f t="shared" si="44"/>
        <v>115364.20000000001</v>
      </c>
      <c r="H299" s="3">
        <f t="shared" si="47"/>
        <v>0.31077231931569754</v>
      </c>
      <c r="I299" s="3">
        <f t="shared" si="48"/>
        <v>0.32040442355600784</v>
      </c>
      <c r="J299" s="3">
        <f t="shared" si="49"/>
        <v>0.23255914746515816</v>
      </c>
      <c r="K299" s="3">
        <f t="shared" si="50"/>
        <v>0.13626410966313637</v>
      </c>
      <c r="L299" s="3">
        <f t="shared" si="51"/>
        <v>0.63117674287170544</v>
      </c>
      <c r="M299" s="56">
        <f t="shared" si="52"/>
        <v>0.3688232571282945</v>
      </c>
      <c r="O299" s="2">
        <v>33229</v>
      </c>
      <c r="R299" s="2">
        <v>31381</v>
      </c>
      <c r="S299" s="36"/>
    </row>
    <row r="300" spans="1:19" hidden="1" x14ac:dyDescent="0.25">
      <c r="A300" s="54" t="s">
        <v>14</v>
      </c>
      <c r="B300" s="1">
        <v>45223</v>
      </c>
      <c r="C300" s="36">
        <f t="shared" si="45"/>
        <v>44772.800000000003</v>
      </c>
      <c r="D300" s="2">
        <v>20338</v>
      </c>
      <c r="E300" s="36">
        <f t="shared" si="46"/>
        <v>35827.200000000004</v>
      </c>
      <c r="F300" s="2">
        <v>18938</v>
      </c>
      <c r="G300" s="2">
        <f t="shared" si="44"/>
        <v>119876</v>
      </c>
      <c r="H300" s="3">
        <f t="shared" si="47"/>
        <v>0.37349260902933035</v>
      </c>
      <c r="I300" s="3">
        <f t="shared" si="48"/>
        <v>0.29886883112549639</v>
      </c>
      <c r="J300" s="3">
        <f t="shared" si="49"/>
        <v>0.16965864726884447</v>
      </c>
      <c r="K300" s="3">
        <f t="shared" si="50"/>
        <v>0.15797991257632887</v>
      </c>
      <c r="L300" s="3">
        <f t="shared" si="51"/>
        <v>0.67236144015482668</v>
      </c>
      <c r="M300" s="56">
        <f t="shared" si="52"/>
        <v>0.32763855984517337</v>
      </c>
      <c r="O300" s="2">
        <v>32941</v>
      </c>
      <c r="R300" s="2">
        <v>41335</v>
      </c>
      <c r="S300" s="36"/>
    </row>
    <row r="301" spans="1:19" hidden="1" x14ac:dyDescent="0.25">
      <c r="A301" s="54" t="s">
        <v>21</v>
      </c>
      <c r="B301" s="1">
        <v>45224</v>
      </c>
      <c r="C301" s="36">
        <f t="shared" si="45"/>
        <v>26656</v>
      </c>
      <c r="D301" s="2">
        <v>13563</v>
      </c>
      <c r="E301" s="36">
        <f t="shared" si="46"/>
        <v>37184</v>
      </c>
      <c r="F301" s="2">
        <v>16847</v>
      </c>
      <c r="G301" s="2">
        <f t="shared" si="44"/>
        <v>94250</v>
      </c>
      <c r="H301" s="3">
        <f t="shared" si="47"/>
        <v>0.28282228116710878</v>
      </c>
      <c r="I301" s="3">
        <f t="shared" si="48"/>
        <v>0.39452519893899202</v>
      </c>
      <c r="J301" s="3">
        <f t="shared" si="49"/>
        <v>0.14390450928381962</v>
      </c>
      <c r="K301" s="3">
        <f t="shared" si="50"/>
        <v>0.17874801061007958</v>
      </c>
      <c r="L301" s="3">
        <f t="shared" si="51"/>
        <v>0.6773474801061008</v>
      </c>
      <c r="M301" s="56">
        <f t="shared" si="52"/>
        <v>0.3226525198938992</v>
      </c>
      <c r="O301" s="2">
        <v>36840</v>
      </c>
      <c r="R301" s="2">
        <v>28998</v>
      </c>
      <c r="S301" s="36"/>
    </row>
    <row r="302" spans="1:19" x14ac:dyDescent="0.25">
      <c r="A302" s="54" t="s">
        <v>26</v>
      </c>
      <c r="B302" s="1">
        <v>45225</v>
      </c>
      <c r="C302" s="36">
        <f t="shared" si="45"/>
        <v>32359.200000000001</v>
      </c>
      <c r="D302" s="2">
        <v>15515</v>
      </c>
      <c r="E302" s="36">
        <f t="shared" si="46"/>
        <v>36408.800000000003</v>
      </c>
      <c r="F302" s="2">
        <v>8600</v>
      </c>
      <c r="G302" s="2">
        <f t="shared" si="44"/>
        <v>92883</v>
      </c>
      <c r="H302" s="3">
        <f t="shared" si="47"/>
        <v>0.34838668001679535</v>
      </c>
      <c r="I302" s="3">
        <f t="shared" si="48"/>
        <v>0.39198561631299594</v>
      </c>
      <c r="J302" s="3">
        <f t="shared" si="49"/>
        <v>0.16703810169783492</v>
      </c>
      <c r="K302" s="3">
        <f t="shared" si="50"/>
        <v>9.2589601972373842E-2</v>
      </c>
      <c r="L302" s="3">
        <f t="shared" si="51"/>
        <v>0.74037229632979129</v>
      </c>
      <c r="M302" s="56">
        <f t="shared" si="52"/>
        <v>0.25962770367020876</v>
      </c>
      <c r="O302" s="2">
        <v>47049</v>
      </c>
      <c r="R302" s="2">
        <v>40856</v>
      </c>
      <c r="S302" s="36"/>
    </row>
    <row r="303" spans="1:19" hidden="1" x14ac:dyDescent="0.25">
      <c r="A303" s="54" t="s">
        <v>7</v>
      </c>
      <c r="B303" s="1">
        <v>45226</v>
      </c>
      <c r="C303" s="36">
        <f t="shared" si="45"/>
        <v>44024</v>
      </c>
      <c r="D303" s="2">
        <v>17848</v>
      </c>
      <c r="E303" s="36">
        <f t="shared" si="46"/>
        <v>26818.400000000001</v>
      </c>
      <c r="F303" s="2">
        <v>9347</v>
      </c>
      <c r="G303" s="2">
        <f t="shared" si="44"/>
        <v>98037.4</v>
      </c>
      <c r="H303" s="3">
        <f t="shared" si="47"/>
        <v>0.44905311646371693</v>
      </c>
      <c r="I303" s="3">
        <f t="shared" si="48"/>
        <v>0.2735527461968596</v>
      </c>
      <c r="J303" s="3">
        <f t="shared" si="49"/>
        <v>0.18205297162103443</v>
      </c>
      <c r="K303" s="3">
        <f t="shared" si="50"/>
        <v>9.5341165718389104E-2</v>
      </c>
      <c r="L303" s="3">
        <f t="shared" si="51"/>
        <v>0.72260586266057647</v>
      </c>
      <c r="M303" s="56">
        <f t="shared" si="52"/>
        <v>0.27739413733942353</v>
      </c>
      <c r="O303" s="2">
        <v>38313</v>
      </c>
      <c r="R303" s="2">
        <v>39263</v>
      </c>
      <c r="S303" s="36"/>
    </row>
    <row r="304" spans="1:19" hidden="1" x14ac:dyDescent="0.25">
      <c r="A304" s="54" t="s">
        <v>30</v>
      </c>
      <c r="B304" s="1">
        <v>45227</v>
      </c>
      <c r="C304" s="36">
        <f t="shared" si="45"/>
        <v>34976</v>
      </c>
      <c r="D304" s="2">
        <v>26490</v>
      </c>
      <c r="E304" s="36">
        <f t="shared" si="46"/>
        <v>31940</v>
      </c>
      <c r="F304" s="2">
        <v>18546</v>
      </c>
      <c r="G304" s="2">
        <f t="shared" si="44"/>
        <v>111952</v>
      </c>
      <c r="H304" s="3">
        <f t="shared" si="47"/>
        <v>0.31241960840360156</v>
      </c>
      <c r="I304" s="3">
        <f t="shared" si="48"/>
        <v>0.28530084321852223</v>
      </c>
      <c r="J304" s="3">
        <f t="shared" si="49"/>
        <v>0.23661926539945691</v>
      </c>
      <c r="K304" s="3">
        <f t="shared" si="50"/>
        <v>0.16566028297841931</v>
      </c>
      <c r="L304" s="3">
        <f t="shared" si="51"/>
        <v>0.59772045162212373</v>
      </c>
      <c r="M304" s="56">
        <f t="shared" si="52"/>
        <v>0.40227954837787622</v>
      </c>
      <c r="O304" s="2">
        <v>58368</v>
      </c>
      <c r="R304" s="2">
        <v>27887</v>
      </c>
      <c r="S304" s="36"/>
    </row>
    <row r="305" spans="1:19" hidden="1" x14ac:dyDescent="0.25">
      <c r="A305" s="54" t="s">
        <v>31</v>
      </c>
      <c r="B305" s="1">
        <v>45228</v>
      </c>
      <c r="C305" s="36">
        <f t="shared" si="45"/>
        <v>27179.200000000001</v>
      </c>
      <c r="D305" s="2">
        <v>31277</v>
      </c>
      <c r="E305" s="36">
        <f t="shared" si="46"/>
        <v>58588.800000000003</v>
      </c>
      <c r="F305" s="2">
        <v>16888</v>
      </c>
      <c r="G305" s="2">
        <f t="shared" si="44"/>
        <v>133933</v>
      </c>
      <c r="H305" s="3">
        <f t="shared" si="47"/>
        <v>0.2029313164044709</v>
      </c>
      <c r="I305" s="3">
        <f t="shared" si="48"/>
        <v>0.43744857503378559</v>
      </c>
      <c r="J305" s="3">
        <f t="shared" si="49"/>
        <v>0.23352721136687746</v>
      </c>
      <c r="K305" s="3">
        <f t="shared" si="50"/>
        <v>0.12609289719486608</v>
      </c>
      <c r="L305" s="3">
        <f t="shared" si="51"/>
        <v>0.64037989143825647</v>
      </c>
      <c r="M305" s="56">
        <f t="shared" si="52"/>
        <v>0.35962010856174353</v>
      </c>
      <c r="O305" s="2">
        <v>35717</v>
      </c>
      <c r="R305" s="2">
        <v>34601</v>
      </c>
      <c r="S305" s="36"/>
    </row>
    <row r="306" spans="1:19" hidden="1" x14ac:dyDescent="0.25">
      <c r="A306" s="54" t="s">
        <v>129</v>
      </c>
      <c r="B306" s="1">
        <v>45229</v>
      </c>
      <c r="C306" s="36">
        <f t="shared" si="45"/>
        <v>49128.800000000003</v>
      </c>
      <c r="D306" s="2">
        <v>28683</v>
      </c>
      <c r="E306" s="36">
        <f t="shared" si="46"/>
        <v>42992.800000000003</v>
      </c>
      <c r="F306" s="2">
        <v>17682</v>
      </c>
      <c r="G306" s="2">
        <f t="shared" si="44"/>
        <v>138486.6</v>
      </c>
      <c r="H306" s="3">
        <f t="shared" si="47"/>
        <v>0.35475490047412528</v>
      </c>
      <c r="I306" s="3">
        <f t="shared" si="48"/>
        <v>0.31044736458256611</v>
      </c>
      <c r="J306" s="3">
        <f t="shared" si="49"/>
        <v>0.20711751173037679</v>
      </c>
      <c r="K306" s="3">
        <f t="shared" si="50"/>
        <v>0.12768022321293179</v>
      </c>
      <c r="L306" s="3">
        <f t="shared" si="51"/>
        <v>0.66520226505669144</v>
      </c>
      <c r="M306" s="56">
        <f t="shared" si="52"/>
        <v>0.33479773494330856</v>
      </c>
      <c r="O306" s="2">
        <v>34355</v>
      </c>
      <c r="R306" s="2">
        <v>21679</v>
      </c>
      <c r="S306" s="36"/>
    </row>
    <row r="307" spans="1:19" hidden="1" x14ac:dyDescent="0.25">
      <c r="A307" s="54" t="s">
        <v>14</v>
      </c>
      <c r="B307" s="1">
        <v>45230</v>
      </c>
      <c r="C307" s="36">
        <f t="shared" si="45"/>
        <v>74020.800000000003</v>
      </c>
      <c r="D307" s="2">
        <v>20622</v>
      </c>
      <c r="E307" s="36">
        <f t="shared" si="46"/>
        <v>38072</v>
      </c>
      <c r="F307" s="2">
        <v>19856</v>
      </c>
      <c r="G307" s="2">
        <f t="shared" si="44"/>
        <v>152570.79999999999</v>
      </c>
      <c r="H307" s="3">
        <f t="shared" si="47"/>
        <v>0.48515705495415906</v>
      </c>
      <c r="I307" s="3">
        <f t="shared" si="48"/>
        <v>0.24953660857778817</v>
      </c>
      <c r="J307" s="3">
        <f t="shared" si="49"/>
        <v>0.1351634782015956</v>
      </c>
      <c r="K307" s="3">
        <f t="shared" si="50"/>
        <v>0.1301428582664573</v>
      </c>
      <c r="L307" s="3">
        <f t="shared" si="51"/>
        <v>0.73469366353194721</v>
      </c>
      <c r="M307" s="56">
        <f t="shared" si="52"/>
        <v>0.26530633646805291</v>
      </c>
      <c r="O307" s="2">
        <v>36183</v>
      </c>
      <c r="R307" s="2">
        <v>32649</v>
      </c>
      <c r="S307" s="36"/>
    </row>
    <row r="308" spans="1:19" hidden="1" x14ac:dyDescent="0.25">
      <c r="A308" s="54" t="s">
        <v>21</v>
      </c>
      <c r="B308" s="1">
        <v>45231</v>
      </c>
      <c r="C308" s="36">
        <f t="shared" si="45"/>
        <v>41911.200000000004</v>
      </c>
      <c r="D308" s="2">
        <v>17018</v>
      </c>
      <c r="E308" s="36">
        <f t="shared" si="46"/>
        <v>45436.800000000003</v>
      </c>
      <c r="F308" s="2">
        <v>17055</v>
      </c>
      <c r="G308" s="2">
        <f t="shared" si="44"/>
        <v>121421</v>
      </c>
      <c r="H308" s="3">
        <f t="shared" si="47"/>
        <v>0.34517258134919004</v>
      </c>
      <c r="I308" s="3">
        <f t="shared" si="48"/>
        <v>0.37420874478055693</v>
      </c>
      <c r="J308" s="3">
        <f t="shared" si="49"/>
        <v>0.14015697449370373</v>
      </c>
      <c r="K308" s="3">
        <f t="shared" si="50"/>
        <v>0.14046169937654937</v>
      </c>
      <c r="L308" s="3">
        <f t="shared" si="51"/>
        <v>0.71938132612974692</v>
      </c>
      <c r="M308" s="56">
        <f t="shared" si="52"/>
        <v>0.28061867387025308</v>
      </c>
      <c r="O308" s="2">
        <v>51996</v>
      </c>
      <c r="R308" s="2">
        <v>28350</v>
      </c>
      <c r="S308" s="36"/>
    </row>
    <row r="309" spans="1:19" x14ac:dyDescent="0.25">
      <c r="A309" s="54" t="s">
        <v>26</v>
      </c>
      <c r="B309" s="1">
        <v>45232</v>
      </c>
      <c r="C309" s="36">
        <f t="shared" si="45"/>
        <v>52081.600000000006</v>
      </c>
      <c r="D309" s="2">
        <v>17566</v>
      </c>
      <c r="E309" s="36">
        <f t="shared" si="46"/>
        <v>34878.400000000001</v>
      </c>
      <c r="F309" s="2">
        <v>17765</v>
      </c>
      <c r="G309" s="2">
        <f t="shared" si="44"/>
        <v>122291</v>
      </c>
      <c r="H309" s="3">
        <f t="shared" si="47"/>
        <v>0.42588252610576416</v>
      </c>
      <c r="I309" s="3">
        <f t="shared" si="48"/>
        <v>0.28520823282171215</v>
      </c>
      <c r="J309" s="3">
        <f t="shared" si="49"/>
        <v>0.14364098748068133</v>
      </c>
      <c r="K309" s="3">
        <f t="shared" si="50"/>
        <v>0.14526825359184242</v>
      </c>
      <c r="L309" s="3">
        <f t="shared" si="51"/>
        <v>0.71109075892747631</v>
      </c>
      <c r="M309" s="56">
        <f t="shared" si="52"/>
        <v>0.28890924107252375</v>
      </c>
      <c r="O309" s="2">
        <v>31783</v>
      </c>
      <c r="R309" s="2">
        <v>50935</v>
      </c>
      <c r="S309" s="36"/>
    </row>
    <row r="310" spans="1:19" hidden="1" x14ac:dyDescent="0.25">
      <c r="A310" s="54" t="s">
        <v>7</v>
      </c>
      <c r="B310" s="1">
        <v>45233</v>
      </c>
      <c r="C310" s="36">
        <f t="shared" si="45"/>
        <v>46626.400000000001</v>
      </c>
      <c r="D310" s="2">
        <v>10566</v>
      </c>
      <c r="E310" s="36">
        <f t="shared" si="46"/>
        <v>27676.800000000003</v>
      </c>
      <c r="F310" s="2">
        <v>14868</v>
      </c>
      <c r="G310" s="2">
        <f t="shared" si="44"/>
        <v>99737.200000000012</v>
      </c>
      <c r="H310" s="3">
        <f t="shared" si="47"/>
        <v>0.46749257047520881</v>
      </c>
      <c r="I310" s="3">
        <f t="shared" si="48"/>
        <v>0.27749726280665588</v>
      </c>
      <c r="J310" s="3">
        <f t="shared" si="49"/>
        <v>0.10593840613131308</v>
      </c>
      <c r="K310" s="3">
        <f t="shared" si="50"/>
        <v>0.14907176058682214</v>
      </c>
      <c r="L310" s="3">
        <f t="shared" si="51"/>
        <v>0.74498983328186474</v>
      </c>
      <c r="M310" s="56">
        <f t="shared" si="52"/>
        <v>0.25501016671813526</v>
      </c>
      <c r="O310" s="2">
        <v>41435</v>
      </c>
      <c r="R310" s="2">
        <v>44060</v>
      </c>
      <c r="S310" s="36"/>
    </row>
    <row r="311" spans="1:19" hidden="1" x14ac:dyDescent="0.25">
      <c r="A311" s="54" t="s">
        <v>30</v>
      </c>
      <c r="B311" s="1">
        <v>45234</v>
      </c>
      <c r="C311" s="36">
        <f t="shared" si="45"/>
        <v>44752.800000000003</v>
      </c>
      <c r="D311" s="2">
        <v>22661</v>
      </c>
      <c r="E311" s="36">
        <f t="shared" si="46"/>
        <v>20632</v>
      </c>
      <c r="F311" s="2">
        <v>19073</v>
      </c>
      <c r="G311" s="2">
        <f t="shared" si="44"/>
        <v>107118.8</v>
      </c>
      <c r="H311" s="3">
        <f t="shared" si="47"/>
        <v>0.4177866070194961</v>
      </c>
      <c r="I311" s="3">
        <f t="shared" si="48"/>
        <v>0.19260858037991463</v>
      </c>
      <c r="J311" s="3">
        <f t="shared" si="49"/>
        <v>0.21155016673076996</v>
      </c>
      <c r="K311" s="3">
        <f t="shared" si="50"/>
        <v>0.17805464586981931</v>
      </c>
      <c r="L311" s="3">
        <f t="shared" si="51"/>
        <v>0.61039518739941079</v>
      </c>
      <c r="M311" s="56">
        <f t="shared" si="52"/>
        <v>0.38960481260058927</v>
      </c>
      <c r="O311" s="2">
        <v>49263</v>
      </c>
      <c r="R311" s="2">
        <v>28677</v>
      </c>
      <c r="S311" s="36"/>
    </row>
    <row r="312" spans="1:19" hidden="1" x14ac:dyDescent="0.25">
      <c r="A312" s="54" t="s">
        <v>31</v>
      </c>
      <c r="B312" s="1">
        <v>45235</v>
      </c>
      <c r="C312" s="36">
        <f t="shared" si="45"/>
        <v>24398.400000000001</v>
      </c>
      <c r="D312" s="2">
        <v>21059</v>
      </c>
      <c r="E312" s="36">
        <f t="shared" si="46"/>
        <v>49148.800000000003</v>
      </c>
      <c r="F312" s="2">
        <v>18166</v>
      </c>
      <c r="G312" s="2">
        <f t="shared" si="44"/>
        <v>112772.20000000001</v>
      </c>
      <c r="H312" s="3">
        <f t="shared" si="47"/>
        <v>0.21635119293584765</v>
      </c>
      <c r="I312" s="3">
        <f t="shared" si="48"/>
        <v>0.43582372251317253</v>
      </c>
      <c r="J312" s="3">
        <f t="shared" si="49"/>
        <v>0.1867392850365604</v>
      </c>
      <c r="K312" s="3">
        <f t="shared" si="50"/>
        <v>0.16108579951441931</v>
      </c>
      <c r="L312" s="3">
        <f t="shared" si="51"/>
        <v>0.65217491544902029</v>
      </c>
      <c r="M312" s="56">
        <f t="shared" si="52"/>
        <v>0.34782508455097971</v>
      </c>
      <c r="O312" s="2">
        <v>29783</v>
      </c>
      <c r="R312" s="2">
        <v>28581</v>
      </c>
      <c r="S312" s="36"/>
    </row>
    <row r="313" spans="1:19" hidden="1" x14ac:dyDescent="0.25">
      <c r="A313" s="54" t="s">
        <v>129</v>
      </c>
      <c r="B313" s="1">
        <v>45236</v>
      </c>
      <c r="C313" s="36">
        <f t="shared" si="45"/>
        <v>53523.200000000004</v>
      </c>
      <c r="D313" s="2">
        <v>25258</v>
      </c>
      <c r="E313" s="36">
        <f t="shared" si="46"/>
        <v>43244</v>
      </c>
      <c r="F313" s="2">
        <v>18642</v>
      </c>
      <c r="G313" s="2">
        <f t="shared" si="44"/>
        <v>140667.20000000001</v>
      </c>
      <c r="H313" s="3">
        <f t="shared" si="47"/>
        <v>0.38049523982847461</v>
      </c>
      <c r="I313" s="3">
        <f t="shared" si="48"/>
        <v>0.30742063537199854</v>
      </c>
      <c r="J313" s="3">
        <f t="shared" si="49"/>
        <v>0.17955856091540884</v>
      </c>
      <c r="K313" s="3">
        <f t="shared" si="50"/>
        <v>0.13252556388411796</v>
      </c>
      <c r="L313" s="3">
        <f t="shared" si="51"/>
        <v>0.68791587520047315</v>
      </c>
      <c r="M313" s="56">
        <f t="shared" si="52"/>
        <v>0.3120841247995268</v>
      </c>
      <c r="O313" s="2">
        <v>33220</v>
      </c>
      <c r="R313" s="2">
        <v>30848</v>
      </c>
      <c r="S313" s="36"/>
    </row>
    <row r="314" spans="1:19" hidden="1" x14ac:dyDescent="0.25">
      <c r="A314" s="54" t="s">
        <v>14</v>
      </c>
      <c r="B314" s="1">
        <v>45237</v>
      </c>
      <c r="C314" s="36">
        <f t="shared" si="45"/>
        <v>58929.600000000006</v>
      </c>
      <c r="D314" s="2">
        <v>25859</v>
      </c>
      <c r="E314" s="36">
        <f t="shared" si="46"/>
        <v>52434.400000000001</v>
      </c>
      <c r="F314" s="2">
        <v>20975</v>
      </c>
      <c r="G314" s="2">
        <f t="shared" si="44"/>
        <v>158198</v>
      </c>
      <c r="H314" s="3">
        <f t="shared" si="47"/>
        <v>0.37250534140760316</v>
      </c>
      <c r="I314" s="3">
        <f t="shared" si="48"/>
        <v>0.33144793233795622</v>
      </c>
      <c r="J314" s="3">
        <f t="shared" si="49"/>
        <v>0.16345971504064527</v>
      </c>
      <c r="K314" s="3">
        <f t="shared" si="50"/>
        <v>0.13258701121379537</v>
      </c>
      <c r="L314" s="3">
        <f t="shared" si="51"/>
        <v>0.70395327374555938</v>
      </c>
      <c r="M314" s="56">
        <f t="shared" si="52"/>
        <v>0.29604672625444062</v>
      </c>
      <c r="O314" s="2">
        <v>36479</v>
      </c>
      <c r="R314" s="2">
        <v>27678</v>
      </c>
      <c r="S314" s="36"/>
    </row>
    <row r="315" spans="1:19" hidden="1" x14ac:dyDescent="0.25">
      <c r="A315" s="54" t="s">
        <v>21</v>
      </c>
      <c r="B315" s="1">
        <v>45238</v>
      </c>
      <c r="C315" s="36">
        <f t="shared" si="45"/>
        <v>45751.200000000004</v>
      </c>
      <c r="D315" s="2">
        <v>22256</v>
      </c>
      <c r="E315" s="36">
        <f t="shared" si="46"/>
        <v>33528</v>
      </c>
      <c r="F315" s="2">
        <v>16994</v>
      </c>
      <c r="G315" s="2">
        <f t="shared" si="44"/>
        <v>118529.20000000001</v>
      </c>
      <c r="H315" s="3">
        <f t="shared" si="47"/>
        <v>0.38599096256449889</v>
      </c>
      <c r="I315" s="3">
        <f t="shared" si="48"/>
        <v>0.28286700661102915</v>
      </c>
      <c r="J315" s="3">
        <f t="shared" si="49"/>
        <v>0.18776807740202411</v>
      </c>
      <c r="K315" s="3">
        <f t="shared" si="50"/>
        <v>0.1433739534224478</v>
      </c>
      <c r="L315" s="3">
        <f t="shared" si="51"/>
        <v>0.66885796917552809</v>
      </c>
      <c r="M315" s="56">
        <f t="shared" si="52"/>
        <v>0.33114203082447191</v>
      </c>
      <c r="O315" s="2">
        <v>48480</v>
      </c>
      <c r="R315" s="2">
        <v>28142</v>
      </c>
      <c r="S315" s="36"/>
    </row>
    <row r="316" spans="1:19" x14ac:dyDescent="0.25">
      <c r="A316" s="54" t="s">
        <v>26</v>
      </c>
      <c r="B316" s="1">
        <v>45239</v>
      </c>
      <c r="C316" s="36">
        <f t="shared" si="45"/>
        <v>46496.800000000003</v>
      </c>
      <c r="D316" s="2">
        <v>19224</v>
      </c>
      <c r="E316" s="36">
        <f t="shared" si="46"/>
        <v>32214.400000000001</v>
      </c>
      <c r="F316" s="2">
        <v>15326</v>
      </c>
      <c r="G316" s="2">
        <f t="shared" si="44"/>
        <v>113261.20000000001</v>
      </c>
      <c r="H316" s="3">
        <f t="shared" si="47"/>
        <v>0.41052717082284135</v>
      </c>
      <c r="I316" s="3">
        <f t="shared" si="48"/>
        <v>0.2844257344968974</v>
      </c>
      <c r="J316" s="3">
        <f t="shared" si="49"/>
        <v>0.16973155855668134</v>
      </c>
      <c r="K316" s="3">
        <f t="shared" si="50"/>
        <v>0.13531553612357983</v>
      </c>
      <c r="L316" s="3">
        <f t="shared" si="51"/>
        <v>0.69495290531973886</v>
      </c>
      <c r="M316" s="56">
        <f t="shared" si="52"/>
        <v>0.30504709468026114</v>
      </c>
      <c r="O316" s="2">
        <v>35145</v>
      </c>
      <c r="R316" s="2">
        <v>33395</v>
      </c>
      <c r="S316" s="36"/>
    </row>
    <row r="317" spans="1:19" hidden="1" x14ac:dyDescent="0.25">
      <c r="A317" s="54" t="s">
        <v>7</v>
      </c>
      <c r="B317" s="1">
        <v>45240</v>
      </c>
      <c r="C317" s="36">
        <f t="shared" si="45"/>
        <v>35703.200000000004</v>
      </c>
      <c r="D317" s="2">
        <v>18558</v>
      </c>
      <c r="E317" s="36">
        <f t="shared" si="46"/>
        <v>24699.200000000001</v>
      </c>
      <c r="F317" s="2">
        <v>10690</v>
      </c>
      <c r="G317" s="2">
        <f t="shared" si="44"/>
        <v>89650.400000000009</v>
      </c>
      <c r="H317" s="3">
        <f t="shared" si="47"/>
        <v>0.39824919911121426</v>
      </c>
      <c r="I317" s="3">
        <f t="shared" si="48"/>
        <v>0.27550574230566732</v>
      </c>
      <c r="J317" s="3">
        <f t="shared" si="49"/>
        <v>0.20700409591033614</v>
      </c>
      <c r="K317" s="3">
        <f t="shared" si="50"/>
        <v>0.11924096267278227</v>
      </c>
      <c r="L317" s="3">
        <f t="shared" si="51"/>
        <v>0.67375494141688164</v>
      </c>
      <c r="M317" s="56">
        <f t="shared" si="52"/>
        <v>0.32624505858311842</v>
      </c>
      <c r="O317" s="2">
        <v>54548</v>
      </c>
      <c r="R317" s="2">
        <v>34717</v>
      </c>
      <c r="S317" s="36"/>
    </row>
    <row r="318" spans="1:19" hidden="1" x14ac:dyDescent="0.25">
      <c r="A318" s="54" t="s">
        <v>30</v>
      </c>
      <c r="B318" s="1">
        <v>45241</v>
      </c>
      <c r="C318" s="36">
        <f t="shared" si="45"/>
        <v>30054.400000000001</v>
      </c>
      <c r="D318" s="2">
        <v>28351</v>
      </c>
      <c r="E318" s="36">
        <f t="shared" si="46"/>
        <v>20782.400000000001</v>
      </c>
      <c r="F318" s="2">
        <v>18268</v>
      </c>
      <c r="G318" s="2">
        <f t="shared" si="44"/>
        <v>97455.8</v>
      </c>
      <c r="H318" s="3">
        <f t="shared" si="47"/>
        <v>0.30839005990407958</v>
      </c>
      <c r="I318" s="3">
        <f t="shared" si="48"/>
        <v>0.21324949361659337</v>
      </c>
      <c r="J318" s="3">
        <f t="shared" si="49"/>
        <v>0.29091136699919345</v>
      </c>
      <c r="K318" s="3">
        <f t="shared" si="50"/>
        <v>0.18744907948013356</v>
      </c>
      <c r="L318" s="3">
        <f t="shared" si="51"/>
        <v>0.52163955352067293</v>
      </c>
      <c r="M318" s="56">
        <f t="shared" si="52"/>
        <v>0.47836044647932702</v>
      </c>
      <c r="O318" s="2">
        <v>44393</v>
      </c>
      <c r="R318" s="2">
        <v>25138</v>
      </c>
      <c r="S318" s="36"/>
    </row>
    <row r="319" spans="1:19" hidden="1" x14ac:dyDescent="0.25">
      <c r="A319" s="54" t="s">
        <v>31</v>
      </c>
      <c r="B319" s="1">
        <v>45242</v>
      </c>
      <c r="C319" s="36">
        <f t="shared" si="45"/>
        <v>27510.400000000001</v>
      </c>
      <c r="D319" s="2">
        <v>26526</v>
      </c>
      <c r="E319" s="36">
        <f t="shared" si="46"/>
        <v>43656.800000000003</v>
      </c>
      <c r="F319" s="2">
        <v>22067</v>
      </c>
      <c r="G319" s="2">
        <f t="shared" si="44"/>
        <v>119760.20000000001</v>
      </c>
      <c r="H319" s="3">
        <f t="shared" si="47"/>
        <v>0.22971237522983429</v>
      </c>
      <c r="I319" s="3">
        <f t="shared" si="48"/>
        <v>0.3645351293668514</v>
      </c>
      <c r="J319" s="3">
        <f t="shared" si="49"/>
        <v>0.22149261607779544</v>
      </c>
      <c r="K319" s="3">
        <f t="shared" si="50"/>
        <v>0.18425987932551882</v>
      </c>
      <c r="L319" s="3">
        <f t="shared" si="51"/>
        <v>0.59424750459668574</v>
      </c>
      <c r="M319" s="56">
        <f t="shared" si="52"/>
        <v>0.40575249540331426</v>
      </c>
      <c r="O319" s="2">
        <v>45748</v>
      </c>
      <c r="R319" s="2">
        <v>33213</v>
      </c>
      <c r="S319" s="36"/>
    </row>
    <row r="320" spans="1:19" hidden="1" x14ac:dyDescent="0.25">
      <c r="A320" s="54" t="s">
        <v>129</v>
      </c>
      <c r="B320" s="1">
        <v>45243</v>
      </c>
      <c r="C320" s="36">
        <f t="shared" si="45"/>
        <v>50924.800000000003</v>
      </c>
      <c r="D320" s="2">
        <v>29597</v>
      </c>
      <c r="E320" s="36">
        <f t="shared" si="46"/>
        <v>30595.200000000001</v>
      </c>
      <c r="F320" s="2">
        <v>20928</v>
      </c>
      <c r="G320" s="2">
        <f t="shared" si="44"/>
        <v>132045</v>
      </c>
      <c r="H320" s="3">
        <f t="shared" si="47"/>
        <v>0.38566246355409145</v>
      </c>
      <c r="I320" s="3">
        <f t="shared" si="48"/>
        <v>0.2317028285811655</v>
      </c>
      <c r="J320" s="3">
        <f t="shared" si="49"/>
        <v>0.22414328448634935</v>
      </c>
      <c r="K320" s="3">
        <f t="shared" si="50"/>
        <v>0.15849142337839373</v>
      </c>
      <c r="L320" s="3">
        <f t="shared" si="51"/>
        <v>0.61736529213525693</v>
      </c>
      <c r="M320" s="56">
        <f t="shared" si="52"/>
        <v>0.38263470786474307</v>
      </c>
      <c r="O320" s="2">
        <v>37659</v>
      </c>
      <c r="R320" s="2">
        <v>20949</v>
      </c>
      <c r="S320" s="36"/>
    </row>
    <row r="321" spans="1:19" hidden="1" x14ac:dyDescent="0.25">
      <c r="A321" s="54" t="s">
        <v>14</v>
      </c>
      <c r="B321" s="1">
        <v>45244</v>
      </c>
      <c r="C321" s="36">
        <f t="shared" si="45"/>
        <v>54504.800000000003</v>
      </c>
      <c r="D321" s="2">
        <v>20770</v>
      </c>
      <c r="E321" s="36">
        <f t="shared" si="46"/>
        <v>27300</v>
      </c>
      <c r="F321" s="2">
        <v>13602</v>
      </c>
      <c r="G321" s="2">
        <f t="shared" si="44"/>
        <v>116176.8</v>
      </c>
      <c r="H321" s="3">
        <f t="shared" si="47"/>
        <v>0.46915391024714059</v>
      </c>
      <c r="I321" s="3">
        <f t="shared" si="48"/>
        <v>0.23498667548081889</v>
      </c>
      <c r="J321" s="3">
        <f t="shared" si="49"/>
        <v>0.17877923991709188</v>
      </c>
      <c r="K321" s="3">
        <f t="shared" si="50"/>
        <v>0.11708017435494866</v>
      </c>
      <c r="L321" s="3">
        <f t="shared" si="51"/>
        <v>0.70414058572795946</v>
      </c>
      <c r="M321" s="56">
        <f t="shared" si="52"/>
        <v>0.29585941427204054</v>
      </c>
      <c r="O321" s="2">
        <v>46825</v>
      </c>
      <c r="R321" s="2">
        <v>27618</v>
      </c>
      <c r="S321" s="36"/>
    </row>
    <row r="322" spans="1:19" hidden="1" x14ac:dyDescent="0.25">
      <c r="A322" s="54" t="s">
        <v>21</v>
      </c>
      <c r="B322" s="1">
        <v>45245</v>
      </c>
      <c r="C322" s="36">
        <f t="shared" si="45"/>
        <v>24340.800000000003</v>
      </c>
      <c r="D322" s="2">
        <v>20457</v>
      </c>
      <c r="E322" s="36">
        <f t="shared" si="46"/>
        <v>16890.400000000001</v>
      </c>
      <c r="F322" s="2">
        <v>12532</v>
      </c>
      <c r="G322" s="2">
        <f t="shared" si="44"/>
        <v>74220.200000000012</v>
      </c>
      <c r="H322" s="3">
        <f t="shared" si="47"/>
        <v>0.32795384544908257</v>
      </c>
      <c r="I322" s="3">
        <f t="shared" si="48"/>
        <v>0.22757146976160128</v>
      </c>
      <c r="J322" s="3">
        <f t="shared" si="49"/>
        <v>0.27562577303752883</v>
      </c>
      <c r="K322" s="3">
        <f t="shared" si="50"/>
        <v>0.16884891175178723</v>
      </c>
      <c r="L322" s="3">
        <f t="shared" si="51"/>
        <v>0.55552531521068382</v>
      </c>
      <c r="M322" s="56">
        <f t="shared" si="52"/>
        <v>0.44447468478931607</v>
      </c>
      <c r="O322" s="2">
        <v>41786</v>
      </c>
      <c r="R322" s="2">
        <v>25475</v>
      </c>
      <c r="S322" s="36"/>
    </row>
    <row r="323" spans="1:19" x14ac:dyDescent="0.25">
      <c r="A323" s="54" t="s">
        <v>26</v>
      </c>
      <c r="B323" s="1">
        <v>45246</v>
      </c>
      <c r="C323" s="36">
        <f t="shared" si="45"/>
        <v>25584</v>
      </c>
      <c r="D323" s="2">
        <v>15194</v>
      </c>
      <c r="E323" s="36">
        <f t="shared" si="46"/>
        <v>22830.400000000001</v>
      </c>
      <c r="F323" s="2">
        <v>11033</v>
      </c>
      <c r="G323" s="2">
        <f t="shared" si="44"/>
        <v>74641.399999999994</v>
      </c>
      <c r="H323" s="3">
        <f t="shared" si="47"/>
        <v>0.3427588442874866</v>
      </c>
      <c r="I323" s="3">
        <f t="shared" si="48"/>
        <v>0.30586778918937751</v>
      </c>
      <c r="J323" s="3">
        <f t="shared" si="49"/>
        <v>0.20355995466322979</v>
      </c>
      <c r="K323" s="3">
        <f t="shared" si="50"/>
        <v>0.14781341185990618</v>
      </c>
      <c r="L323" s="3">
        <f t="shared" si="51"/>
        <v>0.64862663347686411</v>
      </c>
      <c r="M323" s="56">
        <f t="shared" si="52"/>
        <v>0.351373366523136</v>
      </c>
      <c r="O323" s="2">
        <v>49409</v>
      </c>
      <c r="R323" s="2">
        <v>46263</v>
      </c>
      <c r="S323" s="36"/>
    </row>
    <row r="324" spans="1:19" hidden="1" x14ac:dyDescent="0.25">
      <c r="A324" s="54" t="s">
        <v>7</v>
      </c>
      <c r="B324" s="1">
        <v>45247</v>
      </c>
      <c r="C324" s="36">
        <f t="shared" si="45"/>
        <v>38852</v>
      </c>
      <c r="D324" s="2">
        <v>14366</v>
      </c>
      <c r="E324" s="36">
        <f t="shared" si="46"/>
        <v>25392.800000000003</v>
      </c>
      <c r="F324" s="2">
        <v>12713</v>
      </c>
      <c r="G324" s="2">
        <f t="shared" ref="G324:G387" si="53">SUM(C324:F324)</f>
        <v>91323.8</v>
      </c>
      <c r="H324" s="3">
        <f t="shared" si="47"/>
        <v>0.42543126764326494</v>
      </c>
      <c r="I324" s="3">
        <f t="shared" si="48"/>
        <v>0.27805238064995108</v>
      </c>
      <c r="J324" s="3">
        <f t="shared" si="49"/>
        <v>0.15730839058383467</v>
      </c>
      <c r="K324" s="3">
        <f t="shared" si="50"/>
        <v>0.13920796112294934</v>
      </c>
      <c r="L324" s="3">
        <f t="shared" si="51"/>
        <v>0.70348364829321597</v>
      </c>
      <c r="M324" s="56">
        <f t="shared" si="52"/>
        <v>0.29651635170678398</v>
      </c>
      <c r="O324" s="2">
        <v>44815</v>
      </c>
      <c r="R324" s="2">
        <v>46204</v>
      </c>
      <c r="S324" s="36"/>
    </row>
    <row r="325" spans="1:19" hidden="1" x14ac:dyDescent="0.25">
      <c r="A325" s="54" t="s">
        <v>30</v>
      </c>
      <c r="B325" s="1">
        <v>45248</v>
      </c>
      <c r="C325" s="36">
        <f t="shared" ref="C325:C388" si="54">O350*$P$27</f>
        <v>25730.400000000001</v>
      </c>
      <c r="D325" s="2">
        <v>27975</v>
      </c>
      <c r="E325" s="36">
        <f t="shared" ref="E325:E388" si="55">R350*$P$27</f>
        <v>9984.8000000000011</v>
      </c>
      <c r="F325" s="2">
        <v>17598</v>
      </c>
      <c r="G325" s="2">
        <f t="shared" si="53"/>
        <v>81288.200000000012</v>
      </c>
      <c r="H325" s="3">
        <f t="shared" ref="H325:H388" si="56">IFERROR(C325/G325,0)</f>
        <v>0.31653302693379848</v>
      </c>
      <c r="I325" s="3">
        <f t="shared" ref="I325:I388" si="57">IFERROR(E325/G325,0)</f>
        <v>0.12283209617140002</v>
      </c>
      <c r="J325" s="3">
        <f t="shared" ref="J325:J388" si="58">IFERROR(D325/G325,0)</f>
        <v>0.34414589079349767</v>
      </c>
      <c r="K325" s="3">
        <f t="shared" ref="K325:K388" si="59">IFERROR(F325/G325,0)</f>
        <v>0.21648898610130374</v>
      </c>
      <c r="L325" s="3">
        <f t="shared" ref="L325:L388" si="60">IFERROR((C325+E325)/G325, 0)</f>
        <v>0.43936512310519854</v>
      </c>
      <c r="M325" s="56">
        <f t="shared" ref="M325:M388" si="61">IFERROR((D325+F325)/G325, 0)</f>
        <v>0.5606348768948014</v>
      </c>
      <c r="O325" s="2">
        <v>55966</v>
      </c>
      <c r="R325" s="2">
        <v>44784</v>
      </c>
      <c r="S325" s="36"/>
    </row>
    <row r="326" spans="1:19" hidden="1" x14ac:dyDescent="0.25">
      <c r="A326" s="54" t="s">
        <v>31</v>
      </c>
      <c r="B326" s="1">
        <v>45249</v>
      </c>
      <c r="C326" s="36">
        <f t="shared" si="54"/>
        <v>39001.599999999999</v>
      </c>
      <c r="D326" s="2">
        <v>22615</v>
      </c>
      <c r="E326" s="36">
        <f t="shared" si="55"/>
        <v>34278.400000000001</v>
      </c>
      <c r="F326" s="2">
        <v>21876</v>
      </c>
      <c r="G326" s="2">
        <f t="shared" si="53"/>
        <v>117771</v>
      </c>
      <c r="H326" s="3">
        <f t="shared" si="56"/>
        <v>0.33116471796961899</v>
      </c>
      <c r="I326" s="3">
        <f t="shared" si="57"/>
        <v>0.29105976853384963</v>
      </c>
      <c r="J326" s="3">
        <f t="shared" si="58"/>
        <v>0.19202520145027213</v>
      </c>
      <c r="K326" s="3">
        <f t="shared" si="59"/>
        <v>0.18575031204625927</v>
      </c>
      <c r="L326" s="3">
        <f t="shared" si="60"/>
        <v>0.62222448650346862</v>
      </c>
      <c r="M326" s="56">
        <f t="shared" si="61"/>
        <v>0.37777551349653138</v>
      </c>
      <c r="O326" s="2">
        <v>33320</v>
      </c>
      <c r="R326" s="2">
        <v>46480</v>
      </c>
      <c r="S326" s="36"/>
    </row>
    <row r="327" spans="1:19" hidden="1" x14ac:dyDescent="0.25">
      <c r="A327" s="54" t="s">
        <v>129</v>
      </c>
      <c r="B327" s="1">
        <v>45250</v>
      </c>
      <c r="C327" s="36">
        <f t="shared" si="54"/>
        <v>40000.800000000003</v>
      </c>
      <c r="D327" s="2">
        <v>28011</v>
      </c>
      <c r="E327" s="36">
        <f t="shared" si="55"/>
        <v>31728</v>
      </c>
      <c r="F327" s="2">
        <v>22907</v>
      </c>
      <c r="G327" s="2">
        <f t="shared" si="53"/>
        <v>122646.8</v>
      </c>
      <c r="H327" s="3">
        <f t="shared" si="56"/>
        <v>0.32614629978116022</v>
      </c>
      <c r="I327" s="3">
        <f t="shared" si="57"/>
        <v>0.25869407110499415</v>
      </c>
      <c r="J327" s="3">
        <f t="shared" si="58"/>
        <v>0.2283875323286054</v>
      </c>
      <c r="K327" s="3">
        <f t="shared" si="59"/>
        <v>0.1867720967852402</v>
      </c>
      <c r="L327" s="3">
        <f t="shared" si="60"/>
        <v>0.58484037088615437</v>
      </c>
      <c r="M327" s="56">
        <f t="shared" si="61"/>
        <v>0.41515962911384563</v>
      </c>
      <c r="O327" s="2">
        <v>40449</v>
      </c>
      <c r="R327" s="2">
        <v>45511</v>
      </c>
      <c r="S327" s="36"/>
    </row>
    <row r="328" spans="1:19" hidden="1" x14ac:dyDescent="0.25">
      <c r="A328" s="54" t="s">
        <v>14</v>
      </c>
      <c r="B328" s="1">
        <v>45251</v>
      </c>
      <c r="C328" s="36">
        <f t="shared" si="54"/>
        <v>53470.400000000001</v>
      </c>
      <c r="D328" s="2">
        <v>23580</v>
      </c>
      <c r="E328" s="36">
        <f t="shared" si="55"/>
        <v>34422.400000000001</v>
      </c>
      <c r="F328" s="2">
        <v>16021</v>
      </c>
      <c r="G328" s="2">
        <f t="shared" si="53"/>
        <v>127493.79999999999</v>
      </c>
      <c r="H328" s="3">
        <f t="shared" si="56"/>
        <v>0.41939608043685267</v>
      </c>
      <c r="I328" s="3">
        <f t="shared" si="57"/>
        <v>0.26999273690171605</v>
      </c>
      <c r="J328" s="3">
        <f t="shared" si="58"/>
        <v>0.18495017012591985</v>
      </c>
      <c r="K328" s="3">
        <f t="shared" si="59"/>
        <v>0.12566101253551154</v>
      </c>
      <c r="L328" s="3">
        <f t="shared" si="60"/>
        <v>0.68938881733856872</v>
      </c>
      <c r="M328" s="56">
        <f t="shared" si="61"/>
        <v>0.3106111826614314</v>
      </c>
      <c r="O328" s="2">
        <v>55030</v>
      </c>
      <c r="R328" s="2">
        <v>33523</v>
      </c>
      <c r="S328" s="36"/>
    </row>
    <row r="329" spans="1:19" hidden="1" x14ac:dyDescent="0.25">
      <c r="A329" s="54" t="s">
        <v>21</v>
      </c>
      <c r="B329" s="1">
        <v>45252</v>
      </c>
      <c r="C329" s="36">
        <f t="shared" si="54"/>
        <v>34270.400000000001</v>
      </c>
      <c r="D329" s="2">
        <v>16784</v>
      </c>
      <c r="E329" s="36">
        <f t="shared" si="55"/>
        <v>17535.2</v>
      </c>
      <c r="F329" s="2">
        <v>11375</v>
      </c>
      <c r="G329" s="2">
        <f t="shared" si="53"/>
        <v>79964.600000000006</v>
      </c>
      <c r="H329" s="3">
        <f t="shared" si="56"/>
        <v>0.42856964206661446</v>
      </c>
      <c r="I329" s="3">
        <f t="shared" si="57"/>
        <v>0.2192870345127719</v>
      </c>
      <c r="J329" s="3">
        <f t="shared" si="58"/>
        <v>0.20989287759833725</v>
      </c>
      <c r="K329" s="3">
        <f t="shared" si="59"/>
        <v>0.14225044582227633</v>
      </c>
      <c r="L329" s="3">
        <f t="shared" si="60"/>
        <v>0.64785667657938639</v>
      </c>
      <c r="M329" s="56">
        <f t="shared" si="61"/>
        <v>0.35214332342061361</v>
      </c>
      <c r="O329" s="2">
        <v>43720</v>
      </c>
      <c r="R329" s="2">
        <v>39925</v>
      </c>
      <c r="S329" s="36"/>
    </row>
    <row r="330" spans="1:19" x14ac:dyDescent="0.25">
      <c r="A330" s="54" t="s">
        <v>26</v>
      </c>
      <c r="B330" s="1">
        <v>45253</v>
      </c>
      <c r="C330" s="36">
        <f t="shared" si="54"/>
        <v>0</v>
      </c>
      <c r="D330" s="2">
        <v>0</v>
      </c>
      <c r="E330" s="36">
        <f t="shared" si="55"/>
        <v>0</v>
      </c>
      <c r="F330" s="2">
        <v>0</v>
      </c>
      <c r="G330" s="2">
        <f t="shared" si="53"/>
        <v>0</v>
      </c>
      <c r="H330" s="3">
        <f t="shared" si="56"/>
        <v>0</v>
      </c>
      <c r="I330" s="3">
        <f t="shared" si="57"/>
        <v>0</v>
      </c>
      <c r="J330" s="3">
        <f t="shared" si="58"/>
        <v>0</v>
      </c>
      <c r="K330" s="3">
        <f t="shared" si="59"/>
        <v>0</v>
      </c>
      <c r="L330" s="3">
        <f t="shared" si="60"/>
        <v>0</v>
      </c>
      <c r="M330" s="56">
        <f t="shared" si="61"/>
        <v>0</v>
      </c>
      <c r="O330" s="2">
        <v>33974</v>
      </c>
      <c r="R330" s="2">
        <v>73236</v>
      </c>
      <c r="S330" s="36"/>
    </row>
    <row r="331" spans="1:19" hidden="1" x14ac:dyDescent="0.25">
      <c r="A331" s="54" t="s">
        <v>7</v>
      </c>
      <c r="B331" s="1">
        <v>45254</v>
      </c>
      <c r="C331" s="36">
        <f t="shared" si="54"/>
        <v>36196.800000000003</v>
      </c>
      <c r="D331" s="2">
        <v>18677</v>
      </c>
      <c r="E331" s="36">
        <f t="shared" si="55"/>
        <v>24572.800000000003</v>
      </c>
      <c r="F331" s="2">
        <v>14225</v>
      </c>
      <c r="G331" s="2">
        <f t="shared" si="53"/>
        <v>93671.6</v>
      </c>
      <c r="H331" s="3">
        <f t="shared" si="56"/>
        <v>0.38642235213234322</v>
      </c>
      <c r="I331" s="3">
        <f t="shared" si="57"/>
        <v>0.26232924386900619</v>
      </c>
      <c r="J331" s="3">
        <f t="shared" si="58"/>
        <v>0.19938807493413158</v>
      </c>
      <c r="K331" s="3">
        <f t="shared" si="59"/>
        <v>0.15186032906451902</v>
      </c>
      <c r="L331" s="3">
        <f t="shared" si="60"/>
        <v>0.64875159600134946</v>
      </c>
      <c r="M331" s="56">
        <f t="shared" si="61"/>
        <v>0.35124840399865059</v>
      </c>
      <c r="O331" s="2">
        <v>61411</v>
      </c>
      <c r="R331" s="2">
        <v>53741</v>
      </c>
      <c r="S331" s="36"/>
    </row>
    <row r="332" spans="1:19" hidden="1" x14ac:dyDescent="0.25">
      <c r="A332" s="54" t="s">
        <v>30</v>
      </c>
      <c r="B332" s="1">
        <v>45255</v>
      </c>
      <c r="C332" s="36">
        <f t="shared" si="54"/>
        <v>42444</v>
      </c>
      <c r="D332" s="2">
        <v>23844</v>
      </c>
      <c r="E332" s="36">
        <f t="shared" si="55"/>
        <v>28281.600000000002</v>
      </c>
      <c r="F332" s="2">
        <v>16525</v>
      </c>
      <c r="G332" s="2">
        <f t="shared" si="53"/>
        <v>111094.6</v>
      </c>
      <c r="H332" s="3">
        <f t="shared" si="56"/>
        <v>0.38205277304207402</v>
      </c>
      <c r="I332" s="3">
        <f t="shared" si="57"/>
        <v>0.25457222943329377</v>
      </c>
      <c r="J332" s="3">
        <f t="shared" si="58"/>
        <v>0.21462789370500454</v>
      </c>
      <c r="K332" s="3">
        <f t="shared" si="59"/>
        <v>0.14874710381962758</v>
      </c>
      <c r="L332" s="3">
        <f t="shared" si="60"/>
        <v>0.63662500247536791</v>
      </c>
      <c r="M332" s="56">
        <f t="shared" si="61"/>
        <v>0.36337499752463215</v>
      </c>
      <c r="O332" s="2">
        <v>92526</v>
      </c>
      <c r="R332" s="2">
        <v>47590</v>
      </c>
      <c r="S332" s="36"/>
    </row>
    <row r="333" spans="1:19" hidden="1" x14ac:dyDescent="0.25">
      <c r="A333" s="54" t="s">
        <v>31</v>
      </c>
      <c r="B333" s="1">
        <v>45256</v>
      </c>
      <c r="C333" s="36">
        <f t="shared" si="54"/>
        <v>33679.200000000004</v>
      </c>
      <c r="D333" s="2">
        <v>23064</v>
      </c>
      <c r="E333" s="36">
        <f t="shared" si="55"/>
        <v>32471.200000000001</v>
      </c>
      <c r="F333" s="2">
        <v>22878</v>
      </c>
      <c r="G333" s="2">
        <f t="shared" si="53"/>
        <v>112092.40000000001</v>
      </c>
      <c r="H333" s="3">
        <f t="shared" si="56"/>
        <v>0.30045926396437228</v>
      </c>
      <c r="I333" s="3">
        <f t="shared" si="57"/>
        <v>0.28968244055796821</v>
      </c>
      <c r="J333" s="3">
        <f t="shared" si="58"/>
        <v>0.20575882040173998</v>
      </c>
      <c r="K333" s="3">
        <f t="shared" si="59"/>
        <v>0.2040994750759195</v>
      </c>
      <c r="L333" s="3">
        <f t="shared" si="60"/>
        <v>0.59014170452234049</v>
      </c>
      <c r="M333" s="56">
        <f t="shared" si="61"/>
        <v>0.40985829547765945</v>
      </c>
      <c r="O333" s="2">
        <v>52389</v>
      </c>
      <c r="R333" s="2">
        <v>56796</v>
      </c>
      <c r="S333" s="36"/>
    </row>
    <row r="334" spans="1:19" hidden="1" x14ac:dyDescent="0.25">
      <c r="A334" s="54" t="s">
        <v>129</v>
      </c>
      <c r="B334" s="1">
        <v>45257</v>
      </c>
      <c r="C334" s="36">
        <f t="shared" si="54"/>
        <v>47244.800000000003</v>
      </c>
      <c r="D334" s="2">
        <v>25295</v>
      </c>
      <c r="E334" s="36">
        <f t="shared" si="55"/>
        <v>32500.800000000003</v>
      </c>
      <c r="F334" s="2">
        <v>15702</v>
      </c>
      <c r="G334" s="2">
        <f t="shared" si="53"/>
        <v>120742.6</v>
      </c>
      <c r="H334" s="3">
        <f t="shared" si="56"/>
        <v>0.39128526303061223</v>
      </c>
      <c r="I334" s="3">
        <f t="shared" si="57"/>
        <v>0.26917425995464733</v>
      </c>
      <c r="J334" s="3">
        <f t="shared" si="58"/>
        <v>0.20949524028801764</v>
      </c>
      <c r="K334" s="3">
        <f t="shared" si="59"/>
        <v>0.1300452367267228</v>
      </c>
      <c r="L334" s="3">
        <f t="shared" si="60"/>
        <v>0.66045952298525956</v>
      </c>
      <c r="M334" s="56">
        <f t="shared" si="61"/>
        <v>0.33954047701474044</v>
      </c>
      <c r="O334" s="2">
        <v>65102</v>
      </c>
      <c r="R334" s="2">
        <v>43598</v>
      </c>
      <c r="S334" s="36"/>
    </row>
    <row r="335" spans="1:19" hidden="1" x14ac:dyDescent="0.25">
      <c r="A335" s="54" t="s">
        <v>14</v>
      </c>
      <c r="B335" s="1">
        <v>45258</v>
      </c>
      <c r="C335" s="36">
        <f t="shared" si="54"/>
        <v>49095.200000000004</v>
      </c>
      <c r="D335" s="2">
        <v>18949</v>
      </c>
      <c r="E335" s="36">
        <f t="shared" si="55"/>
        <v>20818.400000000001</v>
      </c>
      <c r="F335" s="2">
        <v>18590</v>
      </c>
      <c r="G335" s="2">
        <f t="shared" si="53"/>
        <v>107452.6</v>
      </c>
      <c r="H335" s="3">
        <f t="shared" si="56"/>
        <v>0.45690099634629594</v>
      </c>
      <c r="I335" s="3">
        <f t="shared" si="57"/>
        <v>0.19374496289526733</v>
      </c>
      <c r="J335" s="3">
        <f t="shared" si="58"/>
        <v>0.17634752439680379</v>
      </c>
      <c r="K335" s="3">
        <f t="shared" si="59"/>
        <v>0.17300651636163294</v>
      </c>
      <c r="L335" s="3">
        <f t="shared" si="60"/>
        <v>0.65064595924156332</v>
      </c>
      <c r="M335" s="56">
        <f t="shared" si="61"/>
        <v>0.34935404075843673</v>
      </c>
      <c r="O335" s="2">
        <v>58283</v>
      </c>
      <c r="R335" s="2">
        <v>34596</v>
      </c>
      <c r="S335" s="36"/>
    </row>
    <row r="336" spans="1:19" hidden="1" x14ac:dyDescent="0.25">
      <c r="A336" s="54" t="s">
        <v>21</v>
      </c>
      <c r="B336" s="1">
        <v>45259</v>
      </c>
      <c r="C336" s="36">
        <f t="shared" si="54"/>
        <v>36096</v>
      </c>
      <c r="D336" s="2">
        <v>15837</v>
      </c>
      <c r="E336" s="36">
        <f t="shared" si="55"/>
        <v>32584</v>
      </c>
      <c r="F336" s="2">
        <v>13353</v>
      </c>
      <c r="G336" s="2">
        <f t="shared" si="53"/>
        <v>97870</v>
      </c>
      <c r="H336" s="3">
        <f t="shared" si="56"/>
        <v>0.36881577602942678</v>
      </c>
      <c r="I336" s="3">
        <f t="shared" si="57"/>
        <v>0.33293143966486155</v>
      </c>
      <c r="J336" s="3">
        <f t="shared" si="58"/>
        <v>0.16181669561663431</v>
      </c>
      <c r="K336" s="3">
        <f t="shared" si="59"/>
        <v>0.13643608868907733</v>
      </c>
      <c r="L336" s="3">
        <f t="shared" si="60"/>
        <v>0.70174721569428833</v>
      </c>
      <c r="M336" s="56">
        <f t="shared" si="61"/>
        <v>0.29825278430571167</v>
      </c>
      <c r="O336" s="2">
        <v>55941</v>
      </c>
      <c r="R336" s="2">
        <v>25790</v>
      </c>
      <c r="S336" s="36"/>
    </row>
    <row r="337" spans="1:19" x14ac:dyDescent="0.25">
      <c r="A337" s="54" t="s">
        <v>26</v>
      </c>
      <c r="B337" s="1">
        <v>45260</v>
      </c>
      <c r="C337" s="36">
        <f t="shared" si="54"/>
        <v>20498.400000000001</v>
      </c>
      <c r="D337" s="2">
        <v>15972</v>
      </c>
      <c r="E337" s="36">
        <f t="shared" si="55"/>
        <v>14155.2</v>
      </c>
      <c r="F337" s="2">
        <v>12323</v>
      </c>
      <c r="G337" s="2">
        <f t="shared" si="53"/>
        <v>62948.600000000006</v>
      </c>
      <c r="H337" s="3">
        <f t="shared" si="56"/>
        <v>0.32563710710007848</v>
      </c>
      <c r="I337" s="3">
        <f t="shared" si="57"/>
        <v>0.22486917898094635</v>
      </c>
      <c r="J337" s="3">
        <f t="shared" si="58"/>
        <v>0.25373082165449268</v>
      </c>
      <c r="K337" s="3">
        <f t="shared" si="59"/>
        <v>0.19576289226448243</v>
      </c>
      <c r="L337" s="3">
        <f t="shared" si="60"/>
        <v>0.55050628608102492</v>
      </c>
      <c r="M337" s="56">
        <f t="shared" si="61"/>
        <v>0.44949371391897514</v>
      </c>
      <c r="O337" s="2">
        <v>30498</v>
      </c>
      <c r="R337" s="2">
        <v>61436</v>
      </c>
      <c r="S337" s="36"/>
    </row>
    <row r="338" spans="1:19" hidden="1" x14ac:dyDescent="0.25">
      <c r="A338" s="54" t="s">
        <v>7</v>
      </c>
      <c r="B338" s="1">
        <v>45261</v>
      </c>
      <c r="C338" s="36">
        <f t="shared" si="54"/>
        <v>44657.600000000006</v>
      </c>
      <c r="D338" s="2">
        <v>19383</v>
      </c>
      <c r="E338" s="36">
        <f t="shared" si="55"/>
        <v>25305.600000000002</v>
      </c>
      <c r="F338" s="2">
        <v>13332</v>
      </c>
      <c r="G338" s="2">
        <f t="shared" si="53"/>
        <v>102678.20000000001</v>
      </c>
      <c r="H338" s="3">
        <f t="shared" si="56"/>
        <v>0.43492776460826155</v>
      </c>
      <c r="I338" s="3">
        <f t="shared" si="57"/>
        <v>0.24645543065616654</v>
      </c>
      <c r="J338" s="3">
        <f t="shared" si="58"/>
        <v>0.18877424808771481</v>
      </c>
      <c r="K338" s="3">
        <f t="shared" si="59"/>
        <v>0.12984255664785707</v>
      </c>
      <c r="L338" s="3">
        <f t="shared" si="60"/>
        <v>0.68138319526442814</v>
      </c>
      <c r="M338" s="56">
        <f t="shared" si="61"/>
        <v>0.31861680473557186</v>
      </c>
      <c r="O338" s="2">
        <v>66904</v>
      </c>
      <c r="R338" s="2">
        <v>54055</v>
      </c>
      <c r="S338" s="36"/>
    </row>
    <row r="339" spans="1:19" hidden="1" x14ac:dyDescent="0.25">
      <c r="A339" s="54" t="s">
        <v>30</v>
      </c>
      <c r="B339" s="1">
        <v>45262</v>
      </c>
      <c r="C339" s="36">
        <f t="shared" si="54"/>
        <v>30566.400000000001</v>
      </c>
      <c r="D339" s="2">
        <v>24224</v>
      </c>
      <c r="E339" s="36">
        <f t="shared" si="55"/>
        <v>36587.200000000004</v>
      </c>
      <c r="F339" s="2">
        <v>19835</v>
      </c>
      <c r="G339" s="2">
        <f t="shared" si="53"/>
        <v>111212.6</v>
      </c>
      <c r="H339" s="3">
        <f t="shared" si="56"/>
        <v>0.27484655515652001</v>
      </c>
      <c r="I339" s="3">
        <f t="shared" si="57"/>
        <v>0.32898430573514154</v>
      </c>
      <c r="J339" s="3">
        <f t="shared" si="58"/>
        <v>0.21781704591026554</v>
      </c>
      <c r="K339" s="3">
        <f t="shared" si="59"/>
        <v>0.17835209319807288</v>
      </c>
      <c r="L339" s="3">
        <f t="shared" si="60"/>
        <v>0.6038308608916616</v>
      </c>
      <c r="M339" s="56">
        <f t="shared" si="61"/>
        <v>0.3961691391083384</v>
      </c>
      <c r="O339" s="2">
        <v>73662</v>
      </c>
      <c r="R339" s="2">
        <v>65543</v>
      </c>
      <c r="S339" s="36"/>
    </row>
    <row r="340" spans="1:19" hidden="1" x14ac:dyDescent="0.25">
      <c r="A340" s="54" t="s">
        <v>31</v>
      </c>
      <c r="B340" s="1">
        <v>45263</v>
      </c>
      <c r="C340" s="36">
        <f t="shared" si="54"/>
        <v>34452</v>
      </c>
      <c r="D340" s="2">
        <v>23262</v>
      </c>
      <c r="E340" s="36">
        <f t="shared" si="55"/>
        <v>57597.600000000006</v>
      </c>
      <c r="F340" s="2">
        <v>15803</v>
      </c>
      <c r="G340" s="2">
        <f t="shared" si="53"/>
        <v>131114.6</v>
      </c>
      <c r="H340" s="3">
        <f t="shared" si="56"/>
        <v>0.26276249937077945</v>
      </c>
      <c r="I340" s="3">
        <f t="shared" si="57"/>
        <v>0.43929203917794052</v>
      </c>
      <c r="J340" s="3">
        <f t="shared" si="58"/>
        <v>0.17741731279354092</v>
      </c>
      <c r="K340" s="3">
        <f t="shared" si="59"/>
        <v>0.1205281486577391</v>
      </c>
      <c r="L340" s="3">
        <f t="shared" si="60"/>
        <v>0.70205453854872002</v>
      </c>
      <c r="M340" s="56">
        <f t="shared" si="61"/>
        <v>0.29794546145128004</v>
      </c>
      <c r="O340" s="2">
        <v>57189</v>
      </c>
      <c r="R340" s="2">
        <v>41910</v>
      </c>
      <c r="S340" s="36"/>
    </row>
    <row r="341" spans="1:19" hidden="1" x14ac:dyDescent="0.25">
      <c r="A341" s="54" t="s">
        <v>129</v>
      </c>
      <c r="B341" s="1">
        <v>45264</v>
      </c>
      <c r="C341" s="36">
        <f t="shared" si="54"/>
        <v>43111.200000000004</v>
      </c>
      <c r="D341" s="2">
        <v>31328</v>
      </c>
      <c r="E341" s="36">
        <f t="shared" si="55"/>
        <v>42354.400000000001</v>
      </c>
      <c r="F341" s="2">
        <v>9492</v>
      </c>
      <c r="G341" s="2">
        <f t="shared" si="53"/>
        <v>126285.6</v>
      </c>
      <c r="H341" s="3">
        <f t="shared" si="56"/>
        <v>0.34137858948288641</v>
      </c>
      <c r="I341" s="3">
        <f t="shared" si="57"/>
        <v>0.33538582387857363</v>
      </c>
      <c r="J341" s="3">
        <f t="shared" si="58"/>
        <v>0.24807262269015626</v>
      </c>
      <c r="K341" s="3">
        <f t="shared" si="59"/>
        <v>7.5162963948383663E-2</v>
      </c>
      <c r="L341" s="3">
        <f t="shared" si="60"/>
        <v>0.67676441336146009</v>
      </c>
      <c r="M341" s="56">
        <f t="shared" si="61"/>
        <v>0.32323558663853991</v>
      </c>
      <c r="O341" s="2">
        <v>58121</v>
      </c>
      <c r="R341" s="2">
        <v>40268</v>
      </c>
      <c r="S341" s="36"/>
    </row>
    <row r="342" spans="1:19" hidden="1" x14ac:dyDescent="0.25">
      <c r="A342" s="54" t="s">
        <v>14</v>
      </c>
      <c r="B342" s="1">
        <v>45265</v>
      </c>
      <c r="C342" s="36">
        <f t="shared" si="54"/>
        <v>42007.200000000004</v>
      </c>
      <c r="D342" s="2">
        <v>17924</v>
      </c>
      <c r="E342" s="36">
        <f t="shared" si="55"/>
        <v>20038.400000000001</v>
      </c>
      <c r="F342" s="2">
        <v>9611</v>
      </c>
      <c r="G342" s="2">
        <f t="shared" si="53"/>
        <v>89580.6</v>
      </c>
      <c r="H342" s="3">
        <f t="shared" si="56"/>
        <v>0.46893188927066798</v>
      </c>
      <c r="I342" s="3">
        <f t="shared" si="57"/>
        <v>0.2236912903016948</v>
      </c>
      <c r="J342" s="3">
        <f t="shared" si="58"/>
        <v>0.20008796547466751</v>
      </c>
      <c r="K342" s="3">
        <f t="shared" si="59"/>
        <v>0.10728885495296972</v>
      </c>
      <c r="L342" s="3">
        <f t="shared" si="60"/>
        <v>0.69262317957236275</v>
      </c>
      <c r="M342" s="56">
        <f t="shared" si="61"/>
        <v>0.3073768204276372</v>
      </c>
      <c r="O342" s="2">
        <v>44629</v>
      </c>
      <c r="R342" s="2">
        <v>30874</v>
      </c>
      <c r="S342" s="36"/>
    </row>
    <row r="343" spans="1:19" hidden="1" x14ac:dyDescent="0.25">
      <c r="A343" s="54" t="s">
        <v>21</v>
      </c>
      <c r="B343" s="1">
        <v>45266</v>
      </c>
      <c r="C343" s="36">
        <f t="shared" si="54"/>
        <v>29575.200000000001</v>
      </c>
      <c r="D343" s="2">
        <v>20674</v>
      </c>
      <c r="E343" s="36">
        <f t="shared" si="55"/>
        <v>16379.2</v>
      </c>
      <c r="F343" s="2">
        <v>10820</v>
      </c>
      <c r="G343" s="2">
        <f t="shared" si="53"/>
        <v>77448.399999999994</v>
      </c>
      <c r="H343" s="3">
        <f t="shared" si="56"/>
        <v>0.38186973520434253</v>
      </c>
      <c r="I343" s="3">
        <f t="shared" si="57"/>
        <v>0.21148532442245421</v>
      </c>
      <c r="J343" s="3">
        <f t="shared" si="58"/>
        <v>0.26693902004431341</v>
      </c>
      <c r="K343" s="3">
        <f t="shared" si="59"/>
        <v>0.13970592032888995</v>
      </c>
      <c r="L343" s="3">
        <f t="shared" si="60"/>
        <v>0.59335505962679669</v>
      </c>
      <c r="M343" s="56">
        <f t="shared" si="61"/>
        <v>0.40664494037320337</v>
      </c>
      <c r="O343" s="2">
        <v>37568</v>
      </c>
      <c r="R343" s="2">
        <v>25978</v>
      </c>
      <c r="S343" s="36"/>
    </row>
    <row r="344" spans="1:19" x14ac:dyDescent="0.25">
      <c r="A344" s="54" t="s">
        <v>26</v>
      </c>
      <c r="B344" s="1">
        <v>45267</v>
      </c>
      <c r="C344" s="36">
        <f t="shared" si="54"/>
        <v>30780</v>
      </c>
      <c r="D344" s="2">
        <v>16548</v>
      </c>
      <c r="E344" s="36">
        <f t="shared" si="55"/>
        <v>12726.400000000001</v>
      </c>
      <c r="F344" s="2">
        <v>9796</v>
      </c>
      <c r="G344" s="2">
        <f t="shared" si="53"/>
        <v>69850.399999999994</v>
      </c>
      <c r="H344" s="3">
        <f t="shared" si="56"/>
        <v>0.44065603060254488</v>
      </c>
      <c r="I344" s="3">
        <f t="shared" si="57"/>
        <v>0.18219509122352917</v>
      </c>
      <c r="J344" s="3">
        <f t="shared" si="58"/>
        <v>0.23690630261244033</v>
      </c>
      <c r="K344" s="3">
        <f t="shared" si="59"/>
        <v>0.1402425755614857</v>
      </c>
      <c r="L344" s="3">
        <f t="shared" si="60"/>
        <v>0.62285112182607405</v>
      </c>
      <c r="M344" s="56">
        <f t="shared" si="61"/>
        <v>0.37714887817392601</v>
      </c>
      <c r="O344" s="2">
        <v>34388</v>
      </c>
      <c r="R344" s="2">
        <v>54571</v>
      </c>
      <c r="S344" s="36"/>
    </row>
    <row r="345" spans="1:19" hidden="1" x14ac:dyDescent="0.25">
      <c r="A345" s="54" t="s">
        <v>7</v>
      </c>
      <c r="B345" s="1">
        <v>45268</v>
      </c>
      <c r="C345" s="36">
        <f t="shared" si="54"/>
        <v>38636</v>
      </c>
      <c r="D345" s="2">
        <v>15227</v>
      </c>
      <c r="E345" s="36">
        <f t="shared" si="55"/>
        <v>35841.599999999999</v>
      </c>
      <c r="F345" s="2">
        <v>14109</v>
      </c>
      <c r="G345" s="2">
        <f t="shared" si="53"/>
        <v>103813.6</v>
      </c>
      <c r="H345" s="3">
        <f t="shared" si="56"/>
        <v>0.37216703784475252</v>
      </c>
      <c r="I345" s="3">
        <f t="shared" si="57"/>
        <v>0.34524956267772233</v>
      </c>
      <c r="J345" s="3">
        <f t="shared" si="58"/>
        <v>0.14667635069008297</v>
      </c>
      <c r="K345" s="3">
        <f t="shared" si="59"/>
        <v>0.13590704878744209</v>
      </c>
      <c r="L345" s="3">
        <f t="shared" si="60"/>
        <v>0.71741660052247491</v>
      </c>
      <c r="M345" s="56">
        <f t="shared" si="61"/>
        <v>0.28258339947752509</v>
      </c>
      <c r="O345" s="2">
        <v>63656</v>
      </c>
      <c r="R345" s="2">
        <v>38244</v>
      </c>
      <c r="S345" s="36"/>
    </row>
    <row r="346" spans="1:19" hidden="1" x14ac:dyDescent="0.25">
      <c r="A346" s="54" t="s">
        <v>30</v>
      </c>
      <c r="B346" s="1">
        <v>45269</v>
      </c>
      <c r="C346" s="36">
        <f t="shared" si="54"/>
        <v>35173.599999999999</v>
      </c>
      <c r="D346" s="2">
        <v>25572</v>
      </c>
      <c r="E346" s="36">
        <f t="shared" si="55"/>
        <v>36306.400000000001</v>
      </c>
      <c r="F346" s="2">
        <v>21053</v>
      </c>
      <c r="G346" s="2">
        <f t="shared" si="53"/>
        <v>118105</v>
      </c>
      <c r="H346" s="3">
        <f t="shared" si="56"/>
        <v>0.29781634985817701</v>
      </c>
      <c r="I346" s="3">
        <f t="shared" si="57"/>
        <v>0.30740781507980186</v>
      </c>
      <c r="J346" s="3">
        <f t="shared" si="58"/>
        <v>0.21651919901782313</v>
      </c>
      <c r="K346" s="3">
        <f t="shared" si="59"/>
        <v>0.17825663604419795</v>
      </c>
      <c r="L346" s="3">
        <f t="shared" si="60"/>
        <v>0.60522416493797893</v>
      </c>
      <c r="M346" s="56">
        <f t="shared" si="61"/>
        <v>0.39477583506202107</v>
      </c>
      <c r="O346" s="2">
        <v>68131</v>
      </c>
      <c r="R346" s="2">
        <v>34125</v>
      </c>
      <c r="S346" s="36"/>
    </row>
    <row r="347" spans="1:19" hidden="1" x14ac:dyDescent="0.25">
      <c r="A347" s="54" t="s">
        <v>31</v>
      </c>
      <c r="B347" s="1">
        <v>45270</v>
      </c>
      <c r="C347" s="36">
        <f t="shared" si="54"/>
        <v>33484</v>
      </c>
      <c r="D347" s="2">
        <v>22934</v>
      </c>
      <c r="E347" s="36">
        <f t="shared" si="55"/>
        <v>39296</v>
      </c>
      <c r="F347" s="2">
        <v>19247</v>
      </c>
      <c r="G347" s="2">
        <f t="shared" si="53"/>
        <v>114961</v>
      </c>
      <c r="H347" s="3">
        <f t="shared" si="56"/>
        <v>0.29126399387618412</v>
      </c>
      <c r="I347" s="3">
        <f t="shared" si="57"/>
        <v>0.34182026948269412</v>
      </c>
      <c r="J347" s="3">
        <f t="shared" si="58"/>
        <v>0.19949374135576414</v>
      </c>
      <c r="K347" s="3">
        <f t="shared" si="59"/>
        <v>0.16742199528535764</v>
      </c>
      <c r="L347" s="3">
        <f t="shared" si="60"/>
        <v>0.63308426335887824</v>
      </c>
      <c r="M347" s="56">
        <f t="shared" si="61"/>
        <v>0.36691573664112176</v>
      </c>
      <c r="O347" s="2">
        <v>30426</v>
      </c>
      <c r="R347" s="2">
        <v>21113</v>
      </c>
      <c r="S347" s="36"/>
    </row>
    <row r="348" spans="1:19" hidden="1" x14ac:dyDescent="0.25">
      <c r="A348" s="54" t="s">
        <v>129</v>
      </c>
      <c r="B348" s="1">
        <v>45271</v>
      </c>
      <c r="C348" s="36">
        <f t="shared" si="54"/>
        <v>43262.400000000001</v>
      </c>
      <c r="D348" s="2">
        <v>22477</v>
      </c>
      <c r="E348" s="36">
        <f t="shared" si="55"/>
        <v>37625.599999999999</v>
      </c>
      <c r="F348" s="2">
        <v>12197</v>
      </c>
      <c r="G348" s="2">
        <f t="shared" si="53"/>
        <v>115562</v>
      </c>
      <c r="H348" s="3">
        <f t="shared" si="56"/>
        <v>0.37436527578269674</v>
      </c>
      <c r="I348" s="3">
        <f t="shared" si="57"/>
        <v>0.32558799605406619</v>
      </c>
      <c r="J348" s="3">
        <f t="shared" si="58"/>
        <v>0.19450165279244042</v>
      </c>
      <c r="K348" s="3">
        <f t="shared" si="59"/>
        <v>0.10554507537079663</v>
      </c>
      <c r="L348" s="3">
        <f t="shared" si="60"/>
        <v>0.69995327183676292</v>
      </c>
      <c r="M348" s="56">
        <f t="shared" si="61"/>
        <v>0.30004672816323708</v>
      </c>
      <c r="O348" s="2">
        <v>31980</v>
      </c>
      <c r="R348" s="2">
        <v>28538</v>
      </c>
      <c r="S348" s="36"/>
    </row>
    <row r="349" spans="1:19" hidden="1" x14ac:dyDescent="0.25">
      <c r="A349" s="54" t="s">
        <v>14</v>
      </c>
      <c r="B349" s="1">
        <v>45272</v>
      </c>
      <c r="C349" s="36">
        <f t="shared" si="54"/>
        <v>46555.200000000004</v>
      </c>
      <c r="D349" s="2">
        <v>16964</v>
      </c>
      <c r="E349" s="36">
        <f t="shared" si="55"/>
        <v>29658.400000000001</v>
      </c>
      <c r="F349" s="2">
        <v>15210</v>
      </c>
      <c r="G349" s="2">
        <f t="shared" si="53"/>
        <v>108387.6</v>
      </c>
      <c r="H349" s="3">
        <f t="shared" si="56"/>
        <v>0.42952514863323848</v>
      </c>
      <c r="I349" s="3">
        <f t="shared" si="57"/>
        <v>0.27363277718115359</v>
      </c>
      <c r="J349" s="3">
        <f t="shared" si="58"/>
        <v>0.15651236857352685</v>
      </c>
      <c r="K349" s="3">
        <f t="shared" si="59"/>
        <v>0.14032970561208108</v>
      </c>
      <c r="L349" s="3">
        <f t="shared" si="60"/>
        <v>0.70315792581439207</v>
      </c>
      <c r="M349" s="56">
        <f t="shared" si="61"/>
        <v>0.29684207418560793</v>
      </c>
      <c r="O349" s="2">
        <v>48565</v>
      </c>
      <c r="R349" s="2">
        <v>31741</v>
      </c>
      <c r="S349" s="36"/>
    </row>
    <row r="350" spans="1:19" hidden="1" x14ac:dyDescent="0.25">
      <c r="A350" s="54" t="s">
        <v>21</v>
      </c>
      <c r="B350" s="1">
        <v>45273</v>
      </c>
      <c r="C350" s="36">
        <f t="shared" si="54"/>
        <v>24908.800000000003</v>
      </c>
      <c r="D350" s="2">
        <v>12842</v>
      </c>
      <c r="E350" s="36">
        <f t="shared" si="55"/>
        <v>26996</v>
      </c>
      <c r="F350" s="2">
        <v>11526</v>
      </c>
      <c r="G350" s="2">
        <f t="shared" si="53"/>
        <v>76272.800000000003</v>
      </c>
      <c r="H350" s="3">
        <f t="shared" si="56"/>
        <v>0.32657513556602091</v>
      </c>
      <c r="I350" s="3">
        <f t="shared" si="57"/>
        <v>0.35394006775678877</v>
      </c>
      <c r="J350" s="3">
        <f t="shared" si="58"/>
        <v>0.16836932694223891</v>
      </c>
      <c r="K350" s="3">
        <f t="shared" si="59"/>
        <v>0.15111546973495138</v>
      </c>
      <c r="L350" s="3">
        <f t="shared" si="60"/>
        <v>0.68051520332280968</v>
      </c>
      <c r="M350" s="56">
        <f t="shared" si="61"/>
        <v>0.31948479667719026</v>
      </c>
      <c r="O350" s="2">
        <v>32163</v>
      </c>
      <c r="R350" s="2">
        <v>12481</v>
      </c>
      <c r="S350" s="36"/>
    </row>
    <row r="351" spans="1:19" x14ac:dyDescent="0.25">
      <c r="A351" s="54" t="s">
        <v>26</v>
      </c>
      <c r="B351" s="1">
        <v>45274</v>
      </c>
      <c r="C351" s="36">
        <f t="shared" si="54"/>
        <v>24432</v>
      </c>
      <c r="D351" s="2">
        <v>14403</v>
      </c>
      <c r="E351" s="36">
        <f t="shared" si="55"/>
        <v>17419.2</v>
      </c>
      <c r="F351" s="2">
        <v>13480</v>
      </c>
      <c r="G351" s="2">
        <f t="shared" si="53"/>
        <v>69734.2</v>
      </c>
      <c r="H351" s="3">
        <f t="shared" si="56"/>
        <v>0.35035893435358834</v>
      </c>
      <c r="I351" s="3">
        <f t="shared" si="57"/>
        <v>0.24979421861869788</v>
      </c>
      <c r="J351" s="3">
        <f t="shared" si="58"/>
        <v>0.20654141009719765</v>
      </c>
      <c r="K351" s="3">
        <f t="shared" si="59"/>
        <v>0.19330543693051616</v>
      </c>
      <c r="L351" s="3">
        <f t="shared" si="60"/>
        <v>0.60015315297228622</v>
      </c>
      <c r="M351" s="56">
        <f t="shared" si="61"/>
        <v>0.39984684702771384</v>
      </c>
      <c r="O351" s="2">
        <v>48752</v>
      </c>
      <c r="R351" s="2">
        <v>42848</v>
      </c>
      <c r="S351" s="36"/>
    </row>
    <row r="352" spans="1:19" hidden="1" x14ac:dyDescent="0.25">
      <c r="A352" s="54" t="s">
        <v>7</v>
      </c>
      <c r="B352" s="1">
        <v>45275</v>
      </c>
      <c r="C352" s="36">
        <f t="shared" si="54"/>
        <v>28353.600000000002</v>
      </c>
      <c r="D352" s="2">
        <v>13947</v>
      </c>
      <c r="E352" s="36">
        <f t="shared" si="55"/>
        <v>29328</v>
      </c>
      <c r="F352" s="2">
        <v>17913</v>
      </c>
      <c r="G352" s="2">
        <f t="shared" si="53"/>
        <v>89541.6</v>
      </c>
      <c r="H352" s="3">
        <f t="shared" si="56"/>
        <v>0.31665281835482056</v>
      </c>
      <c r="I352" s="3">
        <f t="shared" si="57"/>
        <v>0.32753491114744432</v>
      </c>
      <c r="J352" s="3">
        <f t="shared" si="58"/>
        <v>0.15576000428850947</v>
      </c>
      <c r="K352" s="3">
        <f t="shared" si="59"/>
        <v>0.20005226620922564</v>
      </c>
      <c r="L352" s="3">
        <f t="shared" si="60"/>
        <v>0.64418772950226488</v>
      </c>
      <c r="M352" s="56">
        <f t="shared" si="61"/>
        <v>0.35581227049773512</v>
      </c>
      <c r="O352" s="2">
        <v>50001</v>
      </c>
      <c r="R352" s="2">
        <v>39660</v>
      </c>
      <c r="S352" s="36"/>
    </row>
    <row r="353" spans="1:19" hidden="1" x14ac:dyDescent="0.25">
      <c r="A353" s="54" t="s">
        <v>30</v>
      </c>
      <c r="B353" s="1">
        <v>45276</v>
      </c>
      <c r="C353" s="36">
        <f t="shared" si="54"/>
        <v>30726.400000000001</v>
      </c>
      <c r="D353" s="2">
        <v>22517</v>
      </c>
      <c r="E353" s="36">
        <f t="shared" si="55"/>
        <v>31909.600000000002</v>
      </c>
      <c r="F353" s="2">
        <v>22014</v>
      </c>
      <c r="G353" s="2">
        <f t="shared" si="53"/>
        <v>107167</v>
      </c>
      <c r="H353" s="3">
        <f t="shared" si="56"/>
        <v>0.28671512685808132</v>
      </c>
      <c r="I353" s="3">
        <f t="shared" si="57"/>
        <v>0.29775583901760805</v>
      </c>
      <c r="J353" s="3">
        <f t="shared" si="58"/>
        <v>0.21011132158220347</v>
      </c>
      <c r="K353" s="3">
        <f t="shared" si="59"/>
        <v>0.20541771254210717</v>
      </c>
      <c r="L353" s="3">
        <f t="shared" si="60"/>
        <v>0.58447096587568936</v>
      </c>
      <c r="M353" s="56">
        <f t="shared" si="61"/>
        <v>0.41552903412431064</v>
      </c>
      <c r="O353" s="2">
        <v>66838</v>
      </c>
      <c r="R353" s="2">
        <v>43028</v>
      </c>
      <c r="S353" s="36"/>
    </row>
    <row r="354" spans="1:19" hidden="1" x14ac:dyDescent="0.25">
      <c r="A354" s="54" t="s">
        <v>31</v>
      </c>
      <c r="B354" s="1">
        <v>45277</v>
      </c>
      <c r="C354" s="36">
        <f t="shared" si="54"/>
        <v>26988.800000000003</v>
      </c>
      <c r="D354" s="2">
        <v>26827</v>
      </c>
      <c r="E354" s="36">
        <f t="shared" si="55"/>
        <v>37399.200000000004</v>
      </c>
      <c r="F354" s="2">
        <v>24191</v>
      </c>
      <c r="G354" s="2">
        <f t="shared" si="53"/>
        <v>115406</v>
      </c>
      <c r="H354" s="3">
        <f t="shared" si="56"/>
        <v>0.23385959135573542</v>
      </c>
      <c r="I354" s="3">
        <f t="shared" si="57"/>
        <v>0.3240663397050414</v>
      </c>
      <c r="J354" s="3">
        <f t="shared" si="58"/>
        <v>0.23245758452766754</v>
      </c>
      <c r="K354" s="3">
        <f t="shared" si="59"/>
        <v>0.20961648441155573</v>
      </c>
      <c r="L354" s="3">
        <f t="shared" si="60"/>
        <v>0.55792593106077681</v>
      </c>
      <c r="M354" s="56">
        <f t="shared" si="61"/>
        <v>0.44207406893922324</v>
      </c>
      <c r="O354" s="2">
        <v>42838</v>
      </c>
      <c r="R354" s="2">
        <v>21919</v>
      </c>
      <c r="S354" s="36"/>
    </row>
    <row r="355" spans="1:19" hidden="1" x14ac:dyDescent="0.25">
      <c r="A355" s="54" t="s">
        <v>129</v>
      </c>
      <c r="B355" s="1">
        <v>45278</v>
      </c>
      <c r="C355" s="36">
        <f t="shared" si="54"/>
        <v>31291.200000000001</v>
      </c>
      <c r="D355" s="2">
        <v>19859</v>
      </c>
      <c r="E355" s="36">
        <f t="shared" si="55"/>
        <v>25589.600000000002</v>
      </c>
      <c r="F355" s="2">
        <v>13775</v>
      </c>
      <c r="G355" s="2">
        <f t="shared" si="53"/>
        <v>90514.8</v>
      </c>
      <c r="H355" s="3">
        <f t="shared" si="56"/>
        <v>0.34570258123533387</v>
      </c>
      <c r="I355" s="3">
        <f t="shared" si="57"/>
        <v>0.28271177752146615</v>
      </c>
      <c r="J355" s="3">
        <f t="shared" si="58"/>
        <v>0.21940058421385231</v>
      </c>
      <c r="K355" s="3">
        <f t="shared" si="59"/>
        <v>0.15218505702934768</v>
      </c>
      <c r="L355" s="3">
        <f t="shared" si="60"/>
        <v>0.62841435875679996</v>
      </c>
      <c r="M355" s="56">
        <f t="shared" si="61"/>
        <v>0.37158564124319998</v>
      </c>
      <c r="O355" s="2">
        <v>0</v>
      </c>
      <c r="R355" s="2">
        <v>0</v>
      </c>
      <c r="S355" s="36"/>
    </row>
    <row r="356" spans="1:19" hidden="1" x14ac:dyDescent="0.25">
      <c r="A356" s="54" t="s">
        <v>14</v>
      </c>
      <c r="B356" s="1">
        <v>45279</v>
      </c>
      <c r="C356" s="36">
        <f t="shared" si="54"/>
        <v>26671.200000000001</v>
      </c>
      <c r="D356" s="2">
        <v>16990</v>
      </c>
      <c r="E356" s="36">
        <f t="shared" si="55"/>
        <v>23881.600000000002</v>
      </c>
      <c r="F356" s="2">
        <v>13463</v>
      </c>
      <c r="G356" s="2">
        <f t="shared" si="53"/>
        <v>81005.8</v>
      </c>
      <c r="H356" s="3">
        <f t="shared" si="56"/>
        <v>0.32925049811248081</v>
      </c>
      <c r="I356" s="3">
        <f t="shared" si="57"/>
        <v>0.29481345780178703</v>
      </c>
      <c r="J356" s="3">
        <f t="shared" si="58"/>
        <v>0.20973806813833082</v>
      </c>
      <c r="K356" s="3">
        <f t="shared" si="59"/>
        <v>0.16619797594740129</v>
      </c>
      <c r="L356" s="3">
        <f t="shared" si="60"/>
        <v>0.62406395591426789</v>
      </c>
      <c r="M356" s="56">
        <f t="shared" si="61"/>
        <v>0.37593604408573211</v>
      </c>
      <c r="O356" s="2">
        <v>45246</v>
      </c>
      <c r="R356" s="2">
        <v>30716</v>
      </c>
      <c r="S356" s="36"/>
    </row>
    <row r="357" spans="1:19" hidden="1" x14ac:dyDescent="0.25">
      <c r="A357" s="54" t="s">
        <v>21</v>
      </c>
      <c r="B357" s="1">
        <v>45280</v>
      </c>
      <c r="C357" s="36">
        <f t="shared" si="54"/>
        <v>25907.200000000001</v>
      </c>
      <c r="D357" s="2">
        <v>17699</v>
      </c>
      <c r="E357" s="36">
        <f t="shared" si="55"/>
        <v>11662.400000000001</v>
      </c>
      <c r="F357" s="2">
        <v>15726</v>
      </c>
      <c r="G357" s="2">
        <f t="shared" si="53"/>
        <v>70994.600000000006</v>
      </c>
      <c r="H357" s="3">
        <f t="shared" si="56"/>
        <v>0.36491789516385753</v>
      </c>
      <c r="I357" s="3">
        <f t="shared" si="57"/>
        <v>0.1642716488296293</v>
      </c>
      <c r="J357" s="3">
        <f t="shared" si="58"/>
        <v>0.24930065103543084</v>
      </c>
      <c r="K357" s="3">
        <f t="shared" si="59"/>
        <v>0.2215098049710823</v>
      </c>
      <c r="L357" s="3">
        <f t="shared" si="60"/>
        <v>0.52918954399348683</v>
      </c>
      <c r="M357" s="56">
        <f t="shared" si="61"/>
        <v>0.47081045600651311</v>
      </c>
      <c r="O357" s="2">
        <v>53055</v>
      </c>
      <c r="R357" s="2">
        <v>35352</v>
      </c>
      <c r="S357" s="36"/>
    </row>
    <row r="358" spans="1:19" x14ac:dyDescent="0.25">
      <c r="A358" s="54" t="s">
        <v>26</v>
      </c>
      <c r="B358" s="1">
        <v>45281</v>
      </c>
      <c r="C358" s="36">
        <f t="shared" si="54"/>
        <v>28864</v>
      </c>
      <c r="D358" s="2">
        <v>14173</v>
      </c>
      <c r="E358" s="36">
        <f t="shared" si="55"/>
        <v>16409.600000000002</v>
      </c>
      <c r="F358" s="2">
        <v>8126</v>
      </c>
      <c r="G358" s="2">
        <f t="shared" si="53"/>
        <v>67572.600000000006</v>
      </c>
      <c r="H358" s="3">
        <f t="shared" si="56"/>
        <v>0.42715538546689041</v>
      </c>
      <c r="I358" s="3">
        <f t="shared" si="57"/>
        <v>0.2428439929794029</v>
      </c>
      <c r="J358" s="3">
        <f t="shared" si="58"/>
        <v>0.20974477820891899</v>
      </c>
      <c r="K358" s="3">
        <f t="shared" si="59"/>
        <v>0.12025584334478767</v>
      </c>
      <c r="L358" s="3">
        <f t="shared" si="60"/>
        <v>0.66999937844629331</v>
      </c>
      <c r="M358" s="56">
        <f t="shared" si="61"/>
        <v>0.33000062155370663</v>
      </c>
      <c r="O358" s="2">
        <v>42099</v>
      </c>
      <c r="R358" s="2">
        <v>40589</v>
      </c>
      <c r="S358" s="36"/>
    </row>
    <row r="359" spans="1:19" hidden="1" x14ac:dyDescent="0.25">
      <c r="A359" s="54" t="s">
        <v>7</v>
      </c>
      <c r="B359" s="1">
        <v>45282</v>
      </c>
      <c r="C359" s="36">
        <f t="shared" si="54"/>
        <v>31659.200000000001</v>
      </c>
      <c r="D359" s="2">
        <v>8804</v>
      </c>
      <c r="E359" s="36">
        <f t="shared" si="55"/>
        <v>11914.400000000001</v>
      </c>
      <c r="F359" s="2">
        <v>17485</v>
      </c>
      <c r="G359" s="2">
        <f t="shared" si="53"/>
        <v>69862.600000000006</v>
      </c>
      <c r="H359" s="3">
        <f t="shared" si="56"/>
        <v>0.45316378147964714</v>
      </c>
      <c r="I359" s="3">
        <f t="shared" si="57"/>
        <v>0.17054046084743482</v>
      </c>
      <c r="J359" s="3">
        <f t="shared" si="58"/>
        <v>0.12601878544457262</v>
      </c>
      <c r="K359" s="3">
        <f t="shared" si="59"/>
        <v>0.25027697222834533</v>
      </c>
      <c r="L359" s="3">
        <f t="shared" si="60"/>
        <v>0.62370424232708199</v>
      </c>
      <c r="M359" s="56">
        <f t="shared" si="61"/>
        <v>0.37629575767291795</v>
      </c>
      <c r="O359" s="2">
        <v>59056</v>
      </c>
      <c r="R359" s="2">
        <v>40626</v>
      </c>
      <c r="S359" s="36"/>
    </row>
    <row r="360" spans="1:19" hidden="1" x14ac:dyDescent="0.25">
      <c r="A360" s="54" t="s">
        <v>30</v>
      </c>
      <c r="B360" s="1">
        <v>45283</v>
      </c>
      <c r="C360" s="36">
        <f t="shared" si="54"/>
        <v>40410.400000000001</v>
      </c>
      <c r="D360" s="2">
        <v>20651</v>
      </c>
      <c r="E360" s="36">
        <f t="shared" si="55"/>
        <v>21970.400000000001</v>
      </c>
      <c r="F360" s="2">
        <v>20806</v>
      </c>
      <c r="G360" s="2">
        <f t="shared" si="53"/>
        <v>103837.8</v>
      </c>
      <c r="H360" s="3">
        <f t="shared" si="56"/>
        <v>0.38916849162828948</v>
      </c>
      <c r="I360" s="3">
        <f t="shared" si="57"/>
        <v>0.2115838355589198</v>
      </c>
      <c r="J360" s="3">
        <f t="shared" si="58"/>
        <v>0.19887748006987821</v>
      </c>
      <c r="K360" s="3">
        <f t="shared" si="59"/>
        <v>0.20037019274291251</v>
      </c>
      <c r="L360" s="3">
        <f t="shared" si="60"/>
        <v>0.60075232718720928</v>
      </c>
      <c r="M360" s="56">
        <f t="shared" si="61"/>
        <v>0.39924767281279072</v>
      </c>
      <c r="O360" s="2">
        <v>61369</v>
      </c>
      <c r="R360" s="2">
        <v>26023</v>
      </c>
      <c r="S360" s="36"/>
    </row>
    <row r="361" spans="1:19" hidden="1" x14ac:dyDescent="0.25">
      <c r="A361" s="54" t="s">
        <v>31</v>
      </c>
      <c r="B361" s="1">
        <v>45284</v>
      </c>
      <c r="C361" s="36">
        <f t="shared" si="54"/>
        <v>29770.400000000001</v>
      </c>
      <c r="D361" s="2">
        <v>23997</v>
      </c>
      <c r="E361" s="36">
        <f t="shared" si="55"/>
        <v>10339.200000000001</v>
      </c>
      <c r="F361" s="2">
        <v>10224</v>
      </c>
      <c r="G361" s="2">
        <f t="shared" si="53"/>
        <v>74330.600000000006</v>
      </c>
      <c r="H361" s="3">
        <f t="shared" si="56"/>
        <v>0.40051338210642723</v>
      </c>
      <c r="I361" s="3">
        <f t="shared" si="57"/>
        <v>0.13909749147726508</v>
      </c>
      <c r="J361" s="3">
        <f t="shared" si="58"/>
        <v>0.32284146771316252</v>
      </c>
      <c r="K361" s="3">
        <f t="shared" si="59"/>
        <v>0.13754765870314511</v>
      </c>
      <c r="L361" s="3">
        <f t="shared" si="60"/>
        <v>0.53961087358369231</v>
      </c>
      <c r="M361" s="56">
        <f t="shared" si="61"/>
        <v>0.46038912641630764</v>
      </c>
      <c r="O361" s="2">
        <v>45120</v>
      </c>
      <c r="R361" s="2">
        <v>40730</v>
      </c>
      <c r="S361" s="36"/>
    </row>
    <row r="362" spans="1:19" hidden="1" x14ac:dyDescent="0.25">
      <c r="A362" s="54" t="s">
        <v>129</v>
      </c>
      <c r="B362" s="1">
        <v>45285</v>
      </c>
      <c r="C362" s="36">
        <f t="shared" si="54"/>
        <v>0</v>
      </c>
      <c r="D362" s="2">
        <v>0</v>
      </c>
      <c r="E362" s="36">
        <f t="shared" si="55"/>
        <v>0</v>
      </c>
      <c r="F362" s="2">
        <v>0</v>
      </c>
      <c r="G362" s="2">
        <f t="shared" si="53"/>
        <v>0</v>
      </c>
      <c r="H362" s="3">
        <f t="shared" si="56"/>
        <v>0</v>
      </c>
      <c r="I362" s="3">
        <f t="shared" si="57"/>
        <v>0</v>
      </c>
      <c r="J362" s="3">
        <f t="shared" si="58"/>
        <v>0</v>
      </c>
      <c r="K362" s="3">
        <f t="shared" si="59"/>
        <v>0</v>
      </c>
      <c r="L362" s="3">
        <f t="shared" si="60"/>
        <v>0</v>
      </c>
      <c r="M362" s="56">
        <f t="shared" si="61"/>
        <v>0</v>
      </c>
      <c r="O362" s="2">
        <v>25623</v>
      </c>
      <c r="R362" s="2">
        <v>17694</v>
      </c>
      <c r="S362" s="36"/>
    </row>
    <row r="363" spans="1:19" hidden="1" x14ac:dyDescent="0.25">
      <c r="A363" s="54" t="s">
        <v>14</v>
      </c>
      <c r="B363" s="1">
        <v>45286</v>
      </c>
      <c r="C363" s="36">
        <f t="shared" si="54"/>
        <v>30169.600000000002</v>
      </c>
      <c r="D363" s="2">
        <v>18637</v>
      </c>
      <c r="E363" s="36">
        <f t="shared" si="55"/>
        <v>28336</v>
      </c>
      <c r="F363" s="2">
        <v>17361</v>
      </c>
      <c r="G363" s="2">
        <f t="shared" si="53"/>
        <v>94503.6</v>
      </c>
      <c r="H363" s="3">
        <f t="shared" si="56"/>
        <v>0.31924286482208086</v>
      </c>
      <c r="I363" s="3">
        <f t="shared" si="57"/>
        <v>0.29984042935930483</v>
      </c>
      <c r="J363" s="3">
        <f t="shared" si="58"/>
        <v>0.19720941847717968</v>
      </c>
      <c r="K363" s="3">
        <f t="shared" si="59"/>
        <v>0.1837072873414346</v>
      </c>
      <c r="L363" s="3">
        <f t="shared" si="60"/>
        <v>0.61908329418138575</v>
      </c>
      <c r="M363" s="56">
        <f t="shared" si="61"/>
        <v>0.38091670581861431</v>
      </c>
      <c r="O363" s="2">
        <v>55822</v>
      </c>
      <c r="R363" s="2">
        <v>31632</v>
      </c>
      <c r="S363" s="36"/>
    </row>
    <row r="364" spans="1:19" hidden="1" x14ac:dyDescent="0.25">
      <c r="A364" s="54" t="s">
        <v>21</v>
      </c>
      <c r="B364" s="1">
        <v>45287</v>
      </c>
      <c r="C364" s="36">
        <f t="shared" si="54"/>
        <v>26864.800000000003</v>
      </c>
      <c r="D364" s="2">
        <v>22964</v>
      </c>
      <c r="E364" s="36">
        <f t="shared" si="55"/>
        <v>17072.8</v>
      </c>
      <c r="F364" s="2">
        <v>10229</v>
      </c>
      <c r="G364" s="2">
        <f t="shared" si="53"/>
        <v>77130.600000000006</v>
      </c>
      <c r="H364" s="3">
        <f t="shared" si="56"/>
        <v>0.34830274884416823</v>
      </c>
      <c r="I364" s="3">
        <f t="shared" si="57"/>
        <v>0.22134924400951111</v>
      </c>
      <c r="J364" s="3">
        <f t="shared" si="58"/>
        <v>0.29772878727768226</v>
      </c>
      <c r="K364" s="3">
        <f t="shared" si="59"/>
        <v>0.13261921986863837</v>
      </c>
      <c r="L364" s="3">
        <f t="shared" si="60"/>
        <v>0.5696519928536794</v>
      </c>
      <c r="M364" s="56">
        <f t="shared" si="61"/>
        <v>0.4303480071463206</v>
      </c>
      <c r="O364" s="2">
        <v>38208</v>
      </c>
      <c r="R364" s="2">
        <v>45734</v>
      </c>
      <c r="S364" s="36"/>
    </row>
    <row r="365" spans="1:19" x14ac:dyDescent="0.25">
      <c r="A365" s="54" t="s">
        <v>26</v>
      </c>
      <c r="B365" s="1">
        <v>45288</v>
      </c>
      <c r="C365" s="36">
        <f t="shared" si="54"/>
        <v>26882.400000000001</v>
      </c>
      <c r="D365" s="2">
        <v>19436</v>
      </c>
      <c r="E365" s="36">
        <f t="shared" si="55"/>
        <v>20106.400000000001</v>
      </c>
      <c r="F365" s="2">
        <v>10627</v>
      </c>
      <c r="G365" s="2">
        <f t="shared" si="53"/>
        <v>77051.8</v>
      </c>
      <c r="H365" s="3">
        <f t="shared" si="56"/>
        <v>0.34888737187190955</v>
      </c>
      <c r="I365" s="3">
        <f t="shared" si="57"/>
        <v>0.26094653207322865</v>
      </c>
      <c r="J365" s="3">
        <f t="shared" si="58"/>
        <v>0.25224589172478773</v>
      </c>
      <c r="K365" s="3">
        <f t="shared" si="59"/>
        <v>0.13792020433007404</v>
      </c>
      <c r="L365" s="3">
        <f t="shared" si="60"/>
        <v>0.60983390394513826</v>
      </c>
      <c r="M365" s="56">
        <f t="shared" si="61"/>
        <v>0.3901660960548618</v>
      </c>
      <c r="O365" s="2">
        <v>43065</v>
      </c>
      <c r="R365" s="2">
        <v>71997</v>
      </c>
      <c r="S365" s="36"/>
    </row>
    <row r="366" spans="1:19" hidden="1" x14ac:dyDescent="0.25">
      <c r="A366" s="54" t="s">
        <v>7</v>
      </c>
      <c r="B366" s="1">
        <v>45289</v>
      </c>
      <c r="C366" s="36">
        <f t="shared" si="54"/>
        <v>33641.599999999999</v>
      </c>
      <c r="D366" s="2">
        <v>15351</v>
      </c>
      <c r="E366" s="36">
        <f t="shared" si="55"/>
        <v>26408.800000000003</v>
      </c>
      <c r="F366" s="2">
        <v>15554</v>
      </c>
      <c r="G366" s="2">
        <f t="shared" si="53"/>
        <v>90955.4</v>
      </c>
      <c r="H366" s="3">
        <f t="shared" si="56"/>
        <v>0.36986918863530915</v>
      </c>
      <c r="I366" s="3">
        <f t="shared" si="57"/>
        <v>0.29034889627223898</v>
      </c>
      <c r="J366" s="3">
        <f t="shared" si="58"/>
        <v>0.16877502600175473</v>
      </c>
      <c r="K366" s="3">
        <f t="shared" si="59"/>
        <v>0.17100688909069722</v>
      </c>
      <c r="L366" s="3">
        <f t="shared" si="60"/>
        <v>0.66021808490754819</v>
      </c>
      <c r="M366" s="56">
        <f t="shared" si="61"/>
        <v>0.33978191509245192</v>
      </c>
      <c r="O366" s="2">
        <v>53889</v>
      </c>
      <c r="R366" s="2">
        <v>52943</v>
      </c>
      <c r="S366" s="36"/>
    </row>
    <row r="367" spans="1:19" hidden="1" x14ac:dyDescent="0.25">
      <c r="A367" s="54" t="s">
        <v>30</v>
      </c>
      <c r="B367" s="1">
        <v>45290</v>
      </c>
      <c r="C367" s="36">
        <f t="shared" si="54"/>
        <v>47972.800000000003</v>
      </c>
      <c r="D367" s="2">
        <v>18359</v>
      </c>
      <c r="E367" s="36">
        <f t="shared" si="55"/>
        <v>31792.800000000003</v>
      </c>
      <c r="F367" s="2">
        <v>22165</v>
      </c>
      <c r="G367" s="2">
        <f t="shared" si="53"/>
        <v>120289.60000000001</v>
      </c>
      <c r="H367" s="3">
        <f t="shared" si="56"/>
        <v>0.39881086976762747</v>
      </c>
      <c r="I367" s="3">
        <f t="shared" si="57"/>
        <v>0.26430215080938002</v>
      </c>
      <c r="J367" s="3">
        <f t="shared" si="58"/>
        <v>0.15262333568321781</v>
      </c>
      <c r="K367" s="3">
        <f t="shared" si="59"/>
        <v>0.18426364373977466</v>
      </c>
      <c r="L367" s="3">
        <f t="shared" si="60"/>
        <v>0.66311302057700749</v>
      </c>
      <c r="M367" s="56">
        <f t="shared" si="61"/>
        <v>0.33688697942299251</v>
      </c>
      <c r="O367" s="2">
        <v>52509</v>
      </c>
      <c r="R367" s="2">
        <v>25048</v>
      </c>
      <c r="S367" s="36"/>
    </row>
    <row r="368" spans="1:19" hidden="1" x14ac:dyDescent="0.25">
      <c r="A368" s="54" t="s">
        <v>31</v>
      </c>
      <c r="B368" s="1">
        <v>45657</v>
      </c>
      <c r="C368" s="36">
        <f t="shared" si="54"/>
        <v>30318.400000000001</v>
      </c>
      <c r="D368" s="2">
        <v>24992</v>
      </c>
      <c r="E368" s="36">
        <f t="shared" si="55"/>
        <v>14864.800000000001</v>
      </c>
      <c r="F368" s="2">
        <v>12399</v>
      </c>
      <c r="G368" s="2">
        <f t="shared" si="53"/>
        <v>82574.2</v>
      </c>
      <c r="H368" s="3">
        <f t="shared" si="56"/>
        <v>0.36716553112231182</v>
      </c>
      <c r="I368" s="3">
        <f t="shared" si="57"/>
        <v>0.18001748730232933</v>
      </c>
      <c r="J368" s="3">
        <f t="shared" si="58"/>
        <v>0.30266112175473697</v>
      </c>
      <c r="K368" s="3">
        <f t="shared" si="59"/>
        <v>0.15015585982062193</v>
      </c>
      <c r="L368" s="3">
        <f t="shared" si="60"/>
        <v>0.54718301842464123</v>
      </c>
      <c r="M368" s="56">
        <f t="shared" si="61"/>
        <v>0.45281698157535888</v>
      </c>
      <c r="O368" s="2">
        <v>36969</v>
      </c>
      <c r="R368" s="2">
        <v>20474</v>
      </c>
      <c r="S368" s="36"/>
    </row>
    <row r="369" spans="1:19" hidden="1" x14ac:dyDescent="0.25">
      <c r="A369" s="54" t="s">
        <v>129</v>
      </c>
      <c r="B369" s="1">
        <v>45292</v>
      </c>
      <c r="C369" s="36">
        <f t="shared" si="54"/>
        <v>0</v>
      </c>
      <c r="D369" s="2">
        <v>0</v>
      </c>
      <c r="E369" s="36">
        <f t="shared" si="55"/>
        <v>0</v>
      </c>
      <c r="F369" s="2">
        <v>0</v>
      </c>
      <c r="G369" s="2">
        <f t="shared" si="53"/>
        <v>0</v>
      </c>
      <c r="H369" s="3">
        <f t="shared" si="56"/>
        <v>0</v>
      </c>
      <c r="I369" s="3">
        <f t="shared" si="57"/>
        <v>0</v>
      </c>
      <c r="J369" s="3">
        <f t="shared" si="58"/>
        <v>0</v>
      </c>
      <c r="K369" s="3">
        <f t="shared" si="59"/>
        <v>0</v>
      </c>
      <c r="L369" s="3">
        <f t="shared" si="60"/>
        <v>0</v>
      </c>
      <c r="M369" s="56">
        <f t="shared" si="61"/>
        <v>0</v>
      </c>
      <c r="O369" s="2">
        <v>38475</v>
      </c>
      <c r="R369" s="2">
        <v>15908</v>
      </c>
      <c r="S369" s="36"/>
    </row>
    <row r="370" spans="1:19" hidden="1" x14ac:dyDescent="0.25">
      <c r="A370" s="54" t="s">
        <v>14</v>
      </c>
      <c r="B370" s="1">
        <v>45293</v>
      </c>
      <c r="C370" s="36">
        <f t="shared" si="54"/>
        <v>28792.800000000003</v>
      </c>
      <c r="D370" s="2">
        <v>21273</v>
      </c>
      <c r="E370" s="36">
        <f t="shared" si="55"/>
        <v>31556.800000000003</v>
      </c>
      <c r="F370" s="2">
        <v>15606</v>
      </c>
      <c r="G370" s="2">
        <f t="shared" si="53"/>
        <v>97228.6</v>
      </c>
      <c r="H370" s="3">
        <f t="shared" si="56"/>
        <v>0.29613508782395304</v>
      </c>
      <c r="I370" s="3">
        <f t="shared" si="57"/>
        <v>0.32456293724274543</v>
      </c>
      <c r="J370" s="3">
        <f t="shared" si="58"/>
        <v>0.21879364713674782</v>
      </c>
      <c r="K370" s="3">
        <f t="shared" si="59"/>
        <v>0.16050832779655369</v>
      </c>
      <c r="L370" s="3">
        <f t="shared" si="60"/>
        <v>0.62069802506669847</v>
      </c>
      <c r="M370" s="56">
        <f t="shared" si="61"/>
        <v>0.37930197493330148</v>
      </c>
      <c r="O370" s="2">
        <v>48295</v>
      </c>
      <c r="R370" s="2">
        <v>44802</v>
      </c>
      <c r="S370" s="36"/>
    </row>
    <row r="371" spans="1:19" hidden="1" x14ac:dyDescent="0.25">
      <c r="A371" s="54" t="s">
        <v>21</v>
      </c>
      <c r="B371" s="1">
        <v>45294</v>
      </c>
      <c r="C371" s="36">
        <f t="shared" si="54"/>
        <v>20860</v>
      </c>
      <c r="D371" s="2">
        <v>18121</v>
      </c>
      <c r="E371" s="36">
        <f t="shared" si="55"/>
        <v>17316.8</v>
      </c>
      <c r="F371" s="2">
        <v>13212</v>
      </c>
      <c r="G371" s="2">
        <f t="shared" si="53"/>
        <v>69509.8</v>
      </c>
      <c r="H371" s="3">
        <f t="shared" si="56"/>
        <v>0.30010156841193614</v>
      </c>
      <c r="I371" s="3">
        <f t="shared" si="57"/>
        <v>0.24912746116374956</v>
      </c>
      <c r="J371" s="3">
        <f t="shared" si="58"/>
        <v>0.26069705278967858</v>
      </c>
      <c r="K371" s="3">
        <f t="shared" si="59"/>
        <v>0.19007391763463569</v>
      </c>
      <c r="L371" s="3">
        <f t="shared" si="60"/>
        <v>0.54922902957568576</v>
      </c>
      <c r="M371" s="56">
        <f t="shared" si="61"/>
        <v>0.45077097042431424</v>
      </c>
      <c r="O371" s="2">
        <v>43967</v>
      </c>
      <c r="R371" s="2">
        <v>45383</v>
      </c>
      <c r="S371" s="36"/>
    </row>
    <row r="372" spans="1:19" x14ac:dyDescent="0.25">
      <c r="A372" s="54" t="s">
        <v>26</v>
      </c>
      <c r="B372" s="1">
        <v>45295</v>
      </c>
      <c r="C372" s="36">
        <f t="shared" si="54"/>
        <v>20976</v>
      </c>
      <c r="D372" s="2">
        <v>14616</v>
      </c>
      <c r="E372" s="36">
        <f t="shared" si="55"/>
        <v>13169.6</v>
      </c>
      <c r="F372" s="2">
        <v>6912</v>
      </c>
      <c r="G372" s="2">
        <f t="shared" si="53"/>
        <v>55673.599999999999</v>
      </c>
      <c r="H372" s="3">
        <f t="shared" si="56"/>
        <v>0.37676744453385447</v>
      </c>
      <c r="I372" s="3">
        <f t="shared" si="57"/>
        <v>0.23655017818140017</v>
      </c>
      <c r="J372" s="3">
        <f t="shared" si="58"/>
        <v>0.26253017588228533</v>
      </c>
      <c r="K372" s="3">
        <f t="shared" si="59"/>
        <v>0.12415220140246006</v>
      </c>
      <c r="L372" s="3">
        <f t="shared" si="60"/>
        <v>0.61331762271525458</v>
      </c>
      <c r="M372" s="56">
        <f t="shared" si="61"/>
        <v>0.38668237728474536</v>
      </c>
      <c r="O372" s="2">
        <v>41855</v>
      </c>
      <c r="R372" s="2">
        <v>49120</v>
      </c>
      <c r="S372" s="36"/>
    </row>
    <row r="373" spans="1:19" hidden="1" x14ac:dyDescent="0.25">
      <c r="A373" s="54" t="s">
        <v>7</v>
      </c>
      <c r="B373" s="1">
        <v>45296</v>
      </c>
      <c r="C373" s="36">
        <f t="shared" si="54"/>
        <v>29859.200000000001</v>
      </c>
      <c r="D373" s="2">
        <v>16075</v>
      </c>
      <c r="E373" s="36">
        <f t="shared" si="55"/>
        <v>18481.600000000002</v>
      </c>
      <c r="F373" s="2">
        <v>16898</v>
      </c>
      <c r="G373" s="2">
        <f t="shared" si="53"/>
        <v>81313.8</v>
      </c>
      <c r="H373" s="3">
        <f t="shared" si="56"/>
        <v>0.36720950195415786</v>
      </c>
      <c r="I373" s="3">
        <f t="shared" si="57"/>
        <v>0.22728737311501862</v>
      </c>
      <c r="J373" s="3">
        <f t="shared" si="58"/>
        <v>0.19769092085230305</v>
      </c>
      <c r="K373" s="3">
        <f t="shared" si="59"/>
        <v>0.2078122040785205</v>
      </c>
      <c r="L373" s="3">
        <f t="shared" si="60"/>
        <v>0.59449687506917648</v>
      </c>
      <c r="M373" s="56">
        <f t="shared" si="61"/>
        <v>0.40550312493082352</v>
      </c>
      <c r="O373" s="2">
        <v>54078</v>
      </c>
      <c r="R373" s="2">
        <v>47032</v>
      </c>
      <c r="S373" s="36"/>
    </row>
    <row r="374" spans="1:19" hidden="1" x14ac:dyDescent="0.25">
      <c r="A374" s="54" t="s">
        <v>30</v>
      </c>
      <c r="B374" s="1">
        <v>45297</v>
      </c>
      <c r="C374" s="36">
        <f t="shared" si="54"/>
        <v>30289.600000000002</v>
      </c>
      <c r="D374" s="2">
        <v>27595</v>
      </c>
      <c r="E374" s="36">
        <f t="shared" si="55"/>
        <v>36857.599999999999</v>
      </c>
      <c r="F374" s="2">
        <v>19143</v>
      </c>
      <c r="G374" s="2">
        <f t="shared" si="53"/>
        <v>113885.20000000001</v>
      </c>
      <c r="H374" s="3">
        <f t="shared" si="56"/>
        <v>0.26596607812077422</v>
      </c>
      <c r="I374" s="3">
        <f t="shared" si="57"/>
        <v>0.32363819003698457</v>
      </c>
      <c r="J374" s="3">
        <f t="shared" si="58"/>
        <v>0.24230540930691608</v>
      </c>
      <c r="K374" s="3">
        <f t="shared" si="59"/>
        <v>0.16809032253532502</v>
      </c>
      <c r="L374" s="3">
        <f t="shared" si="60"/>
        <v>0.58960426815775879</v>
      </c>
      <c r="M374" s="56">
        <f t="shared" si="61"/>
        <v>0.4103957318422411</v>
      </c>
      <c r="O374" s="2">
        <v>58194</v>
      </c>
      <c r="R374" s="2">
        <v>37073</v>
      </c>
      <c r="S374" s="36"/>
    </row>
    <row r="375" spans="1:19" hidden="1" x14ac:dyDescent="0.25">
      <c r="A375" s="54" t="s">
        <v>31</v>
      </c>
      <c r="B375" s="1">
        <v>45298</v>
      </c>
      <c r="C375" s="36">
        <f t="shared" si="54"/>
        <v>32529.600000000002</v>
      </c>
      <c r="D375" s="2">
        <v>24148</v>
      </c>
      <c r="E375" s="36">
        <f t="shared" si="55"/>
        <v>25635.200000000001</v>
      </c>
      <c r="F375" s="2">
        <v>18812</v>
      </c>
      <c r="G375" s="2">
        <f t="shared" si="53"/>
        <v>101124.8</v>
      </c>
      <c r="H375" s="3">
        <f t="shared" si="56"/>
        <v>0.32167776846035789</v>
      </c>
      <c r="I375" s="3">
        <f t="shared" si="57"/>
        <v>0.25350062497033371</v>
      </c>
      <c r="J375" s="3">
        <f t="shared" si="58"/>
        <v>0.23879404458649114</v>
      </c>
      <c r="K375" s="3">
        <f t="shared" si="59"/>
        <v>0.18602756198281725</v>
      </c>
      <c r="L375" s="3">
        <f t="shared" si="60"/>
        <v>0.57517839343069155</v>
      </c>
      <c r="M375" s="56">
        <f t="shared" si="61"/>
        <v>0.4248216065693084</v>
      </c>
      <c r="O375" s="2">
        <v>31136</v>
      </c>
      <c r="R375" s="2">
        <v>33745</v>
      </c>
      <c r="S375" s="36"/>
    </row>
    <row r="376" spans="1:19" hidden="1" x14ac:dyDescent="0.25">
      <c r="A376" s="54" t="s">
        <v>129</v>
      </c>
      <c r="B376" s="1">
        <v>45299</v>
      </c>
      <c r="C376" s="36">
        <f t="shared" si="54"/>
        <v>23540</v>
      </c>
      <c r="D376" s="2">
        <v>15626</v>
      </c>
      <c r="E376" s="36">
        <f t="shared" si="55"/>
        <v>32410.400000000001</v>
      </c>
      <c r="F376" s="2">
        <v>13285</v>
      </c>
      <c r="G376" s="2">
        <f t="shared" si="53"/>
        <v>84861.4</v>
      </c>
      <c r="H376" s="3">
        <f t="shared" si="56"/>
        <v>0.27739349103361483</v>
      </c>
      <c r="I376" s="3">
        <f t="shared" si="57"/>
        <v>0.38192158036516016</v>
      </c>
      <c r="J376" s="3">
        <f t="shared" si="58"/>
        <v>0.18413554336836302</v>
      </c>
      <c r="K376" s="3">
        <f t="shared" si="59"/>
        <v>0.15654938523286208</v>
      </c>
      <c r="L376" s="3">
        <f t="shared" si="60"/>
        <v>0.65931507139877499</v>
      </c>
      <c r="M376" s="56">
        <f t="shared" si="61"/>
        <v>0.34068492860122507</v>
      </c>
      <c r="O376" s="2">
        <v>30540</v>
      </c>
      <c r="R376" s="2">
        <v>21774</v>
      </c>
      <c r="S376" s="36"/>
    </row>
    <row r="377" spans="1:19" hidden="1" x14ac:dyDescent="0.25">
      <c r="A377" s="54" t="s">
        <v>14</v>
      </c>
      <c r="B377" s="1">
        <v>45300</v>
      </c>
      <c r="C377" s="36">
        <f t="shared" si="54"/>
        <v>28814.400000000001</v>
      </c>
      <c r="D377" s="2">
        <v>12365</v>
      </c>
      <c r="E377" s="36">
        <f t="shared" si="55"/>
        <v>19363.2</v>
      </c>
      <c r="F377" s="2">
        <v>10288</v>
      </c>
      <c r="G377" s="2">
        <f t="shared" si="53"/>
        <v>70830.600000000006</v>
      </c>
      <c r="H377" s="3">
        <f t="shared" si="56"/>
        <v>0.40680722738477437</v>
      </c>
      <c r="I377" s="3">
        <f t="shared" si="57"/>
        <v>0.27337337252543392</v>
      </c>
      <c r="J377" s="3">
        <f t="shared" si="58"/>
        <v>0.17457144228624349</v>
      </c>
      <c r="K377" s="3">
        <f t="shared" si="59"/>
        <v>0.14524795780354818</v>
      </c>
      <c r="L377" s="3">
        <f t="shared" si="60"/>
        <v>0.68018059991020829</v>
      </c>
      <c r="M377" s="56">
        <f t="shared" si="61"/>
        <v>0.31981940008979165</v>
      </c>
      <c r="O377" s="2">
        <v>35442</v>
      </c>
      <c r="R377" s="2">
        <v>36660</v>
      </c>
      <c r="S377" s="36"/>
    </row>
    <row r="378" spans="1:19" hidden="1" x14ac:dyDescent="0.25">
      <c r="A378" s="54" t="s">
        <v>21</v>
      </c>
      <c r="B378" s="1">
        <v>45301</v>
      </c>
      <c r="C378" s="36">
        <f t="shared" si="54"/>
        <v>16144.800000000001</v>
      </c>
      <c r="D378" s="2">
        <v>11802</v>
      </c>
      <c r="E378" s="36">
        <f t="shared" si="55"/>
        <v>25972</v>
      </c>
      <c r="F378" s="2">
        <v>12701</v>
      </c>
      <c r="G378" s="2">
        <f t="shared" si="53"/>
        <v>66619.8</v>
      </c>
      <c r="H378" s="3">
        <f t="shared" si="56"/>
        <v>0.2423423666837787</v>
      </c>
      <c r="I378" s="3">
        <f t="shared" si="57"/>
        <v>0.38985406740938877</v>
      </c>
      <c r="J378" s="3">
        <f t="shared" si="58"/>
        <v>0.17715453964136788</v>
      </c>
      <c r="K378" s="3">
        <f t="shared" si="59"/>
        <v>0.19064902626546462</v>
      </c>
      <c r="L378" s="3">
        <f t="shared" si="60"/>
        <v>0.6321964340931675</v>
      </c>
      <c r="M378" s="56">
        <f t="shared" si="61"/>
        <v>0.3678035659068325</v>
      </c>
      <c r="O378" s="2">
        <v>38408</v>
      </c>
      <c r="R378" s="2">
        <v>39887</v>
      </c>
      <c r="S378" s="36"/>
    </row>
    <row r="379" spans="1:19" x14ac:dyDescent="0.25">
      <c r="A379" s="54" t="s">
        <v>26</v>
      </c>
      <c r="B379" s="1">
        <v>45302</v>
      </c>
      <c r="C379" s="36">
        <f t="shared" si="54"/>
        <v>14577.6</v>
      </c>
      <c r="D379" s="2">
        <v>15027</v>
      </c>
      <c r="E379" s="36">
        <f t="shared" si="55"/>
        <v>14276.800000000001</v>
      </c>
      <c r="F379" s="2">
        <v>11699</v>
      </c>
      <c r="G379" s="2">
        <f t="shared" si="53"/>
        <v>55580.4</v>
      </c>
      <c r="H379" s="3">
        <f t="shared" si="56"/>
        <v>0.26227950860375238</v>
      </c>
      <c r="I379" s="3">
        <f t="shared" si="57"/>
        <v>0.25686752884110226</v>
      </c>
      <c r="J379" s="3">
        <f t="shared" si="58"/>
        <v>0.27036509273053089</v>
      </c>
      <c r="K379" s="3">
        <f t="shared" si="59"/>
        <v>0.21048786982461443</v>
      </c>
      <c r="L379" s="3">
        <f t="shared" si="60"/>
        <v>0.51914703744485469</v>
      </c>
      <c r="M379" s="56">
        <f t="shared" si="61"/>
        <v>0.48085296255514531</v>
      </c>
      <c r="O379" s="2">
        <v>33736</v>
      </c>
      <c r="R379" s="2">
        <v>46749</v>
      </c>
      <c r="S379" s="36"/>
    </row>
    <row r="380" spans="1:19" hidden="1" x14ac:dyDescent="0.25">
      <c r="A380" s="54" t="s">
        <v>7</v>
      </c>
      <c r="B380" s="1">
        <v>45303</v>
      </c>
      <c r="C380" s="36">
        <f t="shared" si="54"/>
        <v>28351.200000000001</v>
      </c>
      <c r="D380" s="2">
        <v>13244</v>
      </c>
      <c r="E380" s="36">
        <f t="shared" si="55"/>
        <v>23240</v>
      </c>
      <c r="F380" s="2">
        <v>19689</v>
      </c>
      <c r="G380" s="2">
        <f t="shared" si="53"/>
        <v>84524.2</v>
      </c>
      <c r="H380" s="3">
        <f t="shared" si="56"/>
        <v>0.33542109833633449</v>
      </c>
      <c r="I380" s="3">
        <f t="shared" si="57"/>
        <v>0.27495084248061502</v>
      </c>
      <c r="J380" s="3">
        <f t="shared" si="58"/>
        <v>0.15668885360642279</v>
      </c>
      <c r="K380" s="3">
        <f t="shared" si="59"/>
        <v>0.23293920557662776</v>
      </c>
      <c r="L380" s="3">
        <f t="shared" si="60"/>
        <v>0.61037194081694945</v>
      </c>
      <c r="M380" s="56">
        <f t="shared" si="61"/>
        <v>0.38962805918305055</v>
      </c>
      <c r="O380" s="2">
        <v>39114</v>
      </c>
      <c r="R380" s="2">
        <v>31987</v>
      </c>
      <c r="S380" s="36"/>
    </row>
    <row r="381" spans="1:19" hidden="1" x14ac:dyDescent="0.25">
      <c r="A381" s="54" t="s">
        <v>30</v>
      </c>
      <c r="B381" s="1">
        <v>45304</v>
      </c>
      <c r="C381" s="36">
        <f t="shared" si="54"/>
        <v>39611.200000000004</v>
      </c>
      <c r="D381" s="2">
        <v>22358</v>
      </c>
      <c r="E381" s="36">
        <f t="shared" si="55"/>
        <v>29617.600000000002</v>
      </c>
      <c r="F381" s="2">
        <v>18424</v>
      </c>
      <c r="G381" s="2">
        <f t="shared" si="53"/>
        <v>110010.8</v>
      </c>
      <c r="H381" s="3">
        <f t="shared" si="56"/>
        <v>0.36006646620150023</v>
      </c>
      <c r="I381" s="3">
        <f t="shared" si="57"/>
        <v>0.26922447614234241</v>
      </c>
      <c r="J381" s="3">
        <f t="shared" si="58"/>
        <v>0.20323459151283327</v>
      </c>
      <c r="K381" s="3">
        <f t="shared" si="59"/>
        <v>0.16747446614332412</v>
      </c>
      <c r="L381" s="3">
        <f t="shared" si="60"/>
        <v>0.62929094234384264</v>
      </c>
      <c r="M381" s="56">
        <f t="shared" si="61"/>
        <v>0.37070905765615736</v>
      </c>
      <c r="O381" s="2">
        <v>33339</v>
      </c>
      <c r="R381" s="2">
        <v>29852</v>
      </c>
      <c r="S381" s="36"/>
    </row>
    <row r="382" spans="1:19" hidden="1" x14ac:dyDescent="0.25">
      <c r="A382" s="54" t="s">
        <v>31</v>
      </c>
      <c r="B382" s="1">
        <v>45305</v>
      </c>
      <c r="C382" s="36">
        <f t="shared" si="54"/>
        <v>21260.800000000003</v>
      </c>
      <c r="D382" s="2">
        <v>24541</v>
      </c>
      <c r="E382" s="36">
        <f t="shared" si="55"/>
        <v>24426.400000000001</v>
      </c>
      <c r="F382" s="2">
        <v>14084</v>
      </c>
      <c r="G382" s="2">
        <f t="shared" si="53"/>
        <v>84312.200000000012</v>
      </c>
      <c r="H382" s="3">
        <f t="shared" si="56"/>
        <v>0.25216753921733748</v>
      </c>
      <c r="I382" s="3">
        <f t="shared" si="57"/>
        <v>0.28971370691311576</v>
      </c>
      <c r="J382" s="3">
        <f t="shared" si="58"/>
        <v>0.29107294080809176</v>
      </c>
      <c r="K382" s="3">
        <f t="shared" si="59"/>
        <v>0.16704581306145491</v>
      </c>
      <c r="L382" s="3">
        <f t="shared" si="60"/>
        <v>0.54188124613045319</v>
      </c>
      <c r="M382" s="56">
        <f t="shared" si="61"/>
        <v>0.4581187538695467</v>
      </c>
      <c r="O382" s="2">
        <v>32384</v>
      </c>
      <c r="R382" s="2">
        <v>14578</v>
      </c>
      <c r="S382" s="36"/>
    </row>
    <row r="383" spans="1:19" hidden="1" x14ac:dyDescent="0.25">
      <c r="A383" s="54" t="s">
        <v>129</v>
      </c>
      <c r="B383" s="1">
        <v>45306</v>
      </c>
      <c r="C383" s="36">
        <f t="shared" si="54"/>
        <v>19769.600000000002</v>
      </c>
      <c r="D383" s="2">
        <v>13713</v>
      </c>
      <c r="E383" s="36">
        <f t="shared" si="55"/>
        <v>19936</v>
      </c>
      <c r="F383" s="2">
        <v>17030</v>
      </c>
      <c r="G383" s="2">
        <f t="shared" si="53"/>
        <v>70448.600000000006</v>
      </c>
      <c r="H383" s="3">
        <f t="shared" si="56"/>
        <v>0.28062445527661301</v>
      </c>
      <c r="I383" s="3">
        <f t="shared" si="57"/>
        <v>0.28298646105103575</v>
      </c>
      <c r="J383" s="3">
        <f t="shared" si="58"/>
        <v>0.19465255519627073</v>
      </c>
      <c r="K383" s="3">
        <f t="shared" si="59"/>
        <v>0.2417365284760804</v>
      </c>
      <c r="L383" s="3">
        <f t="shared" si="60"/>
        <v>0.56361091632764881</v>
      </c>
      <c r="M383" s="56">
        <f t="shared" si="61"/>
        <v>0.43638908367235113</v>
      </c>
      <c r="O383" s="2">
        <v>36080</v>
      </c>
      <c r="R383" s="2">
        <v>20512</v>
      </c>
      <c r="S383" s="36"/>
    </row>
    <row r="384" spans="1:19" hidden="1" x14ac:dyDescent="0.25">
      <c r="A384" s="54" t="s">
        <v>14</v>
      </c>
      <c r="B384" s="1">
        <v>45307</v>
      </c>
      <c r="C384" s="36">
        <f t="shared" si="54"/>
        <v>28440.800000000003</v>
      </c>
      <c r="D384" s="2">
        <v>12042</v>
      </c>
      <c r="E384" s="36">
        <f t="shared" si="55"/>
        <v>20883.2</v>
      </c>
      <c r="F384" s="2">
        <v>12457</v>
      </c>
      <c r="G384" s="2">
        <f t="shared" si="53"/>
        <v>73823</v>
      </c>
      <c r="H384" s="3">
        <f t="shared" si="56"/>
        <v>0.38525662733836341</v>
      </c>
      <c r="I384" s="3">
        <f t="shared" si="57"/>
        <v>0.28288202863606193</v>
      </c>
      <c r="J384" s="3">
        <f t="shared" si="58"/>
        <v>0.16311989488370832</v>
      </c>
      <c r="K384" s="3">
        <f t="shared" si="59"/>
        <v>0.16874144914186637</v>
      </c>
      <c r="L384" s="3">
        <f t="shared" si="60"/>
        <v>0.66813865597442534</v>
      </c>
      <c r="M384" s="56">
        <f t="shared" si="61"/>
        <v>0.33186134402557471</v>
      </c>
      <c r="O384" s="2">
        <v>39574</v>
      </c>
      <c r="R384" s="2">
        <v>14893</v>
      </c>
      <c r="S384" s="36"/>
    </row>
    <row r="385" spans="1:19" hidden="1" x14ac:dyDescent="0.25">
      <c r="A385" s="54" t="s">
        <v>21</v>
      </c>
      <c r="B385" s="1">
        <v>45308</v>
      </c>
      <c r="C385" s="36">
        <f t="shared" si="54"/>
        <v>11428</v>
      </c>
      <c r="D385" s="2">
        <v>5654</v>
      </c>
      <c r="E385" s="36">
        <f t="shared" si="55"/>
        <v>8616.8000000000011</v>
      </c>
      <c r="F385" s="2">
        <v>8917</v>
      </c>
      <c r="G385" s="2">
        <f t="shared" si="53"/>
        <v>34615.800000000003</v>
      </c>
      <c r="H385" s="3">
        <f t="shared" si="56"/>
        <v>0.33013826056309542</v>
      </c>
      <c r="I385" s="3">
        <f t="shared" si="57"/>
        <v>0.24892679065628992</v>
      </c>
      <c r="J385" s="3">
        <f t="shared" si="58"/>
        <v>0.1633358177479648</v>
      </c>
      <c r="K385" s="3">
        <f t="shared" si="59"/>
        <v>0.25759913103264981</v>
      </c>
      <c r="L385" s="3">
        <f t="shared" si="60"/>
        <v>0.57906505121938545</v>
      </c>
      <c r="M385" s="56">
        <f t="shared" si="61"/>
        <v>0.4209349487806146</v>
      </c>
      <c r="O385" s="2">
        <v>50513</v>
      </c>
      <c r="R385" s="2">
        <v>27463</v>
      </c>
      <c r="S385" s="36"/>
    </row>
    <row r="386" spans="1:19" x14ac:dyDescent="0.25">
      <c r="A386" s="54" t="s">
        <v>26</v>
      </c>
      <c r="B386" s="1">
        <v>45309</v>
      </c>
      <c r="C386" s="36">
        <f t="shared" si="54"/>
        <v>11824.800000000001</v>
      </c>
      <c r="D386" s="2">
        <v>10221</v>
      </c>
      <c r="E386" s="36">
        <f t="shared" si="55"/>
        <v>9382.4</v>
      </c>
      <c r="F386" s="2">
        <v>9923</v>
      </c>
      <c r="G386" s="2">
        <f t="shared" si="53"/>
        <v>41351.200000000004</v>
      </c>
      <c r="H386" s="3">
        <f t="shared" si="56"/>
        <v>0.28596026233821509</v>
      </c>
      <c r="I386" s="3">
        <f t="shared" si="57"/>
        <v>0.22689547098995916</v>
      </c>
      <c r="J386" s="3">
        <f t="shared" si="58"/>
        <v>0.24717541449824912</v>
      </c>
      <c r="K386" s="3">
        <f t="shared" si="59"/>
        <v>0.23996885217357655</v>
      </c>
      <c r="L386" s="3">
        <f t="shared" si="60"/>
        <v>0.51285573332817425</v>
      </c>
      <c r="M386" s="56">
        <f t="shared" si="61"/>
        <v>0.4871442666718257</v>
      </c>
      <c r="O386" s="2">
        <v>37213</v>
      </c>
      <c r="R386" s="2">
        <v>12924</v>
      </c>
      <c r="S386" s="36"/>
    </row>
    <row r="387" spans="1:19" hidden="1" x14ac:dyDescent="0.25">
      <c r="A387" s="54" t="s">
        <v>7</v>
      </c>
      <c r="B387" s="1">
        <v>45310</v>
      </c>
      <c r="C387" s="36">
        <f t="shared" si="54"/>
        <v>15568.800000000001</v>
      </c>
      <c r="D387" s="2">
        <v>7170</v>
      </c>
      <c r="E387" s="36">
        <f t="shared" si="55"/>
        <v>9774.4</v>
      </c>
      <c r="F387" s="2">
        <v>13144</v>
      </c>
      <c r="G387" s="2">
        <f t="shared" si="53"/>
        <v>45657.200000000004</v>
      </c>
      <c r="H387" s="3">
        <f t="shared" si="56"/>
        <v>0.34099331540260902</v>
      </c>
      <c r="I387" s="3">
        <f t="shared" si="57"/>
        <v>0.21408233531622611</v>
      </c>
      <c r="J387" s="3">
        <f t="shared" si="58"/>
        <v>0.15703985351707944</v>
      </c>
      <c r="K387" s="3">
        <f t="shared" si="59"/>
        <v>0.28788449576408537</v>
      </c>
      <c r="L387" s="3">
        <f t="shared" si="60"/>
        <v>0.55507565071883513</v>
      </c>
      <c r="M387" s="56">
        <f t="shared" si="61"/>
        <v>0.44492434928116481</v>
      </c>
      <c r="O387" s="2">
        <v>0</v>
      </c>
      <c r="R387" s="2">
        <v>0</v>
      </c>
      <c r="S387" s="36"/>
    </row>
    <row r="388" spans="1:19" hidden="1" x14ac:dyDescent="0.25">
      <c r="A388" s="54" t="s">
        <v>30</v>
      </c>
      <c r="B388" s="1">
        <v>45311</v>
      </c>
      <c r="C388" s="36">
        <f t="shared" si="54"/>
        <v>15140.800000000001</v>
      </c>
      <c r="D388" s="2">
        <v>18291</v>
      </c>
      <c r="E388" s="36">
        <f t="shared" si="55"/>
        <v>21471.200000000001</v>
      </c>
      <c r="F388" s="2">
        <v>13393</v>
      </c>
      <c r="G388" s="2">
        <f t="shared" ref="G388:G451" si="62">SUM(C388:F388)</f>
        <v>68296</v>
      </c>
      <c r="H388" s="3">
        <f t="shared" si="56"/>
        <v>0.22169380344383274</v>
      </c>
      <c r="I388" s="3">
        <f t="shared" si="57"/>
        <v>0.31438444418413963</v>
      </c>
      <c r="J388" s="3">
        <f t="shared" si="58"/>
        <v>0.26781949162469254</v>
      </c>
      <c r="K388" s="3">
        <f t="shared" si="59"/>
        <v>0.19610226074733514</v>
      </c>
      <c r="L388" s="3">
        <f t="shared" si="60"/>
        <v>0.5360782476279724</v>
      </c>
      <c r="M388" s="56">
        <f t="shared" si="61"/>
        <v>0.46392175237202765</v>
      </c>
      <c r="O388" s="2">
        <v>37712</v>
      </c>
      <c r="R388" s="2">
        <v>35420</v>
      </c>
      <c r="S388" s="36"/>
    </row>
    <row r="389" spans="1:19" hidden="1" x14ac:dyDescent="0.25">
      <c r="A389" s="54" t="s">
        <v>31</v>
      </c>
      <c r="B389" s="1">
        <v>45312</v>
      </c>
      <c r="C389" s="36">
        <f t="shared" ref="C389:C452" si="63">O414*$P$27</f>
        <v>16537.600000000002</v>
      </c>
      <c r="D389" s="2">
        <v>18158</v>
      </c>
      <c r="E389" s="36">
        <f t="shared" ref="E389:E452" si="64">R414*$P$27</f>
        <v>21186.400000000001</v>
      </c>
      <c r="F389" s="2">
        <v>14746</v>
      </c>
      <c r="G389" s="2">
        <f t="shared" si="62"/>
        <v>70628</v>
      </c>
      <c r="H389" s="3">
        <f t="shared" ref="H389:H452" si="65">IFERROR(C389/G389,0)</f>
        <v>0.23415076173755453</v>
      </c>
      <c r="I389" s="3">
        <f t="shared" ref="I389:I452" si="66">IFERROR(E389/G389,0)</f>
        <v>0.29997168261879142</v>
      </c>
      <c r="J389" s="3">
        <f t="shared" ref="J389:J452" si="67">IFERROR(D389/G389,0)</f>
        <v>0.25709350399275077</v>
      </c>
      <c r="K389" s="3">
        <f t="shared" ref="K389:K452" si="68">IFERROR(F389/G389,0)</f>
        <v>0.20878405165090333</v>
      </c>
      <c r="L389" s="3">
        <f t="shared" ref="L389:L452" si="69">IFERROR((C389+E389)/G389, 0)</f>
        <v>0.53412244435634593</v>
      </c>
      <c r="M389" s="56">
        <f t="shared" ref="M389:M452" si="70">IFERROR((D389+F389)/G389, 0)</f>
        <v>0.46587755564365407</v>
      </c>
      <c r="O389" s="2">
        <v>33581</v>
      </c>
      <c r="R389" s="2">
        <v>21341</v>
      </c>
      <c r="S389" s="36"/>
    </row>
    <row r="390" spans="1:19" hidden="1" x14ac:dyDescent="0.25">
      <c r="A390" s="54" t="s">
        <v>129</v>
      </c>
      <c r="B390" s="1">
        <v>45313</v>
      </c>
      <c r="C390" s="36">
        <f t="shared" si="63"/>
        <v>14651.2</v>
      </c>
      <c r="D390" s="2">
        <v>15707</v>
      </c>
      <c r="E390" s="36">
        <f t="shared" si="64"/>
        <v>25345.600000000002</v>
      </c>
      <c r="F390" s="2">
        <v>14504</v>
      </c>
      <c r="G390" s="2">
        <f t="shared" si="62"/>
        <v>70207.8</v>
      </c>
      <c r="H390" s="3">
        <f t="shared" si="65"/>
        <v>0.20868336566592316</v>
      </c>
      <c r="I390" s="3">
        <f t="shared" si="66"/>
        <v>0.36100832101276498</v>
      </c>
      <c r="J390" s="3">
        <f t="shared" si="67"/>
        <v>0.22372158079301729</v>
      </c>
      <c r="K390" s="3">
        <f t="shared" si="68"/>
        <v>0.20658673252829457</v>
      </c>
      <c r="L390" s="3">
        <f t="shared" si="69"/>
        <v>0.56969168667868819</v>
      </c>
      <c r="M390" s="56">
        <f t="shared" si="70"/>
        <v>0.43030831332131186</v>
      </c>
      <c r="O390" s="2">
        <v>33603</v>
      </c>
      <c r="R390" s="2">
        <v>25133</v>
      </c>
      <c r="S390" s="36"/>
    </row>
    <row r="391" spans="1:19" hidden="1" x14ac:dyDescent="0.25">
      <c r="A391" s="54" t="s">
        <v>14</v>
      </c>
      <c r="B391" s="1">
        <v>45314</v>
      </c>
      <c r="C391" s="36">
        <f t="shared" si="63"/>
        <v>31308.800000000003</v>
      </c>
      <c r="D391" s="2">
        <v>19383</v>
      </c>
      <c r="E391" s="36">
        <f t="shared" si="64"/>
        <v>31919.200000000001</v>
      </c>
      <c r="F391" s="2">
        <v>14917</v>
      </c>
      <c r="G391" s="2">
        <f t="shared" si="62"/>
        <v>97528</v>
      </c>
      <c r="H391" s="3">
        <f t="shared" si="65"/>
        <v>0.3210237060126323</v>
      </c>
      <c r="I391" s="3">
        <f t="shared" si="66"/>
        <v>0.32728242145845299</v>
      </c>
      <c r="J391" s="3">
        <f t="shared" si="67"/>
        <v>0.19874292510868674</v>
      </c>
      <c r="K391" s="3">
        <f t="shared" si="68"/>
        <v>0.15295094742022805</v>
      </c>
      <c r="L391" s="3">
        <f t="shared" si="69"/>
        <v>0.64830612747108518</v>
      </c>
      <c r="M391" s="56">
        <f t="shared" si="70"/>
        <v>0.35169387252891476</v>
      </c>
      <c r="O391" s="2">
        <v>42052</v>
      </c>
      <c r="R391" s="2">
        <v>33011</v>
      </c>
      <c r="S391" s="36"/>
    </row>
    <row r="392" spans="1:19" hidden="1" x14ac:dyDescent="0.25">
      <c r="A392" s="54" t="s">
        <v>21</v>
      </c>
      <c r="B392" s="1">
        <v>45315</v>
      </c>
      <c r="C392" s="36">
        <f t="shared" si="63"/>
        <v>22838.400000000001</v>
      </c>
      <c r="D392" s="2">
        <v>14722</v>
      </c>
      <c r="E392" s="36">
        <f t="shared" si="64"/>
        <v>16471.2</v>
      </c>
      <c r="F392" s="2">
        <v>14325</v>
      </c>
      <c r="G392" s="2">
        <f t="shared" si="62"/>
        <v>68356.600000000006</v>
      </c>
      <c r="H392" s="3">
        <f t="shared" si="65"/>
        <v>0.33410672853828305</v>
      </c>
      <c r="I392" s="3">
        <f t="shared" si="66"/>
        <v>0.24095990730960873</v>
      </c>
      <c r="J392" s="3">
        <f t="shared" si="67"/>
        <v>0.21537057138593785</v>
      </c>
      <c r="K392" s="3">
        <f t="shared" si="68"/>
        <v>0.20956279276617032</v>
      </c>
      <c r="L392" s="3">
        <f t="shared" si="69"/>
        <v>0.57506663584789186</v>
      </c>
      <c r="M392" s="56">
        <f t="shared" si="70"/>
        <v>0.4249333641521082</v>
      </c>
      <c r="O392" s="2">
        <v>59966</v>
      </c>
      <c r="R392" s="2">
        <v>39741</v>
      </c>
      <c r="S392" s="36"/>
    </row>
    <row r="393" spans="1:19" x14ac:dyDescent="0.25">
      <c r="A393" s="54" t="s">
        <v>26</v>
      </c>
      <c r="B393" s="1">
        <v>45316</v>
      </c>
      <c r="C393" s="36">
        <f t="shared" si="63"/>
        <v>25796</v>
      </c>
      <c r="D393" s="2">
        <v>13942</v>
      </c>
      <c r="E393" s="36">
        <f t="shared" si="64"/>
        <v>17252</v>
      </c>
      <c r="F393" s="2">
        <v>10976</v>
      </c>
      <c r="G393" s="2">
        <f t="shared" si="62"/>
        <v>67966</v>
      </c>
      <c r="H393" s="3">
        <f t="shared" si="65"/>
        <v>0.37954271253273697</v>
      </c>
      <c r="I393" s="3">
        <f t="shared" si="66"/>
        <v>0.25383279875231735</v>
      </c>
      <c r="J393" s="3">
        <f t="shared" si="67"/>
        <v>0.20513197775358266</v>
      </c>
      <c r="K393" s="3">
        <f t="shared" si="68"/>
        <v>0.16149251096136302</v>
      </c>
      <c r="L393" s="3">
        <f t="shared" si="69"/>
        <v>0.63337551128505432</v>
      </c>
      <c r="M393" s="56">
        <f t="shared" si="70"/>
        <v>0.36662448871494568</v>
      </c>
      <c r="O393" s="2">
        <v>37898</v>
      </c>
      <c r="R393" s="2">
        <v>18581</v>
      </c>
      <c r="S393" s="36"/>
    </row>
    <row r="394" spans="1:19" hidden="1" x14ac:dyDescent="0.25">
      <c r="A394" s="54" t="s">
        <v>7</v>
      </c>
      <c r="B394" s="1">
        <v>45317</v>
      </c>
      <c r="C394" s="36">
        <f t="shared" si="63"/>
        <v>37472</v>
      </c>
      <c r="D394" s="2">
        <v>12936</v>
      </c>
      <c r="E394" s="36">
        <f t="shared" si="64"/>
        <v>16385.600000000002</v>
      </c>
      <c r="F394" s="2">
        <v>17977</v>
      </c>
      <c r="G394" s="2">
        <f t="shared" si="62"/>
        <v>84770.6</v>
      </c>
      <c r="H394" s="3">
        <f t="shared" si="65"/>
        <v>0.4420400469030536</v>
      </c>
      <c r="I394" s="3">
        <f t="shared" si="66"/>
        <v>0.19329342956166409</v>
      </c>
      <c r="J394" s="3">
        <f t="shared" si="67"/>
        <v>0.15260007596973477</v>
      </c>
      <c r="K394" s="3">
        <f t="shared" si="68"/>
        <v>0.21206644756554746</v>
      </c>
      <c r="L394" s="3">
        <f t="shared" si="69"/>
        <v>0.63533347646471772</v>
      </c>
      <c r="M394" s="56">
        <f t="shared" si="70"/>
        <v>0.36466652353528223</v>
      </c>
      <c r="O394" s="2">
        <v>0</v>
      </c>
      <c r="R394" s="2">
        <v>0</v>
      </c>
      <c r="S394" s="36"/>
    </row>
    <row r="395" spans="1:19" hidden="1" x14ac:dyDescent="0.25">
      <c r="A395" s="54" t="s">
        <v>30</v>
      </c>
      <c r="B395" s="1">
        <v>45318</v>
      </c>
      <c r="C395" s="36">
        <f t="shared" si="63"/>
        <v>34440.800000000003</v>
      </c>
      <c r="D395" s="2">
        <v>23215</v>
      </c>
      <c r="E395" s="36">
        <f t="shared" si="64"/>
        <v>39431.200000000004</v>
      </c>
      <c r="F395" s="2">
        <v>25316</v>
      </c>
      <c r="G395" s="2">
        <f t="shared" si="62"/>
        <v>122403</v>
      </c>
      <c r="H395" s="3">
        <f t="shared" si="65"/>
        <v>0.28137218859014895</v>
      </c>
      <c r="I395" s="3">
        <f t="shared" si="66"/>
        <v>0.32214243114956337</v>
      </c>
      <c r="J395" s="3">
        <f t="shared" si="67"/>
        <v>0.18966038414091158</v>
      </c>
      <c r="K395" s="3">
        <f t="shared" si="68"/>
        <v>0.20682499611937616</v>
      </c>
      <c r="L395" s="3">
        <f t="shared" si="69"/>
        <v>0.60351461973971221</v>
      </c>
      <c r="M395" s="56">
        <f t="shared" si="70"/>
        <v>0.39648538026028773</v>
      </c>
      <c r="O395" s="2">
        <v>35991</v>
      </c>
      <c r="R395" s="2">
        <v>39446</v>
      </c>
      <c r="S395" s="36"/>
    </row>
    <row r="396" spans="1:19" hidden="1" x14ac:dyDescent="0.25">
      <c r="A396" s="54" t="s">
        <v>31</v>
      </c>
      <c r="B396" s="1">
        <v>45319</v>
      </c>
      <c r="C396" s="36">
        <f t="shared" si="63"/>
        <v>20823.2</v>
      </c>
      <c r="D396" s="2">
        <v>20460</v>
      </c>
      <c r="E396" s="36">
        <f t="shared" si="64"/>
        <v>43527.200000000004</v>
      </c>
      <c r="F396" s="2">
        <v>22777</v>
      </c>
      <c r="G396" s="2">
        <f t="shared" si="62"/>
        <v>107587.4</v>
      </c>
      <c r="H396" s="3">
        <f t="shared" si="65"/>
        <v>0.19354682797427952</v>
      </c>
      <c r="I396" s="3">
        <f t="shared" si="66"/>
        <v>0.4045752569538813</v>
      </c>
      <c r="J396" s="3">
        <f t="shared" si="67"/>
        <v>0.19017096797580388</v>
      </c>
      <c r="K396" s="3">
        <f t="shared" si="68"/>
        <v>0.21170694709603541</v>
      </c>
      <c r="L396" s="3">
        <f t="shared" si="69"/>
        <v>0.59812208492816088</v>
      </c>
      <c r="M396" s="56">
        <f t="shared" si="70"/>
        <v>0.40187791507183929</v>
      </c>
      <c r="O396" s="2">
        <v>26075</v>
      </c>
      <c r="R396" s="2">
        <v>21646</v>
      </c>
      <c r="S396" s="36"/>
    </row>
    <row r="397" spans="1:19" hidden="1" x14ac:dyDescent="0.25">
      <c r="A397" s="54" t="s">
        <v>129</v>
      </c>
      <c r="B397" s="1">
        <v>45320</v>
      </c>
      <c r="C397" s="36">
        <f t="shared" si="63"/>
        <v>30721.600000000002</v>
      </c>
      <c r="D397" s="2">
        <v>18913</v>
      </c>
      <c r="E397" s="36">
        <f t="shared" si="64"/>
        <v>29451.200000000001</v>
      </c>
      <c r="F397" s="2">
        <v>16233</v>
      </c>
      <c r="G397" s="2">
        <f t="shared" si="62"/>
        <v>95318.8</v>
      </c>
      <c r="H397" s="3">
        <f t="shared" si="65"/>
        <v>0.32230367986168523</v>
      </c>
      <c r="I397" s="3">
        <f t="shared" si="66"/>
        <v>0.30897577392917241</v>
      </c>
      <c r="J397" s="3">
        <f t="shared" si="67"/>
        <v>0.19841836028149745</v>
      </c>
      <c r="K397" s="3">
        <f t="shared" si="68"/>
        <v>0.1703021859276449</v>
      </c>
      <c r="L397" s="3">
        <f t="shared" si="69"/>
        <v>0.63127945379085759</v>
      </c>
      <c r="M397" s="56">
        <f t="shared" si="70"/>
        <v>0.36872054620914235</v>
      </c>
      <c r="O397" s="2">
        <v>26220</v>
      </c>
      <c r="R397" s="2">
        <v>16462</v>
      </c>
      <c r="S397" s="36"/>
    </row>
    <row r="398" spans="1:19" hidden="1" x14ac:dyDescent="0.25">
      <c r="A398" s="54" t="s">
        <v>14</v>
      </c>
      <c r="B398" s="1">
        <v>45321</v>
      </c>
      <c r="C398" s="36">
        <f t="shared" si="63"/>
        <v>33070.400000000001</v>
      </c>
      <c r="D398" s="2">
        <v>15041</v>
      </c>
      <c r="E398" s="36">
        <f t="shared" si="64"/>
        <v>22453.600000000002</v>
      </c>
      <c r="F398" s="2">
        <v>17766</v>
      </c>
      <c r="G398" s="2">
        <f t="shared" si="62"/>
        <v>88331</v>
      </c>
      <c r="H398" s="3">
        <f t="shared" si="65"/>
        <v>0.37439177638654608</v>
      </c>
      <c r="I398" s="3">
        <f t="shared" si="66"/>
        <v>0.25419841278826233</v>
      </c>
      <c r="J398" s="3">
        <f t="shared" si="67"/>
        <v>0.17027996965957592</v>
      </c>
      <c r="K398" s="3">
        <f t="shared" si="68"/>
        <v>0.20112984116561569</v>
      </c>
      <c r="L398" s="3">
        <f t="shared" si="69"/>
        <v>0.62859018917480836</v>
      </c>
      <c r="M398" s="56">
        <f t="shared" si="70"/>
        <v>0.37140981082519159</v>
      </c>
      <c r="O398" s="2">
        <v>37324</v>
      </c>
      <c r="R398" s="2">
        <v>23102</v>
      </c>
      <c r="S398" s="36"/>
    </row>
    <row r="399" spans="1:19" hidden="1" x14ac:dyDescent="0.25">
      <c r="A399" s="54" t="s">
        <v>21</v>
      </c>
      <c r="B399" s="1">
        <v>45322</v>
      </c>
      <c r="C399" s="36">
        <f t="shared" si="63"/>
        <v>29252</v>
      </c>
      <c r="D399" s="2">
        <v>13973</v>
      </c>
      <c r="E399" s="36">
        <f t="shared" si="64"/>
        <v>30595.200000000001</v>
      </c>
      <c r="F399" s="2">
        <v>12275</v>
      </c>
      <c r="G399" s="2">
        <f t="shared" si="62"/>
        <v>86095.2</v>
      </c>
      <c r="H399" s="3">
        <f t="shared" si="65"/>
        <v>0.33976342467408172</v>
      </c>
      <c r="I399" s="3">
        <f t="shared" si="66"/>
        <v>0.35536475901095532</v>
      </c>
      <c r="J399" s="3">
        <f t="shared" si="67"/>
        <v>0.16229708508720581</v>
      </c>
      <c r="K399" s="3">
        <f t="shared" si="68"/>
        <v>0.14257473122775718</v>
      </c>
      <c r="L399" s="3">
        <f t="shared" si="69"/>
        <v>0.69512818368503704</v>
      </c>
      <c r="M399" s="56">
        <f t="shared" si="70"/>
        <v>0.30487181631496296</v>
      </c>
      <c r="O399" s="2">
        <v>37862</v>
      </c>
      <c r="R399" s="2">
        <v>46072</v>
      </c>
      <c r="S399" s="36"/>
    </row>
    <row r="400" spans="1:19" x14ac:dyDescent="0.25">
      <c r="A400" s="54" t="s">
        <v>26</v>
      </c>
      <c r="B400" s="1">
        <v>45323</v>
      </c>
      <c r="C400" s="36">
        <f t="shared" si="63"/>
        <v>22944</v>
      </c>
      <c r="D400" s="2">
        <v>17155</v>
      </c>
      <c r="E400" s="36">
        <f t="shared" si="64"/>
        <v>18728.8</v>
      </c>
      <c r="F400" s="2">
        <v>11198</v>
      </c>
      <c r="G400" s="2">
        <f t="shared" si="62"/>
        <v>70025.8</v>
      </c>
      <c r="H400" s="3">
        <f t="shared" si="65"/>
        <v>0.32765066589742636</v>
      </c>
      <c r="I400" s="3">
        <f t="shared" si="66"/>
        <v>0.2674557091814731</v>
      </c>
      <c r="J400" s="3">
        <f t="shared" si="67"/>
        <v>0.24498113552433531</v>
      </c>
      <c r="K400" s="3">
        <f t="shared" si="68"/>
        <v>0.1599124893967652</v>
      </c>
      <c r="L400" s="3">
        <f t="shared" si="69"/>
        <v>0.59510637507889952</v>
      </c>
      <c r="M400" s="56">
        <f t="shared" si="70"/>
        <v>0.40489362492110048</v>
      </c>
      <c r="O400" s="2">
        <v>40662</v>
      </c>
      <c r="R400" s="2">
        <v>32044</v>
      </c>
      <c r="S400" s="36"/>
    </row>
    <row r="401" spans="1:19" hidden="1" x14ac:dyDescent="0.25">
      <c r="A401" s="54" t="s">
        <v>7</v>
      </c>
      <c r="B401" s="1">
        <v>45324</v>
      </c>
      <c r="C401" s="36">
        <f t="shared" si="63"/>
        <v>30348.800000000003</v>
      </c>
      <c r="D401" s="2">
        <v>19750</v>
      </c>
      <c r="E401" s="36">
        <f t="shared" si="64"/>
        <v>21593.600000000002</v>
      </c>
      <c r="F401" s="2">
        <v>16654</v>
      </c>
      <c r="G401" s="2">
        <f t="shared" si="62"/>
        <v>88346.400000000009</v>
      </c>
      <c r="H401" s="3">
        <f t="shared" si="65"/>
        <v>0.34352050564595726</v>
      </c>
      <c r="I401" s="3">
        <f t="shared" si="66"/>
        <v>0.24441969338875155</v>
      </c>
      <c r="J401" s="3">
        <f t="shared" si="67"/>
        <v>0.22355183686035876</v>
      </c>
      <c r="K401" s="3">
        <f t="shared" si="68"/>
        <v>0.1885079641049324</v>
      </c>
      <c r="L401" s="3">
        <f t="shared" si="69"/>
        <v>0.58794019903470884</v>
      </c>
      <c r="M401" s="56">
        <f t="shared" si="70"/>
        <v>0.41205980096529116</v>
      </c>
      <c r="O401" s="2">
        <v>29425</v>
      </c>
      <c r="R401" s="2">
        <v>40513</v>
      </c>
      <c r="S401" s="36"/>
    </row>
    <row r="402" spans="1:19" hidden="1" x14ac:dyDescent="0.25">
      <c r="A402" s="54" t="s">
        <v>30</v>
      </c>
      <c r="B402" s="1">
        <v>45325</v>
      </c>
      <c r="C402" s="36">
        <f t="shared" si="63"/>
        <v>38796.800000000003</v>
      </c>
      <c r="D402" s="2">
        <v>24375</v>
      </c>
      <c r="E402" s="36">
        <f t="shared" si="64"/>
        <v>20037.600000000002</v>
      </c>
      <c r="F402" s="2">
        <v>22961</v>
      </c>
      <c r="G402" s="2">
        <f t="shared" si="62"/>
        <v>106170.40000000001</v>
      </c>
      <c r="H402" s="3">
        <f t="shared" si="65"/>
        <v>0.3654201170947835</v>
      </c>
      <c r="I402" s="3">
        <f t="shared" si="66"/>
        <v>0.18873056897214291</v>
      </c>
      <c r="J402" s="3">
        <f t="shared" si="67"/>
        <v>0.22958376345949527</v>
      </c>
      <c r="K402" s="3">
        <f t="shared" si="68"/>
        <v>0.21626555047357832</v>
      </c>
      <c r="L402" s="3">
        <f t="shared" si="69"/>
        <v>0.55415068606692641</v>
      </c>
      <c r="M402" s="56">
        <f t="shared" si="70"/>
        <v>0.44584931393307359</v>
      </c>
      <c r="O402" s="2">
        <v>36018</v>
      </c>
      <c r="R402" s="2">
        <v>24204</v>
      </c>
      <c r="S402" s="36"/>
    </row>
    <row r="403" spans="1:19" hidden="1" x14ac:dyDescent="0.25">
      <c r="A403" s="54" t="s">
        <v>31</v>
      </c>
      <c r="B403" s="1">
        <v>45326</v>
      </c>
      <c r="C403" s="36">
        <f t="shared" si="63"/>
        <v>31050.400000000001</v>
      </c>
      <c r="D403" s="2">
        <v>24448</v>
      </c>
      <c r="E403" s="36">
        <f t="shared" si="64"/>
        <v>34337.599999999999</v>
      </c>
      <c r="F403" s="2">
        <v>27360</v>
      </c>
      <c r="G403" s="2">
        <f t="shared" si="62"/>
        <v>117196</v>
      </c>
      <c r="H403" s="3">
        <f t="shared" si="65"/>
        <v>0.26494419604764669</v>
      </c>
      <c r="I403" s="3">
        <f t="shared" si="66"/>
        <v>0.29299293491245432</v>
      </c>
      <c r="J403" s="3">
        <f t="shared" si="67"/>
        <v>0.20860780231407217</v>
      </c>
      <c r="K403" s="3">
        <f t="shared" si="68"/>
        <v>0.23345506672582683</v>
      </c>
      <c r="L403" s="3">
        <f t="shared" si="69"/>
        <v>0.557937130960101</v>
      </c>
      <c r="M403" s="56">
        <f t="shared" si="70"/>
        <v>0.442062869039899</v>
      </c>
      <c r="O403" s="2">
        <v>20181</v>
      </c>
      <c r="R403" s="2">
        <v>32465</v>
      </c>
      <c r="S403" s="36"/>
    </row>
    <row r="404" spans="1:19" hidden="1" x14ac:dyDescent="0.25">
      <c r="A404" s="54" t="s">
        <v>129</v>
      </c>
      <c r="B404" s="1">
        <v>45327</v>
      </c>
      <c r="C404" s="36">
        <f t="shared" si="63"/>
        <v>40208.800000000003</v>
      </c>
      <c r="D404" s="2">
        <v>22157</v>
      </c>
      <c r="E404" s="36">
        <f t="shared" si="64"/>
        <v>33815.200000000004</v>
      </c>
      <c r="F404" s="2">
        <v>19304</v>
      </c>
      <c r="G404" s="2">
        <f t="shared" si="62"/>
        <v>115485</v>
      </c>
      <c r="H404" s="3">
        <f t="shared" si="65"/>
        <v>0.34817335584707976</v>
      </c>
      <c r="I404" s="3">
        <f t="shared" si="66"/>
        <v>0.29281032168679921</v>
      </c>
      <c r="J404" s="3">
        <f t="shared" si="67"/>
        <v>0.19186041477248128</v>
      </c>
      <c r="K404" s="3">
        <f t="shared" si="68"/>
        <v>0.16715590769363986</v>
      </c>
      <c r="L404" s="3">
        <f t="shared" si="69"/>
        <v>0.64098367753387886</v>
      </c>
      <c r="M404" s="56">
        <f t="shared" si="70"/>
        <v>0.35901632246612114</v>
      </c>
      <c r="O404" s="2">
        <v>18222</v>
      </c>
      <c r="R404" s="2">
        <v>17846</v>
      </c>
      <c r="S404" s="36"/>
    </row>
    <row r="405" spans="1:19" hidden="1" x14ac:dyDescent="0.25">
      <c r="A405" s="54" t="s">
        <v>14</v>
      </c>
      <c r="B405" s="1">
        <v>45328</v>
      </c>
      <c r="C405" s="36">
        <f t="shared" si="63"/>
        <v>30618.400000000001</v>
      </c>
      <c r="D405" s="2">
        <v>15646</v>
      </c>
      <c r="E405" s="36">
        <f t="shared" si="64"/>
        <v>22940</v>
      </c>
      <c r="F405" s="2">
        <v>13963</v>
      </c>
      <c r="G405" s="2">
        <f t="shared" si="62"/>
        <v>83167.399999999994</v>
      </c>
      <c r="H405" s="3">
        <f t="shared" si="65"/>
        <v>0.36815386798192568</v>
      </c>
      <c r="I405" s="3">
        <f t="shared" si="66"/>
        <v>0.27582923116509594</v>
      </c>
      <c r="J405" s="3">
        <f t="shared" si="67"/>
        <v>0.18812659768130302</v>
      </c>
      <c r="K405" s="3">
        <f t="shared" si="68"/>
        <v>0.16789030317167544</v>
      </c>
      <c r="L405" s="3">
        <f t="shared" si="69"/>
        <v>0.64398309914702156</v>
      </c>
      <c r="M405" s="56">
        <f t="shared" si="70"/>
        <v>0.35601690085297849</v>
      </c>
      <c r="O405" s="2">
        <v>35439</v>
      </c>
      <c r="R405" s="2">
        <v>29050</v>
      </c>
      <c r="S405" s="36"/>
    </row>
    <row r="406" spans="1:19" hidden="1" x14ac:dyDescent="0.25">
      <c r="A406" s="54" t="s">
        <v>21</v>
      </c>
      <c r="B406" s="1">
        <v>45329</v>
      </c>
      <c r="C406" s="36">
        <f t="shared" si="63"/>
        <v>18728</v>
      </c>
      <c r="D406" s="2">
        <v>11039</v>
      </c>
      <c r="E406" s="36">
        <f t="shared" si="64"/>
        <v>24236</v>
      </c>
      <c r="F406" s="2">
        <v>11203</v>
      </c>
      <c r="G406" s="2">
        <f t="shared" si="62"/>
        <v>65206</v>
      </c>
      <c r="H406" s="3">
        <f t="shared" si="65"/>
        <v>0.28721283317486118</v>
      </c>
      <c r="I406" s="3">
        <f t="shared" si="66"/>
        <v>0.37168358739993251</v>
      </c>
      <c r="J406" s="3">
        <f t="shared" si="67"/>
        <v>0.16929423672668159</v>
      </c>
      <c r="K406" s="3">
        <f t="shared" si="68"/>
        <v>0.17180934269852469</v>
      </c>
      <c r="L406" s="3">
        <f t="shared" si="69"/>
        <v>0.6588964205747937</v>
      </c>
      <c r="M406" s="56">
        <f t="shared" si="70"/>
        <v>0.34110357942520625</v>
      </c>
      <c r="O406" s="2">
        <v>49514</v>
      </c>
      <c r="R406" s="2">
        <v>37022</v>
      </c>
      <c r="S406" s="36"/>
    </row>
    <row r="407" spans="1:19" x14ac:dyDescent="0.25">
      <c r="A407" s="54" t="s">
        <v>26</v>
      </c>
      <c r="B407" s="1">
        <v>45330</v>
      </c>
      <c r="C407" s="36">
        <f t="shared" si="63"/>
        <v>22009.600000000002</v>
      </c>
      <c r="D407" s="2">
        <v>16246</v>
      </c>
      <c r="E407" s="36">
        <f t="shared" si="64"/>
        <v>20078.400000000001</v>
      </c>
      <c r="F407" s="2">
        <v>11766</v>
      </c>
      <c r="G407" s="2">
        <f t="shared" si="62"/>
        <v>70100</v>
      </c>
      <c r="H407" s="3">
        <f t="shared" si="65"/>
        <v>0.31397432239657636</v>
      </c>
      <c r="I407" s="3">
        <f t="shared" si="66"/>
        <v>0.28642510699001428</v>
      </c>
      <c r="J407" s="3">
        <f t="shared" si="67"/>
        <v>0.23175463623395151</v>
      </c>
      <c r="K407" s="3">
        <f t="shared" si="68"/>
        <v>0.16784593437945791</v>
      </c>
      <c r="L407" s="3">
        <f t="shared" si="69"/>
        <v>0.60039942938659063</v>
      </c>
      <c r="M407" s="56">
        <f t="shared" si="70"/>
        <v>0.39960057061340942</v>
      </c>
      <c r="O407" s="2">
        <v>26576</v>
      </c>
      <c r="R407" s="2">
        <v>30533</v>
      </c>
      <c r="S407" s="36"/>
    </row>
    <row r="408" spans="1:19" hidden="1" x14ac:dyDescent="0.25">
      <c r="A408" s="54" t="s">
        <v>7</v>
      </c>
      <c r="B408" s="1">
        <v>45331</v>
      </c>
      <c r="C408" s="36">
        <f t="shared" si="63"/>
        <v>41644.800000000003</v>
      </c>
      <c r="D408" s="2">
        <v>16508</v>
      </c>
      <c r="E408" s="36">
        <f t="shared" si="64"/>
        <v>16544</v>
      </c>
      <c r="F408" s="2">
        <v>16993</v>
      </c>
      <c r="G408" s="2">
        <f t="shared" si="62"/>
        <v>91689.8</v>
      </c>
      <c r="H408" s="3">
        <f t="shared" si="65"/>
        <v>0.45419228747363394</v>
      </c>
      <c r="I408" s="3">
        <f t="shared" si="66"/>
        <v>0.18043446490231191</v>
      </c>
      <c r="J408" s="3">
        <f t="shared" si="67"/>
        <v>0.18004183671466181</v>
      </c>
      <c r="K408" s="3">
        <f t="shared" si="68"/>
        <v>0.18533141090939231</v>
      </c>
      <c r="L408" s="3">
        <f t="shared" si="69"/>
        <v>0.6346267523759459</v>
      </c>
      <c r="M408" s="56">
        <f t="shared" si="70"/>
        <v>0.36537324762405415</v>
      </c>
      <c r="O408" s="2">
        <v>24712</v>
      </c>
      <c r="R408" s="2">
        <v>24920</v>
      </c>
      <c r="S408" s="36"/>
    </row>
    <row r="409" spans="1:19" hidden="1" x14ac:dyDescent="0.25">
      <c r="A409" s="54" t="s">
        <v>30</v>
      </c>
      <c r="B409" s="1">
        <v>45332</v>
      </c>
      <c r="C409" s="36">
        <f t="shared" si="63"/>
        <v>29178.400000000001</v>
      </c>
      <c r="D409" s="2">
        <v>22512</v>
      </c>
      <c r="E409" s="36">
        <f t="shared" si="64"/>
        <v>31632</v>
      </c>
      <c r="F409" s="2">
        <v>27016</v>
      </c>
      <c r="G409" s="2">
        <f t="shared" si="62"/>
        <v>110338.4</v>
      </c>
      <c r="H409" s="3">
        <f t="shared" si="65"/>
        <v>0.26444465390108979</v>
      </c>
      <c r="I409" s="3">
        <f t="shared" si="66"/>
        <v>0.28668169920897896</v>
      </c>
      <c r="J409" s="3">
        <f t="shared" si="67"/>
        <v>0.204026884566026</v>
      </c>
      <c r="K409" s="3">
        <f t="shared" si="68"/>
        <v>0.24484676232390537</v>
      </c>
      <c r="L409" s="3">
        <f t="shared" si="69"/>
        <v>0.55112635311006875</v>
      </c>
      <c r="M409" s="56">
        <f t="shared" si="70"/>
        <v>0.44887364688993137</v>
      </c>
      <c r="O409" s="2">
        <v>35551</v>
      </c>
      <c r="R409" s="2">
        <v>26104</v>
      </c>
      <c r="S409" s="36"/>
    </row>
    <row r="410" spans="1:19" hidden="1" x14ac:dyDescent="0.25">
      <c r="A410" s="54" t="s">
        <v>31</v>
      </c>
      <c r="B410" s="1">
        <v>45333</v>
      </c>
      <c r="C410" s="36">
        <f t="shared" si="63"/>
        <v>30675.200000000001</v>
      </c>
      <c r="D410" s="2">
        <v>21928</v>
      </c>
      <c r="E410" s="36">
        <f t="shared" si="64"/>
        <v>29084</v>
      </c>
      <c r="F410" s="2">
        <v>19386</v>
      </c>
      <c r="G410" s="2">
        <f t="shared" si="62"/>
        <v>101073.2</v>
      </c>
      <c r="H410" s="3">
        <f t="shared" si="65"/>
        <v>0.30349489281035924</v>
      </c>
      <c r="I410" s="3">
        <f t="shared" si="66"/>
        <v>0.28775184717610602</v>
      </c>
      <c r="J410" s="3">
        <f t="shared" si="67"/>
        <v>0.21695167462789344</v>
      </c>
      <c r="K410" s="3">
        <f t="shared" si="68"/>
        <v>0.19180158538564129</v>
      </c>
      <c r="L410" s="3">
        <f t="shared" si="69"/>
        <v>0.59124673998646526</v>
      </c>
      <c r="M410" s="56">
        <f t="shared" si="70"/>
        <v>0.40875326001353474</v>
      </c>
      <c r="O410" s="2">
        <v>14285</v>
      </c>
      <c r="R410" s="2">
        <v>10771</v>
      </c>
      <c r="S410" s="36"/>
    </row>
    <row r="411" spans="1:19" hidden="1" x14ac:dyDescent="0.25">
      <c r="A411" s="54" t="s">
        <v>129</v>
      </c>
      <c r="B411" s="1">
        <v>45334</v>
      </c>
      <c r="C411" s="36">
        <f t="shared" si="63"/>
        <v>47056</v>
      </c>
      <c r="D411" s="2">
        <v>21668</v>
      </c>
      <c r="E411" s="36">
        <f t="shared" si="64"/>
        <v>37695.200000000004</v>
      </c>
      <c r="F411" s="2">
        <v>24725</v>
      </c>
      <c r="G411" s="2">
        <f t="shared" si="62"/>
        <v>131144.20000000001</v>
      </c>
      <c r="H411" s="3">
        <f t="shared" si="65"/>
        <v>0.35881114071380965</v>
      </c>
      <c r="I411" s="3">
        <f t="shared" si="66"/>
        <v>0.28743322236133967</v>
      </c>
      <c r="J411" s="3">
        <f t="shared" si="67"/>
        <v>0.16522270904851299</v>
      </c>
      <c r="K411" s="3">
        <f t="shared" si="68"/>
        <v>0.18853292787633763</v>
      </c>
      <c r="L411" s="3">
        <f t="shared" si="69"/>
        <v>0.64624436307514932</v>
      </c>
      <c r="M411" s="56">
        <f t="shared" si="70"/>
        <v>0.35375563692485062</v>
      </c>
      <c r="O411" s="2">
        <v>14781</v>
      </c>
      <c r="R411" s="2">
        <v>11728</v>
      </c>
      <c r="S411" s="36"/>
    </row>
    <row r="412" spans="1:19" hidden="1" x14ac:dyDescent="0.25">
      <c r="A412" s="54" t="s">
        <v>14</v>
      </c>
      <c r="B412" s="1">
        <v>45335</v>
      </c>
      <c r="C412" s="36">
        <f t="shared" si="63"/>
        <v>39288</v>
      </c>
      <c r="D412" s="2">
        <v>16058</v>
      </c>
      <c r="E412" s="36">
        <f t="shared" si="64"/>
        <v>17967.2</v>
      </c>
      <c r="F412" s="2">
        <v>13377</v>
      </c>
      <c r="G412" s="2">
        <f t="shared" si="62"/>
        <v>86690.2</v>
      </c>
      <c r="H412" s="3">
        <f t="shared" si="65"/>
        <v>0.4532000156880478</v>
      </c>
      <c r="I412" s="3">
        <f t="shared" si="66"/>
        <v>0.20725756775275639</v>
      </c>
      <c r="J412" s="3">
        <f t="shared" si="67"/>
        <v>0.18523431714311422</v>
      </c>
      <c r="K412" s="3">
        <f t="shared" si="68"/>
        <v>0.15430809941608165</v>
      </c>
      <c r="L412" s="3">
        <f t="shared" si="69"/>
        <v>0.66045758344080419</v>
      </c>
      <c r="M412" s="56">
        <f t="shared" si="70"/>
        <v>0.33954241655919587</v>
      </c>
      <c r="O412" s="2">
        <v>19461</v>
      </c>
      <c r="R412" s="2">
        <v>12218</v>
      </c>
      <c r="S412" s="36"/>
    </row>
    <row r="413" spans="1:19" hidden="1" x14ac:dyDescent="0.25">
      <c r="A413" s="54" t="s">
        <v>21</v>
      </c>
      <c r="B413" s="1">
        <v>45336</v>
      </c>
      <c r="C413" s="36">
        <f t="shared" si="63"/>
        <v>28637.600000000002</v>
      </c>
      <c r="D413" s="2">
        <v>13859</v>
      </c>
      <c r="E413" s="36">
        <f t="shared" si="64"/>
        <v>16265.6</v>
      </c>
      <c r="F413" s="2">
        <v>12329</v>
      </c>
      <c r="G413" s="2">
        <f t="shared" si="62"/>
        <v>71091.200000000012</v>
      </c>
      <c r="H413" s="3">
        <f t="shared" si="65"/>
        <v>0.40282904213179688</v>
      </c>
      <c r="I413" s="3">
        <f t="shared" si="66"/>
        <v>0.22879906373784656</v>
      </c>
      <c r="J413" s="3">
        <f t="shared" si="67"/>
        <v>0.19494677259632695</v>
      </c>
      <c r="K413" s="3">
        <f t="shared" si="68"/>
        <v>0.1734251215340295</v>
      </c>
      <c r="L413" s="3">
        <f t="shared" si="69"/>
        <v>0.63162810586964346</v>
      </c>
      <c r="M413" s="56">
        <f t="shared" si="70"/>
        <v>0.36837189413035643</v>
      </c>
      <c r="O413" s="2">
        <v>18926</v>
      </c>
      <c r="R413" s="2">
        <v>26839</v>
      </c>
      <c r="S413" s="36"/>
    </row>
    <row r="414" spans="1:19" x14ac:dyDescent="0.25">
      <c r="A414" s="54" t="s">
        <v>26</v>
      </c>
      <c r="B414" s="1">
        <v>45337</v>
      </c>
      <c r="C414" s="36">
        <f t="shared" si="63"/>
        <v>24708.800000000003</v>
      </c>
      <c r="D414" s="2">
        <v>10593</v>
      </c>
      <c r="E414" s="36">
        <f t="shared" si="64"/>
        <v>12120</v>
      </c>
      <c r="F414" s="2">
        <v>12305</v>
      </c>
      <c r="G414" s="2">
        <f t="shared" si="62"/>
        <v>59726.8</v>
      </c>
      <c r="H414" s="3">
        <f t="shared" si="65"/>
        <v>0.41369703382736062</v>
      </c>
      <c r="I414" s="3">
        <f t="shared" si="66"/>
        <v>0.2029239805246556</v>
      </c>
      <c r="J414" s="3">
        <f t="shared" si="67"/>
        <v>0.17735756812687101</v>
      </c>
      <c r="K414" s="3">
        <f t="shared" si="68"/>
        <v>0.2060214175211128</v>
      </c>
      <c r="L414" s="3">
        <f t="shared" si="69"/>
        <v>0.61662101435201622</v>
      </c>
      <c r="M414" s="56">
        <f t="shared" si="70"/>
        <v>0.38337898564798378</v>
      </c>
      <c r="O414" s="2">
        <v>20672</v>
      </c>
      <c r="R414" s="2">
        <v>26483</v>
      </c>
      <c r="S414" s="36"/>
    </row>
    <row r="415" spans="1:19" hidden="1" x14ac:dyDescent="0.25">
      <c r="A415" s="54" t="s">
        <v>7</v>
      </c>
      <c r="B415" s="1">
        <v>45338</v>
      </c>
      <c r="C415" s="36">
        <f t="shared" si="63"/>
        <v>32991.200000000004</v>
      </c>
      <c r="D415" s="2">
        <v>15420</v>
      </c>
      <c r="E415" s="36">
        <f t="shared" si="64"/>
        <v>23870.400000000001</v>
      </c>
      <c r="F415" s="2">
        <v>14621</v>
      </c>
      <c r="G415" s="2">
        <f t="shared" si="62"/>
        <v>86902.6</v>
      </c>
      <c r="H415" s="3">
        <f t="shared" si="65"/>
        <v>0.37963421117434926</v>
      </c>
      <c r="I415" s="3">
        <f t="shared" si="66"/>
        <v>0.27467992902398775</v>
      </c>
      <c r="J415" s="3">
        <f t="shared" si="67"/>
        <v>0.17744003056295207</v>
      </c>
      <c r="K415" s="3">
        <f t="shared" si="68"/>
        <v>0.16824582923871093</v>
      </c>
      <c r="L415" s="3">
        <f t="shared" si="69"/>
        <v>0.654314140198337</v>
      </c>
      <c r="M415" s="56">
        <f t="shared" si="70"/>
        <v>0.345685859801663</v>
      </c>
      <c r="O415" s="2">
        <v>18314</v>
      </c>
      <c r="R415" s="2">
        <v>31682</v>
      </c>
      <c r="S415" s="36"/>
    </row>
    <row r="416" spans="1:19" hidden="1" x14ac:dyDescent="0.25">
      <c r="A416" s="54" t="s">
        <v>30</v>
      </c>
      <c r="B416" s="1">
        <v>45339</v>
      </c>
      <c r="C416" s="36">
        <f t="shared" si="63"/>
        <v>30612</v>
      </c>
      <c r="D416" s="2">
        <v>27700</v>
      </c>
      <c r="E416" s="36">
        <f t="shared" si="64"/>
        <v>30610.400000000001</v>
      </c>
      <c r="F416" s="2">
        <v>22809</v>
      </c>
      <c r="G416" s="2">
        <f t="shared" si="62"/>
        <v>111731.4</v>
      </c>
      <c r="H416" s="3">
        <f t="shared" si="65"/>
        <v>0.27397848769459615</v>
      </c>
      <c r="I416" s="3">
        <f t="shared" si="66"/>
        <v>0.27396416763774556</v>
      </c>
      <c r="J416" s="3">
        <f t="shared" si="67"/>
        <v>0.24791598422645739</v>
      </c>
      <c r="K416" s="3">
        <f t="shared" si="68"/>
        <v>0.20414136044120096</v>
      </c>
      <c r="L416" s="3">
        <f t="shared" si="69"/>
        <v>0.54794265533234177</v>
      </c>
      <c r="M416" s="56">
        <f t="shared" si="70"/>
        <v>0.45205734466765835</v>
      </c>
      <c r="O416" s="2">
        <v>39136</v>
      </c>
      <c r="R416" s="2">
        <v>39899</v>
      </c>
      <c r="S416" s="36"/>
    </row>
    <row r="417" spans="1:19" hidden="1" x14ac:dyDescent="0.25">
      <c r="A417" s="54" t="s">
        <v>31</v>
      </c>
      <c r="B417" s="1">
        <v>45340</v>
      </c>
      <c r="C417" s="36">
        <f t="shared" si="63"/>
        <v>41936.800000000003</v>
      </c>
      <c r="D417" s="2">
        <v>24145</v>
      </c>
      <c r="E417" s="36">
        <f t="shared" si="64"/>
        <v>33420.800000000003</v>
      </c>
      <c r="F417" s="2">
        <v>24702</v>
      </c>
      <c r="G417" s="2">
        <f t="shared" si="62"/>
        <v>124204.6</v>
      </c>
      <c r="H417" s="3">
        <f t="shared" si="65"/>
        <v>0.33764288923276592</v>
      </c>
      <c r="I417" s="3">
        <f t="shared" si="66"/>
        <v>0.26907860095358788</v>
      </c>
      <c r="J417" s="3">
        <f t="shared" si="67"/>
        <v>0.19439698690708718</v>
      </c>
      <c r="K417" s="3">
        <f t="shared" si="68"/>
        <v>0.198881522906559</v>
      </c>
      <c r="L417" s="3">
        <f t="shared" si="69"/>
        <v>0.6067214901863538</v>
      </c>
      <c r="M417" s="56">
        <f t="shared" si="70"/>
        <v>0.39327850981364615</v>
      </c>
      <c r="O417" s="2">
        <v>28548</v>
      </c>
      <c r="R417" s="2">
        <v>20589</v>
      </c>
      <c r="S417" s="36"/>
    </row>
    <row r="418" spans="1:19" hidden="1" x14ac:dyDescent="0.25">
      <c r="A418" s="54" t="s">
        <v>129</v>
      </c>
      <c r="B418" s="1">
        <v>45341</v>
      </c>
      <c r="C418" s="36">
        <f t="shared" si="63"/>
        <v>36363.200000000004</v>
      </c>
      <c r="D418" s="2">
        <v>25010</v>
      </c>
      <c r="E418" s="36">
        <f t="shared" si="64"/>
        <v>34368.800000000003</v>
      </c>
      <c r="F418" s="2">
        <v>20130</v>
      </c>
      <c r="G418" s="2">
        <f t="shared" si="62"/>
        <v>115872</v>
      </c>
      <c r="H418" s="3">
        <f t="shared" si="65"/>
        <v>0.31382214857774099</v>
      </c>
      <c r="I418" s="3">
        <f t="shared" si="66"/>
        <v>0.29661005247169292</v>
      </c>
      <c r="J418" s="3">
        <f t="shared" si="67"/>
        <v>0.21584161833747584</v>
      </c>
      <c r="K418" s="3">
        <f t="shared" si="68"/>
        <v>0.17372618061309031</v>
      </c>
      <c r="L418" s="3">
        <f t="shared" si="69"/>
        <v>0.61043220104943385</v>
      </c>
      <c r="M418" s="56">
        <f t="shared" si="70"/>
        <v>0.38956779895056615</v>
      </c>
      <c r="O418" s="2">
        <v>32245</v>
      </c>
      <c r="R418" s="2">
        <v>21565</v>
      </c>
      <c r="S418" s="36"/>
    </row>
    <row r="419" spans="1:19" hidden="1" x14ac:dyDescent="0.25">
      <c r="A419" s="54" t="s">
        <v>14</v>
      </c>
      <c r="B419" s="1">
        <v>45342</v>
      </c>
      <c r="C419" s="36">
        <f t="shared" si="63"/>
        <v>33742.400000000001</v>
      </c>
      <c r="D419" s="2">
        <v>15975</v>
      </c>
      <c r="E419" s="36">
        <f t="shared" si="64"/>
        <v>21272</v>
      </c>
      <c r="F419" s="2">
        <v>11301</v>
      </c>
      <c r="G419" s="2">
        <f t="shared" si="62"/>
        <v>82290.399999999994</v>
      </c>
      <c r="H419" s="3">
        <f t="shared" si="65"/>
        <v>0.41004053935817547</v>
      </c>
      <c r="I419" s="3">
        <f t="shared" si="66"/>
        <v>0.25849916879733237</v>
      </c>
      <c r="J419" s="3">
        <f t="shared" si="67"/>
        <v>0.19412957039946338</v>
      </c>
      <c r="K419" s="3">
        <f t="shared" si="68"/>
        <v>0.13733072144502884</v>
      </c>
      <c r="L419" s="3">
        <f t="shared" si="69"/>
        <v>0.66853970815550789</v>
      </c>
      <c r="M419" s="56">
        <f t="shared" si="70"/>
        <v>0.33146029184449222</v>
      </c>
      <c r="O419" s="2">
        <v>46840</v>
      </c>
      <c r="R419" s="2">
        <v>20482</v>
      </c>
      <c r="S419" s="36"/>
    </row>
    <row r="420" spans="1:19" hidden="1" x14ac:dyDescent="0.25">
      <c r="A420" s="54" t="s">
        <v>21</v>
      </c>
      <c r="B420" s="1">
        <v>45343</v>
      </c>
      <c r="C420" s="36">
        <f t="shared" si="63"/>
        <v>21607.200000000001</v>
      </c>
      <c r="D420" s="2">
        <v>16262</v>
      </c>
      <c r="E420" s="36">
        <f t="shared" si="64"/>
        <v>23837.600000000002</v>
      </c>
      <c r="F420" s="2">
        <v>11812</v>
      </c>
      <c r="G420" s="2">
        <f t="shared" si="62"/>
        <v>73518.8</v>
      </c>
      <c r="H420" s="3">
        <f t="shared" si="65"/>
        <v>0.29390033569644769</v>
      </c>
      <c r="I420" s="3">
        <f t="shared" si="66"/>
        <v>0.32423815405039258</v>
      </c>
      <c r="J420" s="3">
        <f t="shared" si="67"/>
        <v>0.22119512288013404</v>
      </c>
      <c r="K420" s="3">
        <f t="shared" si="68"/>
        <v>0.16066638737302566</v>
      </c>
      <c r="L420" s="3">
        <f t="shared" si="69"/>
        <v>0.61813848974684027</v>
      </c>
      <c r="M420" s="56">
        <f t="shared" si="70"/>
        <v>0.38186151025315973</v>
      </c>
      <c r="O420" s="2">
        <v>43051</v>
      </c>
      <c r="R420" s="2">
        <v>49289</v>
      </c>
      <c r="S420" s="36"/>
    </row>
    <row r="421" spans="1:19" x14ac:dyDescent="0.25">
      <c r="A421" s="54" t="s">
        <v>26</v>
      </c>
      <c r="B421" s="1">
        <v>45344</v>
      </c>
      <c r="C421" s="36">
        <f t="shared" si="63"/>
        <v>28568</v>
      </c>
      <c r="D421" s="2">
        <v>13492</v>
      </c>
      <c r="E421" s="36">
        <f t="shared" si="64"/>
        <v>19414.400000000001</v>
      </c>
      <c r="F421" s="2">
        <v>11864</v>
      </c>
      <c r="G421" s="2">
        <f t="shared" si="62"/>
        <v>73338.399999999994</v>
      </c>
      <c r="H421" s="3">
        <f t="shared" si="65"/>
        <v>0.38953672291732572</v>
      </c>
      <c r="I421" s="3">
        <f t="shared" si="66"/>
        <v>0.26472352819259765</v>
      </c>
      <c r="J421" s="3">
        <f t="shared" si="67"/>
        <v>0.18396910758893023</v>
      </c>
      <c r="K421" s="3">
        <f t="shared" si="68"/>
        <v>0.16177064130114649</v>
      </c>
      <c r="L421" s="3">
        <f t="shared" si="69"/>
        <v>0.65426025110992336</v>
      </c>
      <c r="M421" s="56">
        <f t="shared" si="70"/>
        <v>0.34573974889007669</v>
      </c>
      <c r="O421" s="2">
        <v>26029</v>
      </c>
      <c r="R421" s="2">
        <v>54409</v>
      </c>
      <c r="S421" s="36"/>
    </row>
    <row r="422" spans="1:19" hidden="1" x14ac:dyDescent="0.25">
      <c r="A422" s="54" t="s">
        <v>7</v>
      </c>
      <c r="B422" s="1">
        <v>45345</v>
      </c>
      <c r="C422" s="36">
        <f t="shared" si="63"/>
        <v>27823.200000000001</v>
      </c>
      <c r="D422" s="2">
        <v>18859</v>
      </c>
      <c r="E422" s="36">
        <f t="shared" si="64"/>
        <v>13754.400000000001</v>
      </c>
      <c r="F422" s="2">
        <v>16620</v>
      </c>
      <c r="G422" s="2">
        <f t="shared" si="62"/>
        <v>77056.600000000006</v>
      </c>
      <c r="H422" s="3">
        <f t="shared" si="65"/>
        <v>0.36107484628182401</v>
      </c>
      <c r="I422" s="3">
        <f t="shared" si="66"/>
        <v>0.1784973642750913</v>
      </c>
      <c r="J422" s="3">
        <f t="shared" si="67"/>
        <v>0.24474217652997923</v>
      </c>
      <c r="K422" s="3">
        <f t="shared" si="68"/>
        <v>0.21568561291310542</v>
      </c>
      <c r="L422" s="3">
        <f t="shared" si="69"/>
        <v>0.53957221055691529</v>
      </c>
      <c r="M422" s="56">
        <f t="shared" si="70"/>
        <v>0.46042778944308466</v>
      </c>
      <c r="O422" s="2">
        <v>38402</v>
      </c>
      <c r="R422" s="2">
        <v>36814</v>
      </c>
      <c r="S422" s="36"/>
    </row>
    <row r="423" spans="1:19" hidden="1" x14ac:dyDescent="0.25">
      <c r="A423" s="54" t="s">
        <v>30</v>
      </c>
      <c r="B423" s="1">
        <v>45346</v>
      </c>
      <c r="C423" s="36">
        <f t="shared" si="63"/>
        <v>34616</v>
      </c>
      <c r="D423" s="2">
        <v>21674</v>
      </c>
      <c r="E423" s="36">
        <f t="shared" si="64"/>
        <v>29078.400000000001</v>
      </c>
      <c r="F423" s="2">
        <v>26407</v>
      </c>
      <c r="G423" s="2">
        <f t="shared" si="62"/>
        <v>111775.4</v>
      </c>
      <c r="H423" s="3">
        <f t="shared" si="65"/>
        <v>0.30969247258341281</v>
      </c>
      <c r="I423" s="3">
        <f t="shared" si="66"/>
        <v>0.26015026562195265</v>
      </c>
      <c r="J423" s="3">
        <f t="shared" si="67"/>
        <v>0.19390670934749507</v>
      </c>
      <c r="K423" s="3">
        <f t="shared" si="68"/>
        <v>0.23625055244713955</v>
      </c>
      <c r="L423" s="3">
        <f t="shared" si="69"/>
        <v>0.56984273820536546</v>
      </c>
      <c r="M423" s="56">
        <f t="shared" si="70"/>
        <v>0.43015726179463459</v>
      </c>
      <c r="O423" s="2">
        <v>41338</v>
      </c>
      <c r="R423" s="2">
        <v>28067</v>
      </c>
      <c r="S423" s="36"/>
    </row>
    <row r="424" spans="1:19" hidden="1" x14ac:dyDescent="0.25">
      <c r="A424" s="54" t="s">
        <v>31</v>
      </c>
      <c r="B424" s="1">
        <v>45347</v>
      </c>
      <c r="C424" s="36">
        <f t="shared" si="63"/>
        <v>33311.200000000004</v>
      </c>
      <c r="D424" s="2">
        <v>21864</v>
      </c>
      <c r="E424" s="36">
        <f t="shared" si="64"/>
        <v>30814.400000000001</v>
      </c>
      <c r="F424" s="2">
        <v>21889</v>
      </c>
      <c r="G424" s="2">
        <f t="shared" si="62"/>
        <v>107878.6</v>
      </c>
      <c r="H424" s="3">
        <f t="shared" si="65"/>
        <v>0.30878413327573773</v>
      </c>
      <c r="I424" s="3">
        <f t="shared" si="66"/>
        <v>0.28563959858581778</v>
      </c>
      <c r="J424" s="3">
        <f t="shared" si="67"/>
        <v>0.20267226308090761</v>
      </c>
      <c r="K424" s="3">
        <f t="shared" si="68"/>
        <v>0.20290400505753689</v>
      </c>
      <c r="L424" s="3">
        <f t="shared" si="69"/>
        <v>0.5944237318615555</v>
      </c>
      <c r="M424" s="56">
        <f t="shared" si="70"/>
        <v>0.4055762681384445</v>
      </c>
      <c r="O424" s="2">
        <v>36565</v>
      </c>
      <c r="R424" s="2">
        <v>38244</v>
      </c>
      <c r="S424" s="36"/>
    </row>
    <row r="425" spans="1:19" hidden="1" x14ac:dyDescent="0.25">
      <c r="A425" s="55" t="s">
        <v>129</v>
      </c>
      <c r="B425" s="1">
        <v>45348</v>
      </c>
      <c r="C425" s="36">
        <f t="shared" si="63"/>
        <v>46017.600000000006</v>
      </c>
      <c r="D425" s="2">
        <v>23406</v>
      </c>
      <c r="E425" s="36">
        <f t="shared" si="64"/>
        <v>29935.200000000001</v>
      </c>
      <c r="F425" s="2">
        <v>15701</v>
      </c>
      <c r="G425" s="2">
        <f t="shared" si="62"/>
        <v>115059.8</v>
      </c>
      <c r="H425" s="3">
        <f t="shared" si="65"/>
        <v>0.39994507204079971</v>
      </c>
      <c r="I425" s="3">
        <f t="shared" si="66"/>
        <v>0.26017079814148819</v>
      </c>
      <c r="J425" s="3">
        <f t="shared" si="67"/>
        <v>0.20342465396254816</v>
      </c>
      <c r="K425" s="3">
        <f t="shared" si="68"/>
        <v>0.13645947585516402</v>
      </c>
      <c r="L425" s="3">
        <f t="shared" si="69"/>
        <v>0.66011587018228779</v>
      </c>
      <c r="M425" s="56">
        <f t="shared" si="70"/>
        <v>0.33988412981771216</v>
      </c>
      <c r="O425" s="2">
        <v>28680</v>
      </c>
      <c r="R425" s="2">
        <v>23411</v>
      </c>
      <c r="S425" s="36"/>
    </row>
    <row r="426" spans="1:19" hidden="1" x14ac:dyDescent="0.25">
      <c r="A426" s="55" t="s">
        <v>14</v>
      </c>
      <c r="B426" s="1">
        <v>45349</v>
      </c>
      <c r="C426" s="36">
        <f t="shared" si="63"/>
        <v>32599.200000000001</v>
      </c>
      <c r="D426" s="2">
        <v>14607</v>
      </c>
      <c r="E426" s="36">
        <f t="shared" si="64"/>
        <v>19520.8</v>
      </c>
      <c r="F426" s="2">
        <v>17340</v>
      </c>
      <c r="G426" s="2">
        <f t="shared" si="62"/>
        <v>84067</v>
      </c>
      <c r="H426" s="3">
        <f t="shared" si="65"/>
        <v>0.38777641642975247</v>
      </c>
      <c r="I426" s="3">
        <f t="shared" si="66"/>
        <v>0.23220526484827578</v>
      </c>
      <c r="J426" s="3">
        <f t="shared" si="67"/>
        <v>0.17375426742955025</v>
      </c>
      <c r="K426" s="3">
        <f t="shared" si="68"/>
        <v>0.20626405129242151</v>
      </c>
      <c r="L426" s="3">
        <f t="shared" si="69"/>
        <v>0.61998168127802822</v>
      </c>
      <c r="M426" s="56">
        <f t="shared" si="70"/>
        <v>0.38001831872197178</v>
      </c>
      <c r="O426" s="2">
        <v>37936</v>
      </c>
      <c r="R426" s="2">
        <v>26992</v>
      </c>
      <c r="S426" s="36"/>
    </row>
    <row r="427" spans="1:19" hidden="1" x14ac:dyDescent="0.25">
      <c r="A427" s="55" t="s">
        <v>21</v>
      </c>
      <c r="B427" s="1">
        <v>45350</v>
      </c>
      <c r="C427" s="36">
        <f t="shared" si="63"/>
        <v>27942.400000000001</v>
      </c>
      <c r="D427" s="2">
        <v>11530</v>
      </c>
      <c r="E427" s="36">
        <f t="shared" si="64"/>
        <v>13644</v>
      </c>
      <c r="F427" s="2">
        <v>8164</v>
      </c>
      <c r="G427" s="2">
        <f t="shared" si="62"/>
        <v>61280.4</v>
      </c>
      <c r="H427" s="3">
        <f t="shared" si="65"/>
        <v>0.45597613592600572</v>
      </c>
      <c r="I427" s="3">
        <f t="shared" si="66"/>
        <v>0.22264867722795542</v>
      </c>
      <c r="J427" s="3">
        <f t="shared" si="67"/>
        <v>0.18815151337132263</v>
      </c>
      <c r="K427" s="3">
        <f t="shared" si="68"/>
        <v>0.13322367347471623</v>
      </c>
      <c r="L427" s="3">
        <f t="shared" si="69"/>
        <v>0.67862481315396117</v>
      </c>
      <c r="M427" s="56">
        <f t="shared" si="70"/>
        <v>0.32137518684603883</v>
      </c>
      <c r="O427" s="2">
        <v>48496</v>
      </c>
      <c r="R427" s="2">
        <v>25047</v>
      </c>
      <c r="S427" s="36"/>
    </row>
    <row r="428" spans="1:19" x14ac:dyDescent="0.25">
      <c r="A428" s="55" t="s">
        <v>26</v>
      </c>
      <c r="B428" s="1">
        <v>45351</v>
      </c>
      <c r="C428" s="36">
        <f t="shared" si="63"/>
        <v>26588.800000000003</v>
      </c>
      <c r="D428" s="2">
        <v>11118</v>
      </c>
      <c r="E428" s="36">
        <f t="shared" si="64"/>
        <v>18314.400000000001</v>
      </c>
      <c r="F428" s="2">
        <v>13005</v>
      </c>
      <c r="G428" s="2">
        <f t="shared" si="62"/>
        <v>69026.200000000012</v>
      </c>
      <c r="H428" s="3">
        <f t="shared" si="65"/>
        <v>0.38519866369581401</v>
      </c>
      <c r="I428" s="3">
        <f t="shared" si="66"/>
        <v>0.26532534023312887</v>
      </c>
      <c r="J428" s="3">
        <f t="shared" si="67"/>
        <v>0.16106927514480007</v>
      </c>
      <c r="K428" s="3">
        <f t="shared" si="68"/>
        <v>0.18840672092625696</v>
      </c>
      <c r="L428" s="3">
        <f t="shared" si="69"/>
        <v>0.65052400392894283</v>
      </c>
      <c r="M428" s="56">
        <f t="shared" si="70"/>
        <v>0.349475996071057</v>
      </c>
      <c r="O428" s="2">
        <v>38813</v>
      </c>
      <c r="R428" s="2">
        <v>42922</v>
      </c>
      <c r="S428" s="36"/>
    </row>
    <row r="429" spans="1:19" hidden="1" x14ac:dyDescent="0.25">
      <c r="A429" s="55" t="s">
        <v>7</v>
      </c>
      <c r="B429" s="1">
        <v>45352</v>
      </c>
      <c r="C429" s="36">
        <f t="shared" si="63"/>
        <v>30334.400000000001</v>
      </c>
      <c r="D429" s="2">
        <v>17937</v>
      </c>
      <c r="E429" s="36">
        <f t="shared" si="64"/>
        <v>21524</v>
      </c>
      <c r="F429" s="2">
        <v>21897</v>
      </c>
      <c r="G429" s="2">
        <f t="shared" si="62"/>
        <v>91692.4</v>
      </c>
      <c r="H429" s="3">
        <f t="shared" si="65"/>
        <v>0.33082785487128707</v>
      </c>
      <c r="I429" s="3">
        <f t="shared" si="66"/>
        <v>0.23474137442143517</v>
      </c>
      <c r="J429" s="3">
        <f t="shared" si="67"/>
        <v>0.19562144736095904</v>
      </c>
      <c r="K429" s="3">
        <f t="shared" si="68"/>
        <v>0.2388093233463188</v>
      </c>
      <c r="L429" s="3">
        <f t="shared" si="69"/>
        <v>0.56556922929272224</v>
      </c>
      <c r="M429" s="56">
        <f t="shared" si="70"/>
        <v>0.43443077070727781</v>
      </c>
      <c r="O429" s="2">
        <v>50261</v>
      </c>
      <c r="R429" s="2">
        <v>42269</v>
      </c>
      <c r="S429" s="36"/>
    </row>
    <row r="430" spans="1:19" hidden="1" x14ac:dyDescent="0.25">
      <c r="A430" s="55" t="s">
        <v>30</v>
      </c>
      <c r="B430" s="1">
        <v>45353</v>
      </c>
      <c r="C430" s="36">
        <f t="shared" si="63"/>
        <v>38130.400000000001</v>
      </c>
      <c r="D430" s="2">
        <v>19061</v>
      </c>
      <c r="E430" s="36">
        <f t="shared" si="64"/>
        <v>31774.400000000001</v>
      </c>
      <c r="F430" s="2">
        <v>20673</v>
      </c>
      <c r="G430" s="2">
        <f t="shared" si="62"/>
        <v>109638.8</v>
      </c>
      <c r="H430" s="3">
        <f t="shared" si="65"/>
        <v>0.34778198958762774</v>
      </c>
      <c r="I430" s="3">
        <f t="shared" si="66"/>
        <v>0.28980981185492727</v>
      </c>
      <c r="J430" s="3">
        <f t="shared" si="67"/>
        <v>0.17385268718738256</v>
      </c>
      <c r="K430" s="3">
        <f t="shared" si="68"/>
        <v>0.18855551137006241</v>
      </c>
      <c r="L430" s="3">
        <f t="shared" si="69"/>
        <v>0.63759180144255501</v>
      </c>
      <c r="M430" s="56">
        <f t="shared" si="70"/>
        <v>0.36240819855744499</v>
      </c>
      <c r="O430" s="2">
        <v>38273</v>
      </c>
      <c r="R430" s="2">
        <v>28675</v>
      </c>
      <c r="S430" s="36"/>
    </row>
    <row r="431" spans="1:19" hidden="1" x14ac:dyDescent="0.25">
      <c r="A431" s="55" t="s">
        <v>31</v>
      </c>
      <c r="B431" s="1">
        <v>45354</v>
      </c>
      <c r="C431" s="36">
        <f t="shared" si="63"/>
        <v>23826.400000000001</v>
      </c>
      <c r="D431" s="2">
        <v>23018</v>
      </c>
      <c r="E431" s="36">
        <f t="shared" si="64"/>
        <v>36772.800000000003</v>
      </c>
      <c r="F431" s="2">
        <v>25916</v>
      </c>
      <c r="G431" s="2">
        <f t="shared" si="62"/>
        <v>109533.20000000001</v>
      </c>
      <c r="H431" s="3">
        <f t="shared" si="65"/>
        <v>0.21752674075074954</v>
      </c>
      <c r="I431" s="3">
        <f t="shared" si="66"/>
        <v>0.33572286758717906</v>
      </c>
      <c r="J431" s="3">
        <f t="shared" si="67"/>
        <v>0.21014633006248332</v>
      </c>
      <c r="K431" s="3">
        <f t="shared" si="68"/>
        <v>0.23660406159958805</v>
      </c>
      <c r="L431" s="3">
        <f t="shared" si="69"/>
        <v>0.55324960833792858</v>
      </c>
      <c r="M431" s="56">
        <f t="shared" si="70"/>
        <v>0.44675039166207137</v>
      </c>
      <c r="O431" s="2">
        <v>23410</v>
      </c>
      <c r="R431" s="2">
        <v>30295</v>
      </c>
      <c r="S431" s="36"/>
    </row>
    <row r="432" spans="1:19" hidden="1" x14ac:dyDescent="0.25">
      <c r="A432" s="55" t="s">
        <v>129</v>
      </c>
      <c r="B432" s="1">
        <v>45355</v>
      </c>
      <c r="C432" s="36">
        <f t="shared" si="63"/>
        <v>25527.200000000001</v>
      </c>
      <c r="D432" s="2">
        <v>17015</v>
      </c>
      <c r="E432" s="36">
        <f t="shared" si="64"/>
        <v>24196.800000000003</v>
      </c>
      <c r="F432" s="2">
        <v>12067</v>
      </c>
      <c r="G432" s="2">
        <f t="shared" si="62"/>
        <v>78806</v>
      </c>
      <c r="H432" s="3">
        <f t="shared" si="65"/>
        <v>0.32392457427099458</v>
      </c>
      <c r="I432" s="3">
        <f t="shared" si="66"/>
        <v>0.307042610968708</v>
      </c>
      <c r="J432" s="3">
        <f t="shared" si="67"/>
        <v>0.21590995609471361</v>
      </c>
      <c r="K432" s="3">
        <f t="shared" si="68"/>
        <v>0.15312285866558384</v>
      </c>
      <c r="L432" s="3">
        <f t="shared" si="69"/>
        <v>0.63096718523970252</v>
      </c>
      <c r="M432" s="56">
        <f t="shared" si="70"/>
        <v>0.36903281476029742</v>
      </c>
      <c r="O432" s="2">
        <v>27512</v>
      </c>
      <c r="R432" s="2">
        <v>25098</v>
      </c>
      <c r="S432" s="36"/>
    </row>
    <row r="433" spans="1:19" hidden="1" x14ac:dyDescent="0.25">
      <c r="A433" s="55" t="s">
        <v>14</v>
      </c>
      <c r="B433" s="1">
        <v>45356</v>
      </c>
      <c r="C433" s="36">
        <f t="shared" si="63"/>
        <v>38640</v>
      </c>
      <c r="D433" s="2">
        <v>16650</v>
      </c>
      <c r="E433" s="36">
        <f t="shared" si="64"/>
        <v>28231.200000000001</v>
      </c>
      <c r="F433" s="2">
        <v>12842</v>
      </c>
      <c r="G433" s="2">
        <f t="shared" si="62"/>
        <v>96363.199999999997</v>
      </c>
      <c r="H433" s="3">
        <f t="shared" si="65"/>
        <v>0.40098294784731103</v>
      </c>
      <c r="I433" s="3">
        <f t="shared" si="66"/>
        <v>0.29296660966011923</v>
      </c>
      <c r="J433" s="3">
        <f t="shared" si="67"/>
        <v>0.1727838012851379</v>
      </c>
      <c r="K433" s="3">
        <f t="shared" si="68"/>
        <v>0.1332666412074319</v>
      </c>
      <c r="L433" s="3">
        <f t="shared" si="69"/>
        <v>0.69394955750743026</v>
      </c>
      <c r="M433" s="56">
        <f t="shared" si="70"/>
        <v>0.3060504424925698</v>
      </c>
      <c r="O433" s="2">
        <v>52056</v>
      </c>
      <c r="R433" s="2">
        <v>20680</v>
      </c>
      <c r="S433" s="36"/>
    </row>
    <row r="434" spans="1:19" hidden="1" x14ac:dyDescent="0.25">
      <c r="A434" s="55" t="s">
        <v>21</v>
      </c>
      <c r="B434" s="1">
        <v>45357</v>
      </c>
      <c r="C434" s="36">
        <f t="shared" si="63"/>
        <v>22347.200000000001</v>
      </c>
      <c r="D434" s="2">
        <v>13451</v>
      </c>
      <c r="E434" s="36">
        <f t="shared" si="64"/>
        <v>19089.600000000002</v>
      </c>
      <c r="F434" s="2">
        <v>8723</v>
      </c>
      <c r="G434" s="2">
        <f t="shared" si="62"/>
        <v>63610.8</v>
      </c>
      <c r="H434" s="3">
        <f t="shared" si="65"/>
        <v>0.35131141252743242</v>
      </c>
      <c r="I434" s="3">
        <f t="shared" si="66"/>
        <v>0.30009998302175106</v>
      </c>
      <c r="J434" s="3">
        <f t="shared" si="67"/>
        <v>0.21145780276305282</v>
      </c>
      <c r="K434" s="3">
        <f t="shared" si="68"/>
        <v>0.1371308016877637</v>
      </c>
      <c r="L434" s="3">
        <f t="shared" si="69"/>
        <v>0.65141139554918348</v>
      </c>
      <c r="M434" s="56">
        <f t="shared" si="70"/>
        <v>0.34858860445081652</v>
      </c>
      <c r="O434" s="2">
        <v>36473</v>
      </c>
      <c r="R434" s="2">
        <v>39540</v>
      </c>
      <c r="S434" s="36"/>
    </row>
    <row r="435" spans="1:19" x14ac:dyDescent="0.25">
      <c r="A435" s="55" t="s">
        <v>26</v>
      </c>
      <c r="B435" s="1">
        <v>45358</v>
      </c>
      <c r="C435" s="36">
        <f t="shared" si="63"/>
        <v>22531.200000000001</v>
      </c>
      <c r="D435" s="2">
        <v>17859</v>
      </c>
      <c r="E435" s="36">
        <f t="shared" si="64"/>
        <v>14672</v>
      </c>
      <c r="F435" s="2">
        <v>12387</v>
      </c>
      <c r="G435" s="2">
        <f t="shared" si="62"/>
        <v>67449.2</v>
      </c>
      <c r="H435" s="3">
        <f t="shared" si="65"/>
        <v>0.33404695682083702</v>
      </c>
      <c r="I435" s="3">
        <f t="shared" si="66"/>
        <v>0.21752667192494501</v>
      </c>
      <c r="J435" s="3">
        <f t="shared" si="67"/>
        <v>0.26477704702205512</v>
      </c>
      <c r="K435" s="3">
        <f t="shared" si="68"/>
        <v>0.18364932423216287</v>
      </c>
      <c r="L435" s="3">
        <f t="shared" si="69"/>
        <v>0.55157362874578197</v>
      </c>
      <c r="M435" s="56">
        <f t="shared" si="70"/>
        <v>0.44842637125421803</v>
      </c>
      <c r="O435" s="2">
        <v>38344</v>
      </c>
      <c r="R435" s="2">
        <v>36355</v>
      </c>
      <c r="S435" s="36"/>
    </row>
    <row r="436" spans="1:19" hidden="1" x14ac:dyDescent="0.25">
      <c r="A436" s="55" t="s">
        <v>7</v>
      </c>
      <c r="B436" s="1">
        <v>45359</v>
      </c>
      <c r="C436" s="36">
        <f t="shared" si="63"/>
        <v>46671.200000000004</v>
      </c>
      <c r="D436" s="2">
        <v>14896</v>
      </c>
      <c r="E436" s="36">
        <f t="shared" si="64"/>
        <v>16960</v>
      </c>
      <c r="F436" s="2">
        <v>19007</v>
      </c>
      <c r="G436" s="2">
        <f t="shared" si="62"/>
        <v>97534.200000000012</v>
      </c>
      <c r="H436" s="3">
        <f t="shared" si="65"/>
        <v>0.47851112737890911</v>
      </c>
      <c r="I436" s="3">
        <f t="shared" si="66"/>
        <v>0.17388772348571063</v>
      </c>
      <c r="J436" s="3">
        <f t="shared" si="67"/>
        <v>0.15272591562754395</v>
      </c>
      <c r="K436" s="3">
        <f t="shared" si="68"/>
        <v>0.1948752335078362</v>
      </c>
      <c r="L436" s="3">
        <f t="shared" si="69"/>
        <v>0.65239885086461979</v>
      </c>
      <c r="M436" s="56">
        <f t="shared" si="70"/>
        <v>0.34760114913538015</v>
      </c>
      <c r="O436" s="2">
        <v>58820</v>
      </c>
      <c r="R436" s="2">
        <v>47119</v>
      </c>
      <c r="S436" s="36"/>
    </row>
    <row r="437" spans="1:19" hidden="1" x14ac:dyDescent="0.25">
      <c r="A437" s="55" t="s">
        <v>30</v>
      </c>
      <c r="B437" s="1">
        <v>45360</v>
      </c>
      <c r="C437" s="36">
        <f t="shared" si="63"/>
        <v>35967.200000000004</v>
      </c>
      <c r="D437" s="2">
        <v>26771</v>
      </c>
      <c r="E437" s="36">
        <f t="shared" si="64"/>
        <v>33981.599999999999</v>
      </c>
      <c r="F437" s="2">
        <v>23527</v>
      </c>
      <c r="G437" s="2">
        <f t="shared" si="62"/>
        <v>120246.8</v>
      </c>
      <c r="H437" s="3">
        <f t="shared" si="65"/>
        <v>0.29911149402728393</v>
      </c>
      <c r="I437" s="3">
        <f t="shared" si="66"/>
        <v>0.28259878849166881</v>
      </c>
      <c r="J437" s="3">
        <f t="shared" si="67"/>
        <v>0.22263378318591429</v>
      </c>
      <c r="K437" s="3">
        <f t="shared" si="68"/>
        <v>0.195655934295133</v>
      </c>
      <c r="L437" s="3">
        <f t="shared" si="69"/>
        <v>0.58171028251895274</v>
      </c>
      <c r="M437" s="56">
        <f t="shared" si="70"/>
        <v>0.41828971748104732</v>
      </c>
      <c r="O437" s="2">
        <v>49110</v>
      </c>
      <c r="R437" s="2">
        <v>22459</v>
      </c>
      <c r="S437" s="36"/>
    </row>
    <row r="438" spans="1:19" hidden="1" x14ac:dyDescent="0.25">
      <c r="A438" s="55" t="s">
        <v>31</v>
      </c>
      <c r="B438" s="1">
        <v>45361</v>
      </c>
      <c r="C438" s="36">
        <f t="shared" si="63"/>
        <v>32212</v>
      </c>
      <c r="D438" s="2">
        <v>17760</v>
      </c>
      <c r="E438" s="36">
        <f t="shared" si="64"/>
        <v>42796.800000000003</v>
      </c>
      <c r="F438" s="2">
        <v>23839</v>
      </c>
      <c r="G438" s="2">
        <f t="shared" si="62"/>
        <v>116607.8</v>
      </c>
      <c r="H438" s="3">
        <f t="shared" si="65"/>
        <v>0.27624224108507323</v>
      </c>
      <c r="I438" s="3">
        <f t="shared" si="66"/>
        <v>0.36701489951787103</v>
      </c>
      <c r="J438" s="3">
        <f t="shared" si="67"/>
        <v>0.15230542039211784</v>
      </c>
      <c r="K438" s="3">
        <f t="shared" si="68"/>
        <v>0.20443743900493791</v>
      </c>
      <c r="L438" s="3">
        <f t="shared" si="69"/>
        <v>0.64325714060294426</v>
      </c>
      <c r="M438" s="56">
        <f t="shared" si="70"/>
        <v>0.35674285939705574</v>
      </c>
      <c r="O438" s="2">
        <v>35797</v>
      </c>
      <c r="R438" s="2">
        <v>20332</v>
      </c>
      <c r="S438" s="36"/>
    </row>
    <row r="439" spans="1:19" hidden="1" x14ac:dyDescent="0.25">
      <c r="A439" s="55" t="s">
        <v>129</v>
      </c>
      <c r="B439" s="1">
        <v>45362</v>
      </c>
      <c r="C439" s="36">
        <f t="shared" si="63"/>
        <v>56596</v>
      </c>
      <c r="D439" s="2">
        <v>25308</v>
      </c>
      <c r="E439" s="36">
        <f t="shared" si="64"/>
        <v>46122.400000000001</v>
      </c>
      <c r="F439" s="2">
        <v>13627</v>
      </c>
      <c r="G439" s="2">
        <f t="shared" si="62"/>
        <v>141653.4</v>
      </c>
      <c r="H439" s="3">
        <f t="shared" si="65"/>
        <v>0.39953859208462345</v>
      </c>
      <c r="I439" s="3">
        <f t="shared" si="66"/>
        <v>0.32560037387030599</v>
      </c>
      <c r="J439" s="3">
        <f t="shared" si="67"/>
        <v>0.17866143700045323</v>
      </c>
      <c r="K439" s="3">
        <f t="shared" si="68"/>
        <v>9.6199597044617363E-2</v>
      </c>
      <c r="L439" s="3">
        <f t="shared" si="69"/>
        <v>0.72513896595492944</v>
      </c>
      <c r="M439" s="56">
        <f t="shared" si="70"/>
        <v>0.27486103404507056</v>
      </c>
      <c r="O439" s="2">
        <v>30886</v>
      </c>
      <c r="R439" s="2">
        <v>15150</v>
      </c>
      <c r="S439" s="36"/>
    </row>
    <row r="440" spans="1:19" hidden="1" x14ac:dyDescent="0.25">
      <c r="A440" s="55" t="s">
        <v>14</v>
      </c>
      <c r="B440" s="1">
        <v>45363</v>
      </c>
      <c r="C440" s="36">
        <f t="shared" si="63"/>
        <v>44011.200000000004</v>
      </c>
      <c r="D440" s="2">
        <v>17607</v>
      </c>
      <c r="E440" s="36">
        <f t="shared" si="64"/>
        <v>24772</v>
      </c>
      <c r="F440" s="2">
        <v>15420</v>
      </c>
      <c r="G440" s="2">
        <f t="shared" si="62"/>
        <v>101810.20000000001</v>
      </c>
      <c r="H440" s="3">
        <f t="shared" si="65"/>
        <v>0.43228674533592898</v>
      </c>
      <c r="I440" s="3">
        <f t="shared" si="66"/>
        <v>0.24331550276887776</v>
      </c>
      <c r="J440" s="3">
        <f t="shared" si="67"/>
        <v>0.1729394500747469</v>
      </c>
      <c r="K440" s="3">
        <f t="shared" si="68"/>
        <v>0.15145830182044626</v>
      </c>
      <c r="L440" s="3">
        <f t="shared" si="69"/>
        <v>0.67560224810480685</v>
      </c>
      <c r="M440" s="56">
        <f t="shared" si="70"/>
        <v>0.32439775189519315</v>
      </c>
      <c r="O440" s="2">
        <v>41239</v>
      </c>
      <c r="R440" s="2">
        <v>29838</v>
      </c>
      <c r="S440" s="36"/>
    </row>
    <row r="441" spans="1:19" hidden="1" x14ac:dyDescent="0.25">
      <c r="A441" s="55" t="s">
        <v>21</v>
      </c>
      <c r="B441" s="1">
        <v>45364</v>
      </c>
      <c r="C441" s="36">
        <f t="shared" si="63"/>
        <v>35510.400000000001</v>
      </c>
      <c r="D441" s="2">
        <v>16818</v>
      </c>
      <c r="E441" s="36">
        <f t="shared" si="64"/>
        <v>28161.600000000002</v>
      </c>
      <c r="F441" s="2">
        <v>14175</v>
      </c>
      <c r="G441" s="2">
        <f t="shared" si="62"/>
        <v>94665</v>
      </c>
      <c r="H441" s="3">
        <f t="shared" si="65"/>
        <v>0.37511646331801618</v>
      </c>
      <c r="I441" s="3">
        <f t="shared" si="66"/>
        <v>0.29748692758675332</v>
      </c>
      <c r="J441" s="3">
        <f t="shared" si="67"/>
        <v>0.17765805736016479</v>
      </c>
      <c r="K441" s="3">
        <f t="shared" si="68"/>
        <v>0.14973855173506576</v>
      </c>
      <c r="L441" s="3">
        <f t="shared" si="69"/>
        <v>0.6726033909047695</v>
      </c>
      <c r="M441" s="56">
        <f t="shared" si="70"/>
        <v>0.32739660909523055</v>
      </c>
      <c r="O441" s="2">
        <v>38265</v>
      </c>
      <c r="R441" s="2">
        <v>38263</v>
      </c>
      <c r="S441" s="36"/>
    </row>
    <row r="442" spans="1:19" x14ac:dyDescent="0.25">
      <c r="A442" s="55" t="s">
        <v>26</v>
      </c>
      <c r="B442" s="1">
        <v>45365</v>
      </c>
      <c r="C442" s="36">
        <f t="shared" si="63"/>
        <v>23122.400000000001</v>
      </c>
      <c r="D442" s="2">
        <v>10794</v>
      </c>
      <c r="E442" s="36">
        <f t="shared" si="64"/>
        <v>13195.2</v>
      </c>
      <c r="F442" s="2">
        <v>10571</v>
      </c>
      <c r="G442" s="2">
        <f t="shared" si="62"/>
        <v>57682.600000000006</v>
      </c>
      <c r="H442" s="3">
        <f t="shared" si="65"/>
        <v>0.40085571732203473</v>
      </c>
      <c r="I442" s="3">
        <f t="shared" si="66"/>
        <v>0.22875529189044874</v>
      </c>
      <c r="J442" s="3">
        <f t="shared" si="67"/>
        <v>0.18712748731853279</v>
      </c>
      <c r="K442" s="3">
        <f t="shared" si="68"/>
        <v>0.18326150346898371</v>
      </c>
      <c r="L442" s="3">
        <f t="shared" si="69"/>
        <v>0.62961100921248347</v>
      </c>
      <c r="M442" s="56">
        <f t="shared" si="70"/>
        <v>0.37038899078751647</v>
      </c>
      <c r="O442" s="2">
        <v>52421</v>
      </c>
      <c r="R442" s="2">
        <v>41776</v>
      </c>
      <c r="S442" s="36"/>
    </row>
    <row r="443" spans="1:19" hidden="1" x14ac:dyDescent="0.25">
      <c r="A443" s="55" t="s">
        <v>7</v>
      </c>
      <c r="B443" s="1">
        <v>45366</v>
      </c>
      <c r="C443" s="36">
        <f t="shared" si="63"/>
        <v>26752</v>
      </c>
      <c r="D443" s="2">
        <v>18101</v>
      </c>
      <c r="E443" s="36">
        <f t="shared" si="64"/>
        <v>26791.200000000001</v>
      </c>
      <c r="F443" s="2">
        <v>17753</v>
      </c>
      <c r="G443" s="2">
        <f t="shared" si="62"/>
        <v>89397.2</v>
      </c>
      <c r="H443" s="3">
        <f t="shared" si="65"/>
        <v>0.29924874604573748</v>
      </c>
      <c r="I443" s="3">
        <f t="shared" si="66"/>
        <v>0.29968723852648632</v>
      </c>
      <c r="J443" s="3">
        <f t="shared" si="67"/>
        <v>0.20247837739884472</v>
      </c>
      <c r="K443" s="3">
        <f t="shared" si="68"/>
        <v>0.19858563802893156</v>
      </c>
      <c r="L443" s="3">
        <f t="shared" si="69"/>
        <v>0.59893598457222375</v>
      </c>
      <c r="M443" s="56">
        <f t="shared" si="70"/>
        <v>0.40106401542777625</v>
      </c>
      <c r="O443" s="2">
        <v>45454</v>
      </c>
      <c r="R443" s="2">
        <v>42961</v>
      </c>
      <c r="S443" s="36"/>
    </row>
    <row r="444" spans="1:19" hidden="1" x14ac:dyDescent="0.25">
      <c r="A444" s="55" t="s">
        <v>30</v>
      </c>
      <c r="B444" s="1">
        <v>45367</v>
      </c>
      <c r="C444" s="36">
        <f t="shared" si="63"/>
        <v>38744</v>
      </c>
      <c r="D444" s="2">
        <v>24117</v>
      </c>
      <c r="E444" s="36">
        <f t="shared" si="64"/>
        <v>40428</v>
      </c>
      <c r="F444" s="2">
        <v>25121</v>
      </c>
      <c r="G444" s="2">
        <f t="shared" si="62"/>
        <v>128410</v>
      </c>
      <c r="H444" s="3">
        <f t="shared" si="65"/>
        <v>0.30172104976247954</v>
      </c>
      <c r="I444" s="3">
        <f t="shared" si="66"/>
        <v>0.31483529320146408</v>
      </c>
      <c r="J444" s="3">
        <f t="shared" si="67"/>
        <v>0.18781247566388912</v>
      </c>
      <c r="K444" s="3">
        <f t="shared" si="68"/>
        <v>0.19563118137216728</v>
      </c>
      <c r="L444" s="3">
        <f t="shared" si="69"/>
        <v>0.61655634296394357</v>
      </c>
      <c r="M444" s="56">
        <f t="shared" si="70"/>
        <v>0.38344365703605637</v>
      </c>
      <c r="O444" s="2">
        <v>42178</v>
      </c>
      <c r="R444" s="2">
        <v>26590</v>
      </c>
      <c r="S444" s="36"/>
    </row>
    <row r="445" spans="1:19" hidden="1" x14ac:dyDescent="0.25">
      <c r="A445" s="55" t="s">
        <v>31</v>
      </c>
      <c r="B445" s="1">
        <v>45368</v>
      </c>
      <c r="C445" s="36">
        <f t="shared" si="63"/>
        <v>42604</v>
      </c>
      <c r="D445" s="2">
        <v>23878</v>
      </c>
      <c r="E445" s="36">
        <f t="shared" si="64"/>
        <v>47628.800000000003</v>
      </c>
      <c r="F445" s="2">
        <v>27210</v>
      </c>
      <c r="G445" s="2">
        <f t="shared" si="62"/>
        <v>141320.79999999999</v>
      </c>
      <c r="H445" s="3">
        <f t="shared" si="65"/>
        <v>0.30147013037005171</v>
      </c>
      <c r="I445" s="3">
        <f t="shared" si="66"/>
        <v>0.33702611363649232</v>
      </c>
      <c r="J445" s="3">
        <f t="shared" si="67"/>
        <v>0.16896309672744567</v>
      </c>
      <c r="K445" s="3">
        <f t="shared" si="68"/>
        <v>0.19254065926601041</v>
      </c>
      <c r="L445" s="3">
        <f t="shared" si="69"/>
        <v>0.63849624400654403</v>
      </c>
      <c r="M445" s="56">
        <f t="shared" si="70"/>
        <v>0.36150375599345608</v>
      </c>
      <c r="O445" s="2">
        <v>27009</v>
      </c>
      <c r="R445" s="2">
        <v>29797</v>
      </c>
      <c r="S445" s="36"/>
    </row>
    <row r="446" spans="1:19" hidden="1" x14ac:dyDescent="0.25">
      <c r="A446" s="55" t="s">
        <v>129</v>
      </c>
      <c r="B446" s="1">
        <v>45369</v>
      </c>
      <c r="C446" s="36">
        <f t="shared" si="63"/>
        <v>46648</v>
      </c>
      <c r="D446" s="2">
        <v>22892</v>
      </c>
      <c r="E446" s="36">
        <f t="shared" si="64"/>
        <v>41030.400000000001</v>
      </c>
      <c r="F446" s="2">
        <v>17171</v>
      </c>
      <c r="G446" s="2">
        <f t="shared" si="62"/>
        <v>127741.4</v>
      </c>
      <c r="H446" s="3">
        <f t="shared" si="65"/>
        <v>0.3651752681589524</v>
      </c>
      <c r="I446" s="3">
        <f t="shared" si="66"/>
        <v>0.32119892219750218</v>
      </c>
      <c r="J446" s="3">
        <f t="shared" si="67"/>
        <v>0.17920580172129005</v>
      </c>
      <c r="K446" s="3">
        <f t="shared" si="68"/>
        <v>0.13442000792225545</v>
      </c>
      <c r="L446" s="3">
        <f t="shared" si="69"/>
        <v>0.68637419035645453</v>
      </c>
      <c r="M446" s="56">
        <f t="shared" si="70"/>
        <v>0.31362580964354547</v>
      </c>
      <c r="O446" s="2">
        <v>35710</v>
      </c>
      <c r="R446" s="2">
        <v>24268</v>
      </c>
      <c r="S446" s="36"/>
    </row>
    <row r="447" spans="1:19" hidden="1" x14ac:dyDescent="0.25">
      <c r="A447" s="55" t="s">
        <v>14</v>
      </c>
      <c r="B447" s="1">
        <v>45370</v>
      </c>
      <c r="C447" s="36">
        <f t="shared" si="63"/>
        <v>47666.400000000001</v>
      </c>
      <c r="D447" s="2">
        <v>20340</v>
      </c>
      <c r="E447" s="36">
        <f t="shared" si="64"/>
        <v>25646.400000000001</v>
      </c>
      <c r="F447" s="2">
        <v>19118</v>
      </c>
      <c r="G447" s="2">
        <f t="shared" si="62"/>
        <v>112770.79999999999</v>
      </c>
      <c r="H447" s="3">
        <f t="shared" si="65"/>
        <v>0.42268388625424319</v>
      </c>
      <c r="I447" s="3">
        <f t="shared" si="66"/>
        <v>0.22742057341084754</v>
      </c>
      <c r="J447" s="3">
        <f t="shared" si="67"/>
        <v>0.18036583938395401</v>
      </c>
      <c r="K447" s="3">
        <f t="shared" si="68"/>
        <v>0.1695297009509554</v>
      </c>
      <c r="L447" s="3">
        <f t="shared" si="69"/>
        <v>0.65010445966509067</v>
      </c>
      <c r="M447" s="56">
        <f t="shared" si="70"/>
        <v>0.34989554033490944</v>
      </c>
      <c r="O447" s="2">
        <v>34779</v>
      </c>
      <c r="R447" s="2">
        <v>17193</v>
      </c>
      <c r="S447" s="36"/>
    </row>
    <row r="448" spans="1:19" hidden="1" x14ac:dyDescent="0.25">
      <c r="A448" s="55" t="s">
        <v>21</v>
      </c>
      <c r="B448" s="1">
        <v>45371</v>
      </c>
      <c r="C448" s="36">
        <f t="shared" si="63"/>
        <v>32292</v>
      </c>
      <c r="D448" s="2">
        <v>18452</v>
      </c>
      <c r="E448" s="36">
        <f t="shared" si="64"/>
        <v>21855.200000000001</v>
      </c>
      <c r="F448" s="2">
        <v>14649</v>
      </c>
      <c r="G448" s="2">
        <f t="shared" si="62"/>
        <v>87248.2</v>
      </c>
      <c r="H448" s="3">
        <f t="shared" si="65"/>
        <v>0.37011651816312546</v>
      </c>
      <c r="I448" s="3">
        <f t="shared" si="66"/>
        <v>0.25049456607700793</v>
      </c>
      <c r="J448" s="3">
        <f t="shared" si="67"/>
        <v>0.21148860377635298</v>
      </c>
      <c r="K448" s="3">
        <f t="shared" si="68"/>
        <v>0.16790031198351371</v>
      </c>
      <c r="L448" s="3">
        <f t="shared" si="69"/>
        <v>0.62061108424013334</v>
      </c>
      <c r="M448" s="56">
        <f t="shared" si="70"/>
        <v>0.37938891575986672</v>
      </c>
      <c r="O448" s="2">
        <v>43270</v>
      </c>
      <c r="R448" s="2">
        <v>36348</v>
      </c>
      <c r="S448" s="36"/>
    </row>
    <row r="449" spans="1:19" x14ac:dyDescent="0.25">
      <c r="A449" s="55" t="s">
        <v>26</v>
      </c>
      <c r="B449" s="1">
        <v>45372</v>
      </c>
      <c r="C449" s="36">
        <f t="shared" si="63"/>
        <v>20173.600000000002</v>
      </c>
      <c r="D449" s="2">
        <v>15124</v>
      </c>
      <c r="E449" s="36">
        <f t="shared" si="64"/>
        <v>24816.800000000003</v>
      </c>
      <c r="F449" s="2">
        <v>9569</v>
      </c>
      <c r="G449" s="2">
        <f t="shared" si="62"/>
        <v>69683.400000000009</v>
      </c>
      <c r="H449" s="3">
        <f t="shared" si="65"/>
        <v>0.2895036694535571</v>
      </c>
      <c r="I449" s="3">
        <f t="shared" si="66"/>
        <v>0.35613646865681065</v>
      </c>
      <c r="J449" s="3">
        <f t="shared" si="67"/>
        <v>0.21703877824560797</v>
      </c>
      <c r="K449" s="3">
        <f t="shared" si="68"/>
        <v>0.13732108364402423</v>
      </c>
      <c r="L449" s="3">
        <f t="shared" si="69"/>
        <v>0.6456401381103678</v>
      </c>
      <c r="M449" s="56">
        <f t="shared" si="70"/>
        <v>0.3543598618896322</v>
      </c>
      <c r="O449" s="2">
        <v>41639</v>
      </c>
      <c r="R449" s="2">
        <v>38518</v>
      </c>
      <c r="S449" s="36"/>
    </row>
    <row r="450" spans="1:19" hidden="1" x14ac:dyDescent="0.25">
      <c r="A450" s="55" t="s">
        <v>7</v>
      </c>
      <c r="B450" s="1">
        <v>45373</v>
      </c>
      <c r="C450" s="36">
        <f t="shared" si="63"/>
        <v>41099.200000000004</v>
      </c>
      <c r="D450" s="2">
        <v>17160</v>
      </c>
      <c r="E450" s="36">
        <f t="shared" si="64"/>
        <v>23837.600000000002</v>
      </c>
      <c r="F450" s="2">
        <v>19714</v>
      </c>
      <c r="G450" s="2">
        <f t="shared" si="62"/>
        <v>101810.8</v>
      </c>
      <c r="H450" s="3">
        <f t="shared" si="65"/>
        <v>0.40368212409685422</v>
      </c>
      <c r="I450" s="3">
        <f t="shared" si="66"/>
        <v>0.23413626059317874</v>
      </c>
      <c r="J450" s="3">
        <f t="shared" si="67"/>
        <v>0.16854793401093007</v>
      </c>
      <c r="K450" s="3">
        <f t="shared" si="68"/>
        <v>0.19363368129903702</v>
      </c>
      <c r="L450" s="3">
        <f t="shared" si="69"/>
        <v>0.63781838469003294</v>
      </c>
      <c r="M450" s="56">
        <f t="shared" si="70"/>
        <v>0.36218161530996712</v>
      </c>
      <c r="O450" s="2">
        <v>57522</v>
      </c>
      <c r="R450" s="2">
        <v>37419</v>
      </c>
      <c r="S450" s="36"/>
    </row>
    <row r="451" spans="1:19" hidden="1" x14ac:dyDescent="0.25">
      <c r="A451" s="55" t="s">
        <v>30</v>
      </c>
      <c r="B451" s="1">
        <v>45374</v>
      </c>
      <c r="C451" s="36">
        <f t="shared" si="63"/>
        <v>37893.599999999999</v>
      </c>
      <c r="D451" s="2">
        <v>24320</v>
      </c>
      <c r="E451" s="36">
        <f t="shared" si="64"/>
        <v>37976</v>
      </c>
      <c r="F451" s="2">
        <v>21647</v>
      </c>
      <c r="G451" s="2">
        <f t="shared" si="62"/>
        <v>121836.6</v>
      </c>
      <c r="H451" s="3">
        <f t="shared" si="65"/>
        <v>0.31101984132846777</v>
      </c>
      <c r="I451" s="3">
        <f t="shared" si="66"/>
        <v>0.31169615698402614</v>
      </c>
      <c r="J451" s="3">
        <f t="shared" si="67"/>
        <v>0.19961161096090993</v>
      </c>
      <c r="K451" s="3">
        <f t="shared" si="68"/>
        <v>0.1776723907265961</v>
      </c>
      <c r="L451" s="3">
        <f t="shared" si="69"/>
        <v>0.62271599831249391</v>
      </c>
      <c r="M451" s="56">
        <f t="shared" si="70"/>
        <v>0.37728400168750603</v>
      </c>
      <c r="O451" s="2">
        <v>40749</v>
      </c>
      <c r="R451" s="2">
        <v>24401</v>
      </c>
      <c r="S451" s="36"/>
    </row>
    <row r="452" spans="1:19" hidden="1" x14ac:dyDescent="0.25">
      <c r="A452" s="55" t="s">
        <v>31</v>
      </c>
      <c r="B452" s="1">
        <v>45375</v>
      </c>
      <c r="C452" s="36">
        <f t="shared" si="63"/>
        <v>36884</v>
      </c>
      <c r="D452" s="2">
        <v>26545</v>
      </c>
      <c r="E452" s="36">
        <f t="shared" si="64"/>
        <v>44080.800000000003</v>
      </c>
      <c r="F452" s="2">
        <v>27017</v>
      </c>
      <c r="G452" s="2">
        <f t="shared" ref="G452:G515" si="71">SUM(C452:F452)</f>
        <v>134526.79999999999</v>
      </c>
      <c r="H452" s="3">
        <f t="shared" si="65"/>
        <v>0.27417585194920269</v>
      </c>
      <c r="I452" s="3">
        <f t="shared" si="66"/>
        <v>0.32767299898607571</v>
      </c>
      <c r="J452" s="3">
        <f t="shared" si="67"/>
        <v>0.1973212772473589</v>
      </c>
      <c r="K452" s="3">
        <f t="shared" si="68"/>
        <v>0.20082987181736281</v>
      </c>
      <c r="L452" s="3">
        <f t="shared" si="69"/>
        <v>0.6018488509352784</v>
      </c>
      <c r="M452" s="56">
        <f t="shared" si="70"/>
        <v>0.39815114906472171</v>
      </c>
      <c r="O452" s="2">
        <v>34928</v>
      </c>
      <c r="R452" s="2">
        <v>17055</v>
      </c>
      <c r="S452" s="36"/>
    </row>
    <row r="453" spans="1:19" hidden="1" x14ac:dyDescent="0.25">
      <c r="A453" s="55" t="s">
        <v>129</v>
      </c>
      <c r="B453" s="1">
        <v>45376</v>
      </c>
      <c r="C453" s="36">
        <f t="shared" ref="C453:C516" si="72">O478*$P$27</f>
        <v>51678.400000000001</v>
      </c>
      <c r="D453" s="2">
        <v>27495</v>
      </c>
      <c r="E453" s="36">
        <f t="shared" ref="E453:E516" si="73">R478*$P$27</f>
        <v>42012</v>
      </c>
      <c r="F453" s="2">
        <v>15234</v>
      </c>
      <c r="G453" s="2">
        <f t="shared" si="71"/>
        <v>136419.4</v>
      </c>
      <c r="H453" s="3">
        <f t="shared" ref="H453:H516" si="74">IFERROR(C453/G453,0)</f>
        <v>0.37882002119933089</v>
      </c>
      <c r="I453" s="3">
        <f t="shared" ref="I453:I516" si="75">IFERROR(E453/G453,0)</f>
        <v>0.3079620640466092</v>
      </c>
      <c r="J453" s="3">
        <f t="shared" ref="J453:J516" si="76">IFERROR(D453/G453,0)</f>
        <v>0.20154758047609064</v>
      </c>
      <c r="K453" s="3">
        <f t="shared" ref="K453:K516" si="77">IFERROR(F453/G453,0)</f>
        <v>0.11167033427796927</v>
      </c>
      <c r="L453" s="3">
        <f t="shared" ref="L453:L516" si="78">IFERROR((C453+E453)/G453, 0)</f>
        <v>0.68678208524594009</v>
      </c>
      <c r="M453" s="56">
        <f t="shared" ref="M453:M516" si="79">IFERROR((D453+F453)/G453, 0)</f>
        <v>0.31321791475405991</v>
      </c>
      <c r="O453" s="2">
        <v>33236</v>
      </c>
      <c r="R453" s="2">
        <v>22893</v>
      </c>
      <c r="S453" s="36"/>
    </row>
    <row r="454" spans="1:19" hidden="1" x14ac:dyDescent="0.25">
      <c r="A454" s="55" t="s">
        <v>14</v>
      </c>
      <c r="B454" s="1">
        <v>45377</v>
      </c>
      <c r="C454" s="36">
        <f t="shared" si="72"/>
        <v>44805.600000000006</v>
      </c>
      <c r="D454" s="2">
        <v>20213</v>
      </c>
      <c r="E454" s="36">
        <f t="shared" si="73"/>
        <v>25682.400000000001</v>
      </c>
      <c r="F454" s="2">
        <v>15116</v>
      </c>
      <c r="G454" s="2">
        <f t="shared" si="71"/>
        <v>105817</v>
      </c>
      <c r="H454" s="3">
        <f t="shared" si="74"/>
        <v>0.42342534753395017</v>
      </c>
      <c r="I454" s="3">
        <f t="shared" si="75"/>
        <v>0.24270580341533024</v>
      </c>
      <c r="J454" s="3">
        <f t="shared" si="76"/>
        <v>0.1910184563916951</v>
      </c>
      <c r="K454" s="3">
        <f t="shared" si="77"/>
        <v>0.14285039265902455</v>
      </c>
      <c r="L454" s="3">
        <f t="shared" si="78"/>
        <v>0.66613115094928033</v>
      </c>
      <c r="M454" s="56">
        <f t="shared" si="79"/>
        <v>0.33386884905071962</v>
      </c>
      <c r="O454" s="2">
        <v>37918</v>
      </c>
      <c r="R454" s="2">
        <v>26905</v>
      </c>
      <c r="S454" s="36"/>
    </row>
    <row r="455" spans="1:19" hidden="1" x14ac:dyDescent="0.25">
      <c r="A455" s="55" t="s">
        <v>21</v>
      </c>
      <c r="B455" s="1">
        <v>45378</v>
      </c>
      <c r="C455" s="36">
        <f t="shared" si="72"/>
        <v>38638.400000000001</v>
      </c>
      <c r="D455" s="2">
        <v>18995</v>
      </c>
      <c r="E455" s="36">
        <f t="shared" si="73"/>
        <v>21482.400000000001</v>
      </c>
      <c r="F455" s="2">
        <v>13073</v>
      </c>
      <c r="G455" s="2">
        <f t="shared" si="71"/>
        <v>92188.800000000003</v>
      </c>
      <c r="H455" s="3">
        <f t="shared" si="74"/>
        <v>0.41912249644208405</v>
      </c>
      <c r="I455" s="3">
        <f t="shared" si="75"/>
        <v>0.23302613766531294</v>
      </c>
      <c r="J455" s="3">
        <f t="shared" si="76"/>
        <v>0.20604455204970668</v>
      </c>
      <c r="K455" s="3">
        <f t="shared" si="77"/>
        <v>0.14180681384289631</v>
      </c>
      <c r="L455" s="3">
        <f t="shared" si="78"/>
        <v>0.65214863410739699</v>
      </c>
      <c r="M455" s="56">
        <f t="shared" si="79"/>
        <v>0.34785136589260301</v>
      </c>
      <c r="O455" s="2">
        <v>47663</v>
      </c>
      <c r="R455" s="2">
        <v>39718</v>
      </c>
      <c r="S455" s="36"/>
    </row>
    <row r="456" spans="1:19" x14ac:dyDescent="0.25">
      <c r="A456" s="55" t="s">
        <v>26</v>
      </c>
      <c r="B456" s="1">
        <v>45379</v>
      </c>
      <c r="C456" s="36">
        <f t="shared" si="72"/>
        <v>18681.600000000002</v>
      </c>
      <c r="D456" s="2">
        <v>14065</v>
      </c>
      <c r="E456" s="36">
        <f t="shared" si="73"/>
        <v>13708.800000000001</v>
      </c>
      <c r="F456" s="2">
        <v>6502</v>
      </c>
      <c r="G456" s="2">
        <f t="shared" si="71"/>
        <v>52957.4</v>
      </c>
      <c r="H456" s="3">
        <f t="shared" si="74"/>
        <v>0.35276656331315365</v>
      </c>
      <c r="I456" s="3">
        <f t="shared" si="75"/>
        <v>0.25886467235929256</v>
      </c>
      <c r="J456" s="3">
        <f t="shared" si="76"/>
        <v>0.26559083338683542</v>
      </c>
      <c r="K456" s="3">
        <f t="shared" si="77"/>
        <v>0.12277793094071839</v>
      </c>
      <c r="L456" s="3">
        <f t="shared" si="78"/>
        <v>0.61163123567244615</v>
      </c>
      <c r="M456" s="56">
        <f t="shared" si="79"/>
        <v>0.38836876432755385</v>
      </c>
      <c r="O456" s="2">
        <v>29783</v>
      </c>
      <c r="R456" s="2">
        <v>45966</v>
      </c>
      <c r="S456" s="36"/>
    </row>
    <row r="457" spans="1:19" hidden="1" x14ac:dyDescent="0.25">
      <c r="A457" s="55" t="s">
        <v>7</v>
      </c>
      <c r="B457" s="1">
        <v>45380</v>
      </c>
      <c r="C457" s="36">
        <f t="shared" si="72"/>
        <v>51047.200000000004</v>
      </c>
      <c r="D457" s="2">
        <v>20223</v>
      </c>
      <c r="E457" s="36">
        <f t="shared" si="73"/>
        <v>25260.800000000003</v>
      </c>
      <c r="F457" s="2">
        <v>11986</v>
      </c>
      <c r="G457" s="2">
        <f t="shared" si="71"/>
        <v>108517.00000000001</v>
      </c>
      <c r="H457" s="3">
        <f t="shared" si="74"/>
        <v>0.47040740160527839</v>
      </c>
      <c r="I457" s="3">
        <f t="shared" si="75"/>
        <v>0.232781960430163</v>
      </c>
      <c r="J457" s="3">
        <f t="shared" si="76"/>
        <v>0.18635789784089127</v>
      </c>
      <c r="K457" s="3">
        <f t="shared" si="77"/>
        <v>0.11045274012366725</v>
      </c>
      <c r="L457" s="3">
        <f t="shared" si="78"/>
        <v>0.70318936203544136</v>
      </c>
      <c r="M457" s="56">
        <f t="shared" si="79"/>
        <v>0.29681063796455853</v>
      </c>
      <c r="O457" s="2">
        <v>31909</v>
      </c>
      <c r="R457" s="2">
        <v>30246</v>
      </c>
      <c r="S457" s="36"/>
    </row>
    <row r="458" spans="1:19" hidden="1" x14ac:dyDescent="0.25">
      <c r="A458" s="55" t="s">
        <v>30</v>
      </c>
      <c r="B458" s="1">
        <v>45381</v>
      </c>
      <c r="C458" s="36">
        <f t="shared" si="72"/>
        <v>29196</v>
      </c>
      <c r="D458" s="2">
        <v>25905</v>
      </c>
      <c r="E458" s="36">
        <f t="shared" si="73"/>
        <v>21496.800000000003</v>
      </c>
      <c r="F458" s="2">
        <v>22930</v>
      </c>
      <c r="G458" s="2">
        <f t="shared" si="71"/>
        <v>99527.8</v>
      </c>
      <c r="H458" s="3">
        <f t="shared" si="74"/>
        <v>0.29334517592069753</v>
      </c>
      <c r="I458" s="3">
        <f t="shared" si="75"/>
        <v>0.21598789483943182</v>
      </c>
      <c r="J458" s="3">
        <f t="shared" si="76"/>
        <v>0.26027903761562093</v>
      </c>
      <c r="K458" s="3">
        <f t="shared" si="77"/>
        <v>0.23038789162424969</v>
      </c>
      <c r="L458" s="3">
        <f t="shared" si="78"/>
        <v>0.50933307076012935</v>
      </c>
      <c r="M458" s="56">
        <f t="shared" si="79"/>
        <v>0.49066692923987065</v>
      </c>
      <c r="O458" s="2">
        <v>48300</v>
      </c>
      <c r="R458" s="2">
        <v>35289</v>
      </c>
      <c r="S458" s="36"/>
    </row>
    <row r="459" spans="1:19" hidden="1" x14ac:dyDescent="0.25">
      <c r="A459" s="55" t="s">
        <v>31</v>
      </c>
      <c r="B459" s="1">
        <v>45382</v>
      </c>
      <c r="C459" s="36">
        <f t="shared" si="72"/>
        <v>27959.200000000001</v>
      </c>
      <c r="D459" s="2">
        <v>24430</v>
      </c>
      <c r="E459" s="36">
        <f t="shared" si="73"/>
        <v>39155.200000000004</v>
      </c>
      <c r="F459" s="2">
        <v>23277</v>
      </c>
      <c r="G459" s="2">
        <f t="shared" si="71"/>
        <v>114821.4</v>
      </c>
      <c r="H459" s="3">
        <f t="shared" si="74"/>
        <v>0.24350164690554202</v>
      </c>
      <c r="I459" s="3">
        <f t="shared" si="75"/>
        <v>0.34100960273955905</v>
      </c>
      <c r="J459" s="3">
        <f t="shared" si="76"/>
        <v>0.21276521624017825</v>
      </c>
      <c r="K459" s="3">
        <f t="shared" si="77"/>
        <v>0.20272353411472077</v>
      </c>
      <c r="L459" s="3">
        <f t="shared" si="78"/>
        <v>0.58451124964510115</v>
      </c>
      <c r="M459" s="56">
        <f t="shared" si="79"/>
        <v>0.41548875035489902</v>
      </c>
      <c r="O459" s="2">
        <v>27934</v>
      </c>
      <c r="R459" s="2">
        <v>23862</v>
      </c>
      <c r="S459" s="36"/>
    </row>
    <row r="460" spans="1:19" hidden="1" x14ac:dyDescent="0.25">
      <c r="A460" s="55" t="s">
        <v>129</v>
      </c>
      <c r="B460" s="1">
        <v>45383</v>
      </c>
      <c r="C460" s="36">
        <f t="shared" si="72"/>
        <v>29976</v>
      </c>
      <c r="D460" s="2">
        <v>24215</v>
      </c>
      <c r="E460" s="36">
        <f t="shared" si="73"/>
        <v>36760.800000000003</v>
      </c>
      <c r="F460" s="2">
        <v>18681</v>
      </c>
      <c r="G460" s="2">
        <f t="shared" si="71"/>
        <v>109632.8</v>
      </c>
      <c r="H460" s="3">
        <f t="shared" si="74"/>
        <v>0.2734218226662094</v>
      </c>
      <c r="I460" s="3">
        <f t="shared" si="75"/>
        <v>0.33530841135134742</v>
      </c>
      <c r="J460" s="3">
        <f t="shared" si="76"/>
        <v>0.22087368013952027</v>
      </c>
      <c r="K460" s="3">
        <f t="shared" si="77"/>
        <v>0.17039608584292293</v>
      </c>
      <c r="L460" s="3">
        <f t="shared" si="78"/>
        <v>0.60873023401755677</v>
      </c>
      <c r="M460" s="56">
        <f t="shared" si="79"/>
        <v>0.39126976598244317</v>
      </c>
      <c r="O460" s="2">
        <v>28164</v>
      </c>
      <c r="R460" s="2">
        <v>18340</v>
      </c>
      <c r="S460" s="36"/>
    </row>
    <row r="461" spans="1:19" hidden="1" x14ac:dyDescent="0.25">
      <c r="A461" s="55" t="s">
        <v>14</v>
      </c>
      <c r="B461" s="1">
        <v>45384</v>
      </c>
      <c r="C461" s="36">
        <f t="shared" si="72"/>
        <v>50454.400000000001</v>
      </c>
      <c r="D461" s="2">
        <v>26472</v>
      </c>
      <c r="E461" s="36">
        <f t="shared" si="73"/>
        <v>20671.2</v>
      </c>
      <c r="F461" s="2">
        <v>14546</v>
      </c>
      <c r="G461" s="2">
        <f t="shared" si="71"/>
        <v>112143.59999999999</v>
      </c>
      <c r="H461" s="3">
        <f t="shared" si="74"/>
        <v>0.44990886684572284</v>
      </c>
      <c r="I461" s="3">
        <f t="shared" si="75"/>
        <v>0.18432795094860521</v>
      </c>
      <c r="J461" s="3">
        <f t="shared" si="76"/>
        <v>0.23605448728237727</v>
      </c>
      <c r="K461" s="3">
        <f t="shared" si="77"/>
        <v>0.12970869492329479</v>
      </c>
      <c r="L461" s="3">
        <f t="shared" si="78"/>
        <v>0.63423681779432806</v>
      </c>
      <c r="M461" s="56">
        <f t="shared" si="79"/>
        <v>0.36576318220567205</v>
      </c>
      <c r="O461" s="2">
        <v>58339</v>
      </c>
      <c r="R461" s="2">
        <v>21200</v>
      </c>
      <c r="S461" s="36"/>
    </row>
    <row r="462" spans="1:19" hidden="1" x14ac:dyDescent="0.25">
      <c r="A462" s="55" t="s">
        <v>21</v>
      </c>
      <c r="B462" s="1">
        <v>45385</v>
      </c>
      <c r="C462" s="36">
        <f t="shared" si="72"/>
        <v>26710.400000000001</v>
      </c>
      <c r="D462" s="2">
        <v>11998</v>
      </c>
      <c r="E462" s="36">
        <f t="shared" si="73"/>
        <v>17892</v>
      </c>
      <c r="F462" s="2">
        <v>11804</v>
      </c>
      <c r="G462" s="2">
        <f t="shared" si="71"/>
        <v>68404.399999999994</v>
      </c>
      <c r="H462" s="3">
        <f t="shared" si="74"/>
        <v>0.39047780552128231</v>
      </c>
      <c r="I462" s="3">
        <f t="shared" si="75"/>
        <v>0.26156212173485921</v>
      </c>
      <c r="J462" s="3">
        <f t="shared" si="76"/>
        <v>0.17539807380811762</v>
      </c>
      <c r="K462" s="3">
        <f t="shared" si="77"/>
        <v>0.17256199893574098</v>
      </c>
      <c r="L462" s="3">
        <f t="shared" si="78"/>
        <v>0.65203992725614146</v>
      </c>
      <c r="M462" s="56">
        <f t="shared" si="79"/>
        <v>0.34796007274385859</v>
      </c>
      <c r="O462" s="2">
        <v>44959</v>
      </c>
      <c r="R462" s="2">
        <v>42477</v>
      </c>
      <c r="S462" s="36"/>
    </row>
    <row r="463" spans="1:19" x14ac:dyDescent="0.25">
      <c r="A463" s="55" t="s">
        <v>26</v>
      </c>
      <c r="B463" s="1">
        <v>45386</v>
      </c>
      <c r="C463" s="36">
        <f t="shared" si="72"/>
        <v>23885.600000000002</v>
      </c>
      <c r="D463" s="2">
        <v>15455</v>
      </c>
      <c r="E463" s="36">
        <f t="shared" si="73"/>
        <v>23733.600000000002</v>
      </c>
      <c r="F463" s="2">
        <v>10064</v>
      </c>
      <c r="G463" s="2">
        <f t="shared" si="71"/>
        <v>73138.200000000012</v>
      </c>
      <c r="H463" s="3">
        <f t="shared" si="74"/>
        <v>0.32658173157118986</v>
      </c>
      <c r="I463" s="3">
        <f t="shared" si="75"/>
        <v>0.32450347424464915</v>
      </c>
      <c r="J463" s="3">
        <f t="shared" si="76"/>
        <v>0.21131228277425473</v>
      </c>
      <c r="K463" s="3">
        <f t="shared" si="77"/>
        <v>0.13760251140990615</v>
      </c>
      <c r="L463" s="3">
        <f t="shared" si="78"/>
        <v>0.65108520581583906</v>
      </c>
      <c r="M463" s="56">
        <f t="shared" si="79"/>
        <v>0.34891479418416088</v>
      </c>
      <c r="O463" s="2">
        <v>40265</v>
      </c>
      <c r="R463" s="2">
        <v>53496</v>
      </c>
      <c r="S463" s="36"/>
    </row>
    <row r="464" spans="1:19" hidden="1" x14ac:dyDescent="0.25">
      <c r="A464" s="55" t="s">
        <v>7</v>
      </c>
      <c r="B464" s="1">
        <v>45387</v>
      </c>
      <c r="C464" s="36">
        <f t="shared" si="72"/>
        <v>41455.200000000004</v>
      </c>
      <c r="D464" s="2">
        <v>14781</v>
      </c>
      <c r="E464" s="36">
        <f t="shared" si="73"/>
        <v>33214.400000000001</v>
      </c>
      <c r="F464" s="2">
        <v>13556</v>
      </c>
      <c r="G464" s="2">
        <f t="shared" si="71"/>
        <v>103006.6</v>
      </c>
      <c r="H464" s="3">
        <f t="shared" si="74"/>
        <v>0.40245188172408369</v>
      </c>
      <c r="I464" s="3">
        <f t="shared" si="75"/>
        <v>0.32244924111658863</v>
      </c>
      <c r="J464" s="3">
        <f t="shared" si="76"/>
        <v>0.14349565950143001</v>
      </c>
      <c r="K464" s="3">
        <f t="shared" si="77"/>
        <v>0.13160321765789765</v>
      </c>
      <c r="L464" s="3">
        <f t="shared" si="78"/>
        <v>0.72490112284067232</v>
      </c>
      <c r="M464" s="56">
        <f t="shared" si="79"/>
        <v>0.27509887715932763</v>
      </c>
      <c r="O464" s="2">
        <v>70745</v>
      </c>
      <c r="R464" s="2">
        <v>57653</v>
      </c>
      <c r="S464" s="36"/>
    </row>
    <row r="465" spans="1:19" hidden="1" x14ac:dyDescent="0.25">
      <c r="A465" s="55" t="s">
        <v>30</v>
      </c>
      <c r="B465" s="1">
        <v>45388</v>
      </c>
      <c r="C465" s="36">
        <f t="shared" si="72"/>
        <v>32524.800000000003</v>
      </c>
      <c r="D465" s="2">
        <v>26235</v>
      </c>
      <c r="E465" s="36">
        <f t="shared" si="73"/>
        <v>41835.200000000004</v>
      </c>
      <c r="F465" s="2">
        <v>28649</v>
      </c>
      <c r="G465" s="2">
        <f t="shared" si="71"/>
        <v>129244</v>
      </c>
      <c r="H465" s="3">
        <f t="shared" si="74"/>
        <v>0.2516542353997091</v>
      </c>
      <c r="I465" s="3">
        <f t="shared" si="75"/>
        <v>0.32369162204821889</v>
      </c>
      <c r="J465" s="3">
        <f t="shared" si="76"/>
        <v>0.20298814645167282</v>
      </c>
      <c r="K465" s="3">
        <f t="shared" si="77"/>
        <v>0.22166599610039925</v>
      </c>
      <c r="L465" s="3">
        <f t="shared" si="78"/>
        <v>0.57534585744792799</v>
      </c>
      <c r="M465" s="56">
        <f t="shared" si="79"/>
        <v>0.42465414255207207</v>
      </c>
      <c r="O465" s="2">
        <v>55014</v>
      </c>
      <c r="R465" s="2">
        <v>30965</v>
      </c>
      <c r="S465" s="36"/>
    </row>
    <row r="466" spans="1:19" hidden="1" x14ac:dyDescent="0.25">
      <c r="A466" s="55" t="s">
        <v>31</v>
      </c>
      <c r="B466" s="1">
        <v>45389</v>
      </c>
      <c r="C466" s="36">
        <f t="shared" si="72"/>
        <v>23570.400000000001</v>
      </c>
      <c r="D466" s="2">
        <v>24073</v>
      </c>
      <c r="E466" s="36">
        <f t="shared" si="73"/>
        <v>44246.400000000001</v>
      </c>
      <c r="F466" s="2">
        <v>26844</v>
      </c>
      <c r="G466" s="2">
        <f t="shared" si="71"/>
        <v>118733.8</v>
      </c>
      <c r="H466" s="3">
        <f t="shared" si="74"/>
        <v>0.19851466052632022</v>
      </c>
      <c r="I466" s="3">
        <f t="shared" si="75"/>
        <v>0.37265210074974436</v>
      </c>
      <c r="J466" s="3">
        <f t="shared" si="76"/>
        <v>0.20274765904906605</v>
      </c>
      <c r="K466" s="3">
        <f t="shared" si="77"/>
        <v>0.22608557967486934</v>
      </c>
      <c r="L466" s="3">
        <f t="shared" si="78"/>
        <v>0.57116676127606458</v>
      </c>
      <c r="M466" s="56">
        <f t="shared" si="79"/>
        <v>0.42883323872393536</v>
      </c>
      <c r="O466" s="2">
        <v>44388</v>
      </c>
      <c r="R466" s="2">
        <v>35202</v>
      </c>
      <c r="S466" s="36"/>
    </row>
    <row r="467" spans="1:19" hidden="1" x14ac:dyDescent="0.25">
      <c r="A467" s="55" t="s">
        <v>129</v>
      </c>
      <c r="B467" s="1">
        <v>45390</v>
      </c>
      <c r="C467" s="36">
        <f t="shared" si="72"/>
        <v>31592</v>
      </c>
      <c r="D467" s="2">
        <v>23210</v>
      </c>
      <c r="E467" s="36">
        <f t="shared" si="73"/>
        <v>36200</v>
      </c>
      <c r="F467" s="2">
        <v>18847</v>
      </c>
      <c r="G467" s="2">
        <f t="shared" si="71"/>
        <v>109849</v>
      </c>
      <c r="H467" s="3">
        <f t="shared" si="74"/>
        <v>0.28759478921064369</v>
      </c>
      <c r="I467" s="3">
        <f t="shared" si="75"/>
        <v>0.32954328214184925</v>
      </c>
      <c r="J467" s="3">
        <f t="shared" si="76"/>
        <v>0.21129004360531276</v>
      </c>
      <c r="K467" s="3">
        <f t="shared" si="77"/>
        <v>0.17157188504219428</v>
      </c>
      <c r="L467" s="3">
        <f t="shared" si="78"/>
        <v>0.61713807135249299</v>
      </c>
      <c r="M467" s="56">
        <f t="shared" si="79"/>
        <v>0.38286192864750701</v>
      </c>
      <c r="O467" s="2">
        <v>28903</v>
      </c>
      <c r="R467" s="2">
        <v>16494</v>
      </c>
      <c r="S467" s="36"/>
    </row>
    <row r="468" spans="1:19" hidden="1" x14ac:dyDescent="0.25">
      <c r="A468" s="55" t="s">
        <v>14</v>
      </c>
      <c r="B468" s="1">
        <v>45391</v>
      </c>
      <c r="C468" s="36">
        <f t="shared" si="72"/>
        <v>29183.200000000001</v>
      </c>
      <c r="D468" s="2">
        <v>14537</v>
      </c>
      <c r="E468" s="36">
        <f t="shared" si="73"/>
        <v>27781.600000000002</v>
      </c>
      <c r="F468" s="2">
        <v>14202</v>
      </c>
      <c r="G468" s="2">
        <f t="shared" si="71"/>
        <v>85703.8</v>
      </c>
      <c r="H468" s="3">
        <f t="shared" si="74"/>
        <v>0.34051232267414044</v>
      </c>
      <c r="I468" s="3">
        <f t="shared" si="75"/>
        <v>0.32415832203472894</v>
      </c>
      <c r="J468" s="3">
        <f t="shared" si="76"/>
        <v>0.16961908340120274</v>
      </c>
      <c r="K468" s="3">
        <f t="shared" si="77"/>
        <v>0.16571027188992787</v>
      </c>
      <c r="L468" s="3">
        <f t="shared" si="78"/>
        <v>0.66467064470886938</v>
      </c>
      <c r="M468" s="56">
        <f t="shared" si="79"/>
        <v>0.33532935529113062</v>
      </c>
      <c r="O468" s="2">
        <v>33440</v>
      </c>
      <c r="R468" s="2">
        <v>33489</v>
      </c>
      <c r="S468" s="36"/>
    </row>
    <row r="469" spans="1:19" hidden="1" x14ac:dyDescent="0.25">
      <c r="A469" s="55" t="s">
        <v>21</v>
      </c>
      <c r="B469" s="1">
        <v>45392</v>
      </c>
      <c r="C469" s="36">
        <f t="shared" si="72"/>
        <v>29937.600000000002</v>
      </c>
      <c r="D469" s="2">
        <v>15497</v>
      </c>
      <c r="E469" s="36">
        <f t="shared" si="73"/>
        <v>26464.800000000003</v>
      </c>
      <c r="F469" s="2">
        <v>12022</v>
      </c>
      <c r="G469" s="2">
        <f t="shared" si="71"/>
        <v>83921.400000000009</v>
      </c>
      <c r="H469" s="3">
        <f t="shared" si="74"/>
        <v>0.3567338009137121</v>
      </c>
      <c r="I469" s="3">
        <f t="shared" si="75"/>
        <v>0.31535222243670863</v>
      </c>
      <c r="J469" s="3">
        <f t="shared" si="76"/>
        <v>0.18466088506626438</v>
      </c>
      <c r="K469" s="3">
        <f t="shared" si="77"/>
        <v>0.14325309158331484</v>
      </c>
      <c r="L469" s="3">
        <f t="shared" si="78"/>
        <v>0.67208602335042078</v>
      </c>
      <c r="M469" s="56">
        <f t="shared" si="79"/>
        <v>0.32791397664957922</v>
      </c>
      <c r="O469" s="2">
        <v>48430</v>
      </c>
      <c r="R469" s="2">
        <v>50535</v>
      </c>
      <c r="S469" s="36"/>
    </row>
    <row r="470" spans="1:19" x14ac:dyDescent="0.25">
      <c r="A470" s="55" t="s">
        <v>26</v>
      </c>
      <c r="B470" s="1">
        <v>45393</v>
      </c>
      <c r="C470" s="36">
        <f t="shared" si="72"/>
        <v>20325.600000000002</v>
      </c>
      <c r="D470" s="2">
        <v>9122</v>
      </c>
      <c r="E470" s="36">
        <f t="shared" si="73"/>
        <v>20140</v>
      </c>
      <c r="F470" s="2">
        <v>12433</v>
      </c>
      <c r="G470" s="2">
        <f t="shared" si="71"/>
        <v>62020.600000000006</v>
      </c>
      <c r="H470" s="3">
        <f t="shared" si="74"/>
        <v>0.32772336933212515</v>
      </c>
      <c r="I470" s="3">
        <f t="shared" si="75"/>
        <v>0.32473081524525721</v>
      </c>
      <c r="J470" s="3">
        <f t="shared" si="76"/>
        <v>0.14708016368754895</v>
      </c>
      <c r="K470" s="3">
        <f t="shared" si="77"/>
        <v>0.20046565173506864</v>
      </c>
      <c r="L470" s="3">
        <f t="shared" si="78"/>
        <v>0.65245418457738236</v>
      </c>
      <c r="M470" s="56">
        <f t="shared" si="79"/>
        <v>0.34754581542261759</v>
      </c>
      <c r="O470" s="2">
        <v>53255</v>
      </c>
      <c r="R470" s="2">
        <v>59536</v>
      </c>
      <c r="S470" s="36"/>
    </row>
    <row r="471" spans="1:19" hidden="1" x14ac:dyDescent="0.25">
      <c r="A471" s="55" t="s">
        <v>7</v>
      </c>
      <c r="B471" s="1">
        <v>45394</v>
      </c>
      <c r="C471" s="36">
        <f t="shared" si="72"/>
        <v>28593.600000000002</v>
      </c>
      <c r="D471" s="2">
        <v>13241</v>
      </c>
      <c r="E471" s="36">
        <f t="shared" si="73"/>
        <v>35381.599999999999</v>
      </c>
      <c r="F471" s="2">
        <v>16621</v>
      </c>
      <c r="G471" s="2">
        <f t="shared" si="71"/>
        <v>93837.200000000012</v>
      </c>
      <c r="H471" s="3">
        <f t="shared" si="74"/>
        <v>0.30471497444510276</v>
      </c>
      <c r="I471" s="3">
        <f t="shared" si="75"/>
        <v>0.3770530237475116</v>
      </c>
      <c r="J471" s="3">
        <f t="shared" si="76"/>
        <v>0.14110608585933934</v>
      </c>
      <c r="K471" s="3">
        <f t="shared" si="77"/>
        <v>0.17712591594804616</v>
      </c>
      <c r="L471" s="3">
        <f t="shared" si="78"/>
        <v>0.68176799819261436</v>
      </c>
      <c r="M471" s="56">
        <f t="shared" si="79"/>
        <v>0.31823200180738553</v>
      </c>
      <c r="O471" s="2">
        <v>58310</v>
      </c>
      <c r="R471" s="2">
        <v>51288</v>
      </c>
      <c r="S471" s="36"/>
    </row>
    <row r="472" spans="1:19" hidden="1" x14ac:dyDescent="0.25">
      <c r="A472" s="55" t="s">
        <v>30</v>
      </c>
      <c r="B472" s="1">
        <v>45395</v>
      </c>
      <c r="C472" s="36">
        <f t="shared" si="72"/>
        <v>23957.600000000002</v>
      </c>
      <c r="D472" s="2">
        <v>21611</v>
      </c>
      <c r="E472" s="36">
        <f t="shared" si="73"/>
        <v>32803.200000000004</v>
      </c>
      <c r="F472" s="2">
        <v>25029</v>
      </c>
      <c r="G472" s="2">
        <f t="shared" si="71"/>
        <v>103400.80000000002</v>
      </c>
      <c r="H472" s="3">
        <f t="shared" si="74"/>
        <v>0.23169646656505558</v>
      </c>
      <c r="I472" s="3">
        <f t="shared" si="75"/>
        <v>0.31724319347625934</v>
      </c>
      <c r="J472" s="3">
        <f t="shared" si="76"/>
        <v>0.20900225143325774</v>
      </c>
      <c r="K472" s="3">
        <f t="shared" si="77"/>
        <v>0.24205808852542723</v>
      </c>
      <c r="L472" s="3">
        <f t="shared" si="78"/>
        <v>0.54893966004131489</v>
      </c>
      <c r="M472" s="56">
        <f t="shared" si="79"/>
        <v>0.45106033995868494</v>
      </c>
      <c r="O472" s="2">
        <v>59583</v>
      </c>
      <c r="R472" s="2">
        <v>32058</v>
      </c>
      <c r="S472" s="36"/>
    </row>
    <row r="473" spans="1:19" hidden="1" x14ac:dyDescent="0.25">
      <c r="A473" s="55" t="s">
        <v>31</v>
      </c>
      <c r="B473" s="1">
        <v>45396</v>
      </c>
      <c r="C473" s="36">
        <f t="shared" si="72"/>
        <v>21630.400000000001</v>
      </c>
      <c r="D473" s="2">
        <v>26437</v>
      </c>
      <c r="E473" s="36">
        <f t="shared" si="73"/>
        <v>35295.200000000004</v>
      </c>
      <c r="F473" s="2">
        <v>26062</v>
      </c>
      <c r="G473" s="2">
        <f t="shared" si="71"/>
        <v>109424.6</v>
      </c>
      <c r="H473" s="3">
        <f t="shared" si="74"/>
        <v>0.19767401480105937</v>
      </c>
      <c r="I473" s="3">
        <f t="shared" si="75"/>
        <v>0.3225526983877483</v>
      </c>
      <c r="J473" s="3">
        <f t="shared" si="76"/>
        <v>0.24160015206818208</v>
      </c>
      <c r="K473" s="3">
        <f t="shared" si="77"/>
        <v>0.23817313474301025</v>
      </c>
      <c r="L473" s="3">
        <f t="shared" si="78"/>
        <v>0.52022671318880764</v>
      </c>
      <c r="M473" s="56">
        <f t="shared" si="79"/>
        <v>0.47977328681119236</v>
      </c>
      <c r="O473" s="2">
        <v>40365</v>
      </c>
      <c r="R473" s="2">
        <v>27319</v>
      </c>
      <c r="S473" s="36"/>
    </row>
    <row r="474" spans="1:19" hidden="1" x14ac:dyDescent="0.25">
      <c r="A474" s="55" t="s">
        <v>129</v>
      </c>
      <c r="B474" s="1">
        <v>45397</v>
      </c>
      <c r="C474" s="36">
        <f t="shared" si="72"/>
        <v>29243.200000000001</v>
      </c>
      <c r="D474" s="2">
        <v>18928</v>
      </c>
      <c r="E474" s="36">
        <f t="shared" si="73"/>
        <v>35719.200000000004</v>
      </c>
      <c r="F474" s="2">
        <v>9866</v>
      </c>
      <c r="G474" s="2">
        <f t="shared" si="71"/>
        <v>93756.4</v>
      </c>
      <c r="H474" s="3">
        <f t="shared" si="74"/>
        <v>0.3119061738718637</v>
      </c>
      <c r="I474" s="3">
        <f t="shared" si="75"/>
        <v>0.38097879184780992</v>
      </c>
      <c r="J474" s="3">
        <f t="shared" si="76"/>
        <v>0.20188488465854065</v>
      </c>
      <c r="K474" s="3">
        <f t="shared" si="77"/>
        <v>0.10523014962178583</v>
      </c>
      <c r="L474" s="3">
        <f t="shared" si="78"/>
        <v>0.69288496571967362</v>
      </c>
      <c r="M474" s="56">
        <f t="shared" si="79"/>
        <v>0.30711503428032649</v>
      </c>
      <c r="O474" s="2">
        <v>25217</v>
      </c>
      <c r="R474" s="2">
        <v>31021</v>
      </c>
      <c r="S474" s="36"/>
    </row>
    <row r="475" spans="1:19" hidden="1" x14ac:dyDescent="0.25">
      <c r="A475" s="55" t="s">
        <v>14</v>
      </c>
      <c r="B475" s="1">
        <v>45398</v>
      </c>
      <c r="C475" s="36">
        <f t="shared" si="72"/>
        <v>43504.800000000003</v>
      </c>
      <c r="D475" s="2">
        <v>22303</v>
      </c>
      <c r="E475" s="36">
        <f t="shared" si="73"/>
        <v>23651.200000000001</v>
      </c>
      <c r="F475" s="2">
        <v>11373</v>
      </c>
      <c r="G475" s="2">
        <f t="shared" si="71"/>
        <v>100832</v>
      </c>
      <c r="H475" s="3">
        <f t="shared" si="74"/>
        <v>0.43145826721675662</v>
      </c>
      <c r="I475" s="3">
        <f t="shared" si="75"/>
        <v>0.2345604569977785</v>
      </c>
      <c r="J475" s="3">
        <f t="shared" si="76"/>
        <v>0.22118970168200572</v>
      </c>
      <c r="K475" s="3">
        <f t="shared" si="77"/>
        <v>0.11279157410345922</v>
      </c>
      <c r="L475" s="3">
        <f t="shared" si="78"/>
        <v>0.66601872421453512</v>
      </c>
      <c r="M475" s="56">
        <f t="shared" si="79"/>
        <v>0.33398127578546494</v>
      </c>
      <c r="O475" s="2">
        <v>51374</v>
      </c>
      <c r="R475" s="2">
        <v>29797</v>
      </c>
      <c r="S475" s="36"/>
    </row>
    <row r="476" spans="1:19" hidden="1" x14ac:dyDescent="0.25">
      <c r="A476" s="55" t="s">
        <v>21</v>
      </c>
      <c r="B476" s="1">
        <v>45399</v>
      </c>
      <c r="C476" s="36">
        <f t="shared" si="72"/>
        <v>22306.400000000001</v>
      </c>
      <c r="D476" s="2">
        <v>12851</v>
      </c>
      <c r="E476" s="36">
        <f t="shared" si="73"/>
        <v>23732</v>
      </c>
      <c r="F476" s="2">
        <v>13037</v>
      </c>
      <c r="G476" s="2">
        <f t="shared" si="71"/>
        <v>71926.399999999994</v>
      </c>
      <c r="H476" s="3">
        <f t="shared" si="74"/>
        <v>0.31012813097833347</v>
      </c>
      <c r="I476" s="3">
        <f t="shared" si="75"/>
        <v>0.32994839168928242</v>
      </c>
      <c r="J476" s="3">
        <f t="shared" si="76"/>
        <v>0.17866875027806203</v>
      </c>
      <c r="K476" s="3">
        <f t="shared" si="77"/>
        <v>0.18125472705432222</v>
      </c>
      <c r="L476" s="3">
        <f t="shared" si="78"/>
        <v>0.64007652266761583</v>
      </c>
      <c r="M476" s="56">
        <f t="shared" si="79"/>
        <v>0.35992347733238422</v>
      </c>
      <c r="O476" s="2">
        <v>47367</v>
      </c>
      <c r="R476" s="2">
        <v>47470</v>
      </c>
      <c r="S476" s="36"/>
    </row>
    <row r="477" spans="1:19" x14ac:dyDescent="0.25">
      <c r="A477" s="55" t="s">
        <v>26</v>
      </c>
      <c r="B477" s="1">
        <v>45400</v>
      </c>
      <c r="C477" s="36">
        <f t="shared" si="72"/>
        <v>28636.800000000003</v>
      </c>
      <c r="D477" s="2">
        <v>14704</v>
      </c>
      <c r="E477" s="36">
        <f t="shared" si="73"/>
        <v>22816</v>
      </c>
      <c r="F477" s="2">
        <v>11516</v>
      </c>
      <c r="G477" s="2">
        <f t="shared" si="71"/>
        <v>77672.800000000003</v>
      </c>
      <c r="H477" s="3">
        <f t="shared" si="74"/>
        <v>0.36868504804770785</v>
      </c>
      <c r="I477" s="3">
        <f t="shared" si="75"/>
        <v>0.29374504330988455</v>
      </c>
      <c r="J477" s="3">
        <f t="shared" si="76"/>
        <v>0.18930693885118086</v>
      </c>
      <c r="K477" s="3">
        <f t="shared" si="77"/>
        <v>0.14826296979122677</v>
      </c>
      <c r="L477" s="3">
        <f t="shared" si="78"/>
        <v>0.66243009135759234</v>
      </c>
      <c r="M477" s="56">
        <f t="shared" si="79"/>
        <v>0.3375699086424076</v>
      </c>
      <c r="O477" s="2">
        <v>46105</v>
      </c>
      <c r="R477" s="2">
        <v>55101</v>
      </c>
      <c r="S477" s="36"/>
    </row>
    <row r="478" spans="1:19" hidden="1" x14ac:dyDescent="0.25">
      <c r="A478" s="55" t="s">
        <v>7</v>
      </c>
      <c r="B478" s="1">
        <v>45401</v>
      </c>
      <c r="C478" s="36">
        <f t="shared" si="72"/>
        <v>38772</v>
      </c>
      <c r="D478" s="2">
        <v>14912</v>
      </c>
      <c r="E478" s="36">
        <f t="shared" si="73"/>
        <v>28873.600000000002</v>
      </c>
      <c r="F478" s="2">
        <v>14240</v>
      </c>
      <c r="G478" s="2">
        <f t="shared" si="71"/>
        <v>96797.6</v>
      </c>
      <c r="H478" s="3">
        <f t="shared" si="74"/>
        <v>0.40054712100300005</v>
      </c>
      <c r="I478" s="3">
        <f t="shared" si="75"/>
        <v>0.29828838731538798</v>
      </c>
      <c r="J478" s="3">
        <f t="shared" si="76"/>
        <v>0.1540534062828004</v>
      </c>
      <c r="K478" s="3">
        <f t="shared" si="77"/>
        <v>0.14711108539881154</v>
      </c>
      <c r="L478" s="3">
        <f t="shared" si="78"/>
        <v>0.69883550831838803</v>
      </c>
      <c r="M478" s="56">
        <f t="shared" si="79"/>
        <v>0.30116449168161191</v>
      </c>
      <c r="O478" s="2">
        <v>64598</v>
      </c>
      <c r="R478" s="2">
        <v>52515</v>
      </c>
      <c r="S478" s="36"/>
    </row>
    <row r="479" spans="1:19" hidden="1" x14ac:dyDescent="0.25">
      <c r="A479" s="55" t="s">
        <v>30</v>
      </c>
      <c r="B479" s="1">
        <v>45402</v>
      </c>
      <c r="C479" s="36">
        <f t="shared" si="72"/>
        <v>35252.800000000003</v>
      </c>
      <c r="D479" s="2">
        <v>24727</v>
      </c>
      <c r="E479" s="36">
        <f t="shared" si="73"/>
        <v>46012</v>
      </c>
      <c r="F479" s="2">
        <v>22004</v>
      </c>
      <c r="G479" s="2">
        <f t="shared" si="71"/>
        <v>127995.8</v>
      </c>
      <c r="H479" s="3">
        <f t="shared" si="74"/>
        <v>0.27542153726919166</v>
      </c>
      <c r="I479" s="3">
        <f t="shared" si="75"/>
        <v>0.35948054545539776</v>
      </c>
      <c r="J479" s="3">
        <f t="shared" si="76"/>
        <v>0.1931860264164918</v>
      </c>
      <c r="K479" s="3">
        <f t="shared" si="77"/>
        <v>0.17191189085891881</v>
      </c>
      <c r="L479" s="3">
        <f t="shared" si="78"/>
        <v>0.63490208272458937</v>
      </c>
      <c r="M479" s="56">
        <f t="shared" si="79"/>
        <v>0.36509791727541058</v>
      </c>
      <c r="O479" s="2">
        <v>56007</v>
      </c>
      <c r="R479" s="2">
        <v>32103</v>
      </c>
      <c r="S479" s="36"/>
    </row>
    <row r="480" spans="1:19" hidden="1" x14ac:dyDescent="0.25">
      <c r="A480" s="55" t="s">
        <v>31</v>
      </c>
      <c r="B480" s="1">
        <v>45403</v>
      </c>
      <c r="C480" s="36">
        <f t="shared" si="72"/>
        <v>23753.600000000002</v>
      </c>
      <c r="D480" s="2">
        <v>26089</v>
      </c>
      <c r="E480" s="36">
        <f t="shared" si="73"/>
        <v>50994.400000000001</v>
      </c>
      <c r="F480" s="2">
        <v>28805</v>
      </c>
      <c r="G480" s="2">
        <f t="shared" si="71"/>
        <v>129642</v>
      </c>
      <c r="H480" s="3">
        <f t="shared" si="74"/>
        <v>0.18322457228367353</v>
      </c>
      <c r="I480" s="3">
        <f t="shared" si="75"/>
        <v>0.39334783480662133</v>
      </c>
      <c r="J480" s="3">
        <f t="shared" si="76"/>
        <v>0.20123879606917511</v>
      </c>
      <c r="K480" s="3">
        <f t="shared" si="77"/>
        <v>0.22218879684053008</v>
      </c>
      <c r="L480" s="3">
        <f t="shared" si="78"/>
        <v>0.57657240709029478</v>
      </c>
      <c r="M480" s="56">
        <f t="shared" si="79"/>
        <v>0.42342759290970516</v>
      </c>
      <c r="O480" s="2">
        <v>48298</v>
      </c>
      <c r="R480" s="2">
        <v>26853</v>
      </c>
      <c r="S480" s="36"/>
    </row>
    <row r="481" spans="1:19" hidden="1" x14ac:dyDescent="0.25">
      <c r="A481" s="55" t="s">
        <v>129</v>
      </c>
      <c r="B481" s="1">
        <v>45404</v>
      </c>
      <c r="C481" s="36">
        <f t="shared" si="72"/>
        <v>37439.200000000004</v>
      </c>
      <c r="D481" s="2">
        <v>19760</v>
      </c>
      <c r="E481" s="36">
        <f t="shared" si="73"/>
        <v>31813.600000000002</v>
      </c>
      <c r="F481" s="2">
        <v>19902</v>
      </c>
      <c r="G481" s="2">
        <f t="shared" si="71"/>
        <v>108914.8</v>
      </c>
      <c r="H481" s="3">
        <f t="shared" si="74"/>
        <v>0.34374758985922943</v>
      </c>
      <c r="I481" s="3">
        <f t="shared" si="75"/>
        <v>0.29209620731066854</v>
      </c>
      <c r="J481" s="3">
        <f t="shared" si="76"/>
        <v>0.18142621572091211</v>
      </c>
      <c r="K481" s="3">
        <f t="shared" si="77"/>
        <v>0.18272998710918992</v>
      </c>
      <c r="L481" s="3">
        <f t="shared" si="78"/>
        <v>0.63584379716989792</v>
      </c>
      <c r="M481" s="56">
        <f t="shared" si="79"/>
        <v>0.36415620283010203</v>
      </c>
      <c r="O481" s="2">
        <v>23352</v>
      </c>
      <c r="R481" s="2">
        <v>17136</v>
      </c>
      <c r="S481" s="36"/>
    </row>
    <row r="482" spans="1:19" hidden="1" x14ac:dyDescent="0.25">
      <c r="A482" s="55" t="s">
        <v>14</v>
      </c>
      <c r="B482" s="1">
        <v>45405</v>
      </c>
      <c r="C482" s="36">
        <f t="shared" si="72"/>
        <v>42956</v>
      </c>
      <c r="D482" s="2">
        <v>16430</v>
      </c>
      <c r="E482" s="36">
        <f t="shared" si="73"/>
        <v>15769.6</v>
      </c>
      <c r="F482" s="2">
        <v>11335</v>
      </c>
      <c r="G482" s="2">
        <f t="shared" si="71"/>
        <v>86490.6</v>
      </c>
      <c r="H482" s="3">
        <f t="shared" si="74"/>
        <v>0.49665512784048205</v>
      </c>
      <c r="I482" s="3">
        <f t="shared" si="75"/>
        <v>0.18232732805645932</v>
      </c>
      <c r="J482" s="3">
        <f t="shared" si="76"/>
        <v>0.1899628398924276</v>
      </c>
      <c r="K482" s="3">
        <f t="shared" si="77"/>
        <v>0.13105470421063098</v>
      </c>
      <c r="L482" s="3">
        <f t="shared" si="78"/>
        <v>0.67898245589694128</v>
      </c>
      <c r="M482" s="56">
        <f t="shared" si="79"/>
        <v>0.32101754410305855</v>
      </c>
      <c r="O482" s="2">
        <v>63809</v>
      </c>
      <c r="R482" s="2">
        <v>31576</v>
      </c>
      <c r="S482" s="36"/>
    </row>
    <row r="483" spans="1:19" hidden="1" x14ac:dyDescent="0.25">
      <c r="A483" s="55" t="s">
        <v>21</v>
      </c>
      <c r="B483" s="1">
        <v>45406</v>
      </c>
      <c r="C483" s="36">
        <f t="shared" si="72"/>
        <v>32410.400000000001</v>
      </c>
      <c r="D483" s="2">
        <v>20004</v>
      </c>
      <c r="E483" s="36">
        <f t="shared" si="73"/>
        <v>23548</v>
      </c>
      <c r="F483" s="2">
        <v>10086</v>
      </c>
      <c r="G483" s="2">
        <f t="shared" si="71"/>
        <v>86048.4</v>
      </c>
      <c r="H483" s="3">
        <f t="shared" si="74"/>
        <v>0.3766531393959679</v>
      </c>
      <c r="I483" s="3">
        <f t="shared" si="75"/>
        <v>0.27365994021969031</v>
      </c>
      <c r="J483" s="3">
        <f t="shared" si="76"/>
        <v>0.23247381706109588</v>
      </c>
      <c r="K483" s="3">
        <f t="shared" si="77"/>
        <v>0.117213103323246</v>
      </c>
      <c r="L483" s="3">
        <f t="shared" si="78"/>
        <v>0.65031307961565821</v>
      </c>
      <c r="M483" s="56">
        <f t="shared" si="79"/>
        <v>0.34968692038434185</v>
      </c>
      <c r="O483" s="2">
        <v>36495</v>
      </c>
      <c r="R483" s="2">
        <v>26871</v>
      </c>
      <c r="S483" s="36"/>
    </row>
    <row r="484" spans="1:19" x14ac:dyDescent="0.25">
      <c r="A484" s="55" t="s">
        <v>26</v>
      </c>
      <c r="B484" s="1">
        <v>45407</v>
      </c>
      <c r="C484" s="36">
        <f t="shared" si="72"/>
        <v>30440</v>
      </c>
      <c r="D484" s="2">
        <v>19622</v>
      </c>
      <c r="E484" s="36">
        <f t="shared" si="73"/>
        <v>17492</v>
      </c>
      <c r="F484" s="2">
        <v>9363</v>
      </c>
      <c r="G484" s="2">
        <f t="shared" si="71"/>
        <v>76917</v>
      </c>
      <c r="H484" s="3">
        <f t="shared" si="74"/>
        <v>0.39575126434988361</v>
      </c>
      <c r="I484" s="3">
        <f t="shared" si="75"/>
        <v>0.22741396570329056</v>
      </c>
      <c r="J484" s="3">
        <f t="shared" si="76"/>
        <v>0.25510615338611753</v>
      </c>
      <c r="K484" s="3">
        <f t="shared" si="77"/>
        <v>0.1217286165607083</v>
      </c>
      <c r="L484" s="3">
        <f t="shared" si="78"/>
        <v>0.62316523005317415</v>
      </c>
      <c r="M484" s="56">
        <f t="shared" si="79"/>
        <v>0.3768347699468258</v>
      </c>
      <c r="O484" s="2">
        <v>34949</v>
      </c>
      <c r="R484" s="2">
        <v>48944</v>
      </c>
      <c r="S484" s="36"/>
    </row>
    <row r="485" spans="1:19" hidden="1" x14ac:dyDescent="0.25">
      <c r="A485" s="55" t="s">
        <v>7</v>
      </c>
      <c r="B485" s="1">
        <v>45408</v>
      </c>
      <c r="C485" s="36">
        <f t="shared" si="72"/>
        <v>31676.800000000003</v>
      </c>
      <c r="D485" s="2">
        <v>16259</v>
      </c>
      <c r="E485" s="36">
        <f t="shared" si="73"/>
        <v>33651.200000000004</v>
      </c>
      <c r="F485" s="2">
        <v>13791</v>
      </c>
      <c r="G485" s="2">
        <f t="shared" si="71"/>
        <v>95378</v>
      </c>
      <c r="H485" s="3">
        <f t="shared" si="74"/>
        <v>0.33211851789720903</v>
      </c>
      <c r="I485" s="3">
        <f t="shared" si="75"/>
        <v>0.3528193084359077</v>
      </c>
      <c r="J485" s="3">
        <f t="shared" si="76"/>
        <v>0.17046908092012833</v>
      </c>
      <c r="K485" s="3">
        <f t="shared" si="77"/>
        <v>0.14459309274675503</v>
      </c>
      <c r="L485" s="3">
        <f t="shared" si="78"/>
        <v>0.68493782633311673</v>
      </c>
      <c r="M485" s="56">
        <f t="shared" si="79"/>
        <v>0.31506217366688333</v>
      </c>
      <c r="O485" s="2">
        <v>37470</v>
      </c>
      <c r="R485" s="2">
        <v>45951</v>
      </c>
      <c r="S485" s="36"/>
    </row>
    <row r="486" spans="1:19" hidden="1" x14ac:dyDescent="0.25">
      <c r="A486" s="55" t="s">
        <v>30</v>
      </c>
      <c r="B486" s="1">
        <v>45409</v>
      </c>
      <c r="C486" s="36">
        <f t="shared" si="72"/>
        <v>34228.800000000003</v>
      </c>
      <c r="D486" s="2">
        <v>21263</v>
      </c>
      <c r="E486" s="36">
        <f t="shared" si="73"/>
        <v>37708.800000000003</v>
      </c>
      <c r="F486" s="2">
        <v>20020</v>
      </c>
      <c r="G486" s="2">
        <f t="shared" si="71"/>
        <v>113220.6</v>
      </c>
      <c r="H486" s="3">
        <f t="shared" si="74"/>
        <v>0.3023195425567432</v>
      </c>
      <c r="I486" s="3">
        <f t="shared" si="75"/>
        <v>0.33305599864335644</v>
      </c>
      <c r="J486" s="3">
        <f t="shared" si="76"/>
        <v>0.1878015131522002</v>
      </c>
      <c r="K486" s="3">
        <f t="shared" si="77"/>
        <v>0.17682294564770015</v>
      </c>
      <c r="L486" s="3">
        <f t="shared" si="78"/>
        <v>0.63537554120009965</v>
      </c>
      <c r="M486" s="56">
        <f t="shared" si="79"/>
        <v>0.36462445879990035</v>
      </c>
      <c r="O486" s="2">
        <v>63068</v>
      </c>
      <c r="R486" s="2">
        <v>25839</v>
      </c>
      <c r="S486" s="36"/>
    </row>
    <row r="487" spans="1:19" hidden="1" x14ac:dyDescent="0.25">
      <c r="A487" s="55" t="s">
        <v>31</v>
      </c>
      <c r="B487" s="1">
        <v>45410</v>
      </c>
      <c r="C487" s="36">
        <f t="shared" si="72"/>
        <v>30727.200000000001</v>
      </c>
      <c r="D487" s="2">
        <v>30802</v>
      </c>
      <c r="E487" s="36">
        <f t="shared" si="73"/>
        <v>42884.800000000003</v>
      </c>
      <c r="F487" s="2">
        <v>25418</v>
      </c>
      <c r="G487" s="2">
        <f t="shared" si="71"/>
        <v>129832</v>
      </c>
      <c r="H487" s="3">
        <f t="shared" si="74"/>
        <v>0.23666892599667264</v>
      </c>
      <c r="I487" s="3">
        <f t="shared" si="75"/>
        <v>0.33030993899808986</v>
      </c>
      <c r="J487" s="3">
        <f t="shared" si="76"/>
        <v>0.2372450551481915</v>
      </c>
      <c r="K487" s="3">
        <f t="shared" si="77"/>
        <v>0.19577607985704604</v>
      </c>
      <c r="L487" s="3">
        <f t="shared" si="78"/>
        <v>0.56697886499476247</v>
      </c>
      <c r="M487" s="56">
        <f t="shared" si="79"/>
        <v>0.43302113500523753</v>
      </c>
      <c r="O487" s="2">
        <v>33388</v>
      </c>
      <c r="R487" s="2">
        <v>22365</v>
      </c>
      <c r="S487" s="36"/>
    </row>
    <row r="488" spans="1:19" hidden="1" x14ac:dyDescent="0.25">
      <c r="A488" s="55" t="s">
        <v>129</v>
      </c>
      <c r="B488" s="1">
        <v>45411</v>
      </c>
      <c r="C488" s="36">
        <f t="shared" si="72"/>
        <v>41427.200000000004</v>
      </c>
      <c r="D488" s="2">
        <v>22842</v>
      </c>
      <c r="E488" s="36">
        <f t="shared" si="73"/>
        <v>41781.600000000006</v>
      </c>
      <c r="F488" s="2">
        <v>22787</v>
      </c>
      <c r="G488" s="2">
        <f t="shared" si="71"/>
        <v>128837.80000000002</v>
      </c>
      <c r="H488" s="3">
        <f t="shared" si="74"/>
        <v>0.32154538497242269</v>
      </c>
      <c r="I488" s="3">
        <f t="shared" si="75"/>
        <v>0.32429613048344508</v>
      </c>
      <c r="J488" s="3">
        <f t="shared" si="76"/>
        <v>0.17729268894687736</v>
      </c>
      <c r="K488" s="3">
        <f t="shared" si="77"/>
        <v>0.17686579559725482</v>
      </c>
      <c r="L488" s="3">
        <f t="shared" si="78"/>
        <v>0.64584151545586777</v>
      </c>
      <c r="M488" s="56">
        <f t="shared" si="79"/>
        <v>0.35415848454413218</v>
      </c>
      <c r="O488" s="2">
        <v>29857</v>
      </c>
      <c r="R488" s="2">
        <v>29667</v>
      </c>
      <c r="S488" s="36"/>
    </row>
    <row r="489" spans="1:19" hidden="1" x14ac:dyDescent="0.25">
      <c r="A489" s="55" t="s">
        <v>14</v>
      </c>
      <c r="B489" s="1">
        <v>45412</v>
      </c>
      <c r="C489" s="36">
        <f t="shared" si="72"/>
        <v>35637.599999999999</v>
      </c>
      <c r="D489" s="2">
        <v>22321</v>
      </c>
      <c r="E489" s="36">
        <f t="shared" si="73"/>
        <v>34828</v>
      </c>
      <c r="F489" s="2">
        <v>17937</v>
      </c>
      <c r="G489" s="2">
        <f t="shared" si="71"/>
        <v>110723.6</v>
      </c>
      <c r="H489" s="3">
        <f t="shared" si="74"/>
        <v>0.32186092215209761</v>
      </c>
      <c r="I489" s="3">
        <f t="shared" si="75"/>
        <v>0.3145490211662193</v>
      </c>
      <c r="J489" s="3">
        <f t="shared" si="76"/>
        <v>0.20159207251209316</v>
      </c>
      <c r="K489" s="3">
        <f t="shared" si="77"/>
        <v>0.16199798416958985</v>
      </c>
      <c r="L489" s="3">
        <f t="shared" si="78"/>
        <v>0.63640994331831702</v>
      </c>
      <c r="M489" s="56">
        <f t="shared" si="79"/>
        <v>0.36359005668168304</v>
      </c>
      <c r="O489" s="2">
        <v>51819</v>
      </c>
      <c r="R489" s="2">
        <v>41518</v>
      </c>
      <c r="S489" s="36"/>
    </row>
    <row r="490" spans="1:19" hidden="1" x14ac:dyDescent="0.25">
      <c r="A490" s="55" t="s">
        <v>21</v>
      </c>
      <c r="B490" s="1">
        <v>45413</v>
      </c>
      <c r="C490" s="36">
        <f t="shared" si="72"/>
        <v>44583.200000000004</v>
      </c>
      <c r="D490" s="2">
        <v>23711</v>
      </c>
      <c r="E490" s="36">
        <f t="shared" si="73"/>
        <v>18618.400000000001</v>
      </c>
      <c r="F490" s="2">
        <v>12659</v>
      </c>
      <c r="G490" s="2">
        <f t="shared" si="71"/>
        <v>99571.6</v>
      </c>
      <c r="H490" s="3">
        <f t="shared" si="74"/>
        <v>0.4477501616926915</v>
      </c>
      <c r="I490" s="3">
        <f t="shared" si="75"/>
        <v>0.18698504392818835</v>
      </c>
      <c r="J490" s="3">
        <f t="shared" si="76"/>
        <v>0.2381301495607181</v>
      </c>
      <c r="K490" s="3">
        <f t="shared" si="77"/>
        <v>0.12713464481840203</v>
      </c>
      <c r="L490" s="3">
        <f t="shared" si="78"/>
        <v>0.63473520562087982</v>
      </c>
      <c r="M490" s="56">
        <f t="shared" si="79"/>
        <v>0.36526479437912013</v>
      </c>
      <c r="O490" s="2">
        <v>40656</v>
      </c>
      <c r="R490" s="2">
        <v>52294</v>
      </c>
      <c r="S490" s="36"/>
    </row>
    <row r="491" spans="1:19" x14ac:dyDescent="0.25">
      <c r="A491" s="55" t="s">
        <v>26</v>
      </c>
      <c r="B491" s="1">
        <v>45414</v>
      </c>
      <c r="C491" s="36">
        <f t="shared" si="72"/>
        <v>48222.400000000001</v>
      </c>
      <c r="D491" s="2">
        <v>20889</v>
      </c>
      <c r="E491" s="36">
        <f t="shared" si="73"/>
        <v>30044.800000000003</v>
      </c>
      <c r="F491" s="2">
        <v>10986</v>
      </c>
      <c r="G491" s="2">
        <f t="shared" si="71"/>
        <v>110142.2</v>
      </c>
      <c r="H491" s="3">
        <f t="shared" si="74"/>
        <v>0.43781947337169591</v>
      </c>
      <c r="I491" s="3">
        <f t="shared" si="75"/>
        <v>0.27278191283631525</v>
      </c>
      <c r="J491" s="3">
        <f t="shared" si="76"/>
        <v>0.18965482803139941</v>
      </c>
      <c r="K491" s="3">
        <f t="shared" si="77"/>
        <v>9.9743785760589496E-2</v>
      </c>
      <c r="L491" s="3">
        <f t="shared" si="78"/>
        <v>0.71060138620801128</v>
      </c>
      <c r="M491" s="56">
        <f t="shared" si="79"/>
        <v>0.28939861379198889</v>
      </c>
      <c r="O491" s="2">
        <v>29463</v>
      </c>
      <c r="R491" s="2">
        <v>55308</v>
      </c>
      <c r="S491" s="36"/>
    </row>
    <row r="492" spans="1:19" hidden="1" x14ac:dyDescent="0.25">
      <c r="A492" s="55" t="s">
        <v>7</v>
      </c>
      <c r="B492" s="1">
        <v>45415</v>
      </c>
      <c r="C492" s="36">
        <f t="shared" si="72"/>
        <v>44746.400000000001</v>
      </c>
      <c r="D492" s="2">
        <v>23097</v>
      </c>
      <c r="E492" s="36">
        <f t="shared" si="73"/>
        <v>38856.800000000003</v>
      </c>
      <c r="F492" s="2">
        <v>19936</v>
      </c>
      <c r="G492" s="2">
        <f t="shared" si="71"/>
        <v>126636.2</v>
      </c>
      <c r="H492" s="3">
        <f t="shared" si="74"/>
        <v>0.35334604165317662</v>
      </c>
      <c r="I492" s="3">
        <f t="shared" si="75"/>
        <v>0.30683801314316128</v>
      </c>
      <c r="J492" s="3">
        <f t="shared" si="76"/>
        <v>0.18238860610157287</v>
      </c>
      <c r="K492" s="3">
        <f t="shared" si="77"/>
        <v>0.15742733910208931</v>
      </c>
      <c r="L492" s="3">
        <f t="shared" si="78"/>
        <v>0.66018405479633802</v>
      </c>
      <c r="M492" s="56">
        <f t="shared" si="79"/>
        <v>0.33981594520366215</v>
      </c>
      <c r="O492" s="2">
        <v>39490</v>
      </c>
      <c r="R492" s="2">
        <v>45250</v>
      </c>
      <c r="S492" s="36"/>
    </row>
    <row r="493" spans="1:19" hidden="1" x14ac:dyDescent="0.25">
      <c r="A493" s="55" t="s">
        <v>30</v>
      </c>
      <c r="B493" s="1">
        <v>45416</v>
      </c>
      <c r="C493" s="36">
        <f t="shared" si="72"/>
        <v>42508.800000000003</v>
      </c>
      <c r="D493" s="2">
        <v>24073</v>
      </c>
      <c r="E493" s="36">
        <f t="shared" si="73"/>
        <v>47032.800000000003</v>
      </c>
      <c r="F493" s="2">
        <v>22898</v>
      </c>
      <c r="G493" s="2">
        <f t="shared" si="71"/>
        <v>136512.6</v>
      </c>
      <c r="H493" s="3">
        <f t="shared" si="74"/>
        <v>0.31139103643180188</v>
      </c>
      <c r="I493" s="3">
        <f t="shared" si="75"/>
        <v>0.34453083451637434</v>
      </c>
      <c r="J493" s="3">
        <f t="shared" si="76"/>
        <v>0.17634269657159851</v>
      </c>
      <c r="K493" s="3">
        <f t="shared" si="77"/>
        <v>0.16773543248022527</v>
      </c>
      <c r="L493" s="3">
        <f t="shared" si="78"/>
        <v>0.65592187094817622</v>
      </c>
      <c r="M493" s="56">
        <f t="shared" si="79"/>
        <v>0.34407812905182378</v>
      </c>
      <c r="O493" s="2">
        <v>36479</v>
      </c>
      <c r="R493" s="2">
        <v>34727</v>
      </c>
      <c r="S493" s="36"/>
    </row>
    <row r="494" spans="1:19" hidden="1" x14ac:dyDescent="0.25">
      <c r="A494" s="55" t="s">
        <v>31</v>
      </c>
      <c r="B494" s="1">
        <v>45417</v>
      </c>
      <c r="C494" s="36">
        <f t="shared" si="72"/>
        <v>32055.200000000001</v>
      </c>
      <c r="D494" s="2">
        <v>28204</v>
      </c>
      <c r="E494" s="36">
        <f t="shared" si="73"/>
        <v>47909.600000000006</v>
      </c>
      <c r="F494" s="2">
        <v>26309</v>
      </c>
      <c r="G494" s="2">
        <f t="shared" si="71"/>
        <v>134477.79999999999</v>
      </c>
      <c r="H494" s="3">
        <f t="shared" si="74"/>
        <v>0.23836796854201961</v>
      </c>
      <c r="I494" s="3">
        <f t="shared" si="75"/>
        <v>0.35626400788829093</v>
      </c>
      <c r="J494" s="3">
        <f t="shared" si="76"/>
        <v>0.20972978439564005</v>
      </c>
      <c r="K494" s="3">
        <f t="shared" si="77"/>
        <v>0.19563823917404957</v>
      </c>
      <c r="L494" s="3">
        <f t="shared" si="78"/>
        <v>0.59463197643031052</v>
      </c>
      <c r="M494" s="56">
        <f t="shared" si="79"/>
        <v>0.4053680235696896</v>
      </c>
      <c r="O494" s="2">
        <v>37422</v>
      </c>
      <c r="R494" s="2">
        <v>33081</v>
      </c>
      <c r="S494" s="36"/>
    </row>
    <row r="495" spans="1:19" hidden="1" x14ac:dyDescent="0.25">
      <c r="A495" s="55" t="s">
        <v>129</v>
      </c>
      <c r="B495" s="1">
        <v>45418</v>
      </c>
      <c r="C495" s="36">
        <f t="shared" si="72"/>
        <v>43028</v>
      </c>
      <c r="D495" s="2">
        <v>28766</v>
      </c>
      <c r="E495" s="36">
        <f t="shared" si="73"/>
        <v>33572.800000000003</v>
      </c>
      <c r="F495" s="2">
        <v>19779</v>
      </c>
      <c r="G495" s="2">
        <f t="shared" si="71"/>
        <v>125145.8</v>
      </c>
      <c r="H495" s="3">
        <f t="shared" si="74"/>
        <v>0.34382296489374792</v>
      </c>
      <c r="I495" s="3">
        <f t="shared" si="75"/>
        <v>0.26826949046632009</v>
      </c>
      <c r="J495" s="3">
        <f t="shared" si="76"/>
        <v>0.22985989142264462</v>
      </c>
      <c r="K495" s="3">
        <f t="shared" si="77"/>
        <v>0.15804765321728736</v>
      </c>
      <c r="L495" s="3">
        <f t="shared" si="78"/>
        <v>0.61209245536006807</v>
      </c>
      <c r="M495" s="56">
        <f t="shared" si="79"/>
        <v>0.38790754463993199</v>
      </c>
      <c r="O495" s="2">
        <v>25407</v>
      </c>
      <c r="R495" s="2">
        <v>25175</v>
      </c>
      <c r="S495" s="36"/>
    </row>
    <row r="496" spans="1:19" hidden="1" x14ac:dyDescent="0.25">
      <c r="A496" s="55" t="s">
        <v>14</v>
      </c>
      <c r="B496" s="1">
        <v>45419</v>
      </c>
      <c r="C496" s="36">
        <f t="shared" si="72"/>
        <v>63893.600000000006</v>
      </c>
      <c r="D496" s="2">
        <v>23391</v>
      </c>
      <c r="E496" s="36">
        <f t="shared" si="73"/>
        <v>22061.600000000002</v>
      </c>
      <c r="F496" s="2">
        <v>19004</v>
      </c>
      <c r="G496" s="2">
        <f t="shared" si="71"/>
        <v>128350.20000000001</v>
      </c>
      <c r="H496" s="3">
        <f t="shared" si="74"/>
        <v>0.49780678175803389</v>
      </c>
      <c r="I496" s="3">
        <f t="shared" si="75"/>
        <v>0.17188598069967947</v>
      </c>
      <c r="J496" s="3">
        <f t="shared" si="76"/>
        <v>0.18224358045410133</v>
      </c>
      <c r="K496" s="3">
        <f t="shared" si="77"/>
        <v>0.14806365708818528</v>
      </c>
      <c r="L496" s="3">
        <f t="shared" si="78"/>
        <v>0.66969276245771336</v>
      </c>
      <c r="M496" s="56">
        <f t="shared" si="79"/>
        <v>0.33030723754228664</v>
      </c>
      <c r="O496" s="2">
        <v>35742</v>
      </c>
      <c r="R496" s="2">
        <v>44227</v>
      </c>
      <c r="S496" s="36"/>
    </row>
    <row r="497" spans="1:19" hidden="1" x14ac:dyDescent="0.25">
      <c r="A497" s="55" t="s">
        <v>21</v>
      </c>
      <c r="B497" s="1">
        <v>45420</v>
      </c>
      <c r="C497" s="36">
        <f t="shared" si="72"/>
        <v>39569.600000000006</v>
      </c>
      <c r="D497" s="2">
        <v>14801</v>
      </c>
      <c r="E497" s="36">
        <f t="shared" si="73"/>
        <v>25586.400000000001</v>
      </c>
      <c r="F497" s="2">
        <v>16768</v>
      </c>
      <c r="G497" s="2">
        <f t="shared" si="71"/>
        <v>96725</v>
      </c>
      <c r="H497" s="3">
        <f t="shared" si="74"/>
        <v>0.40909382269320244</v>
      </c>
      <c r="I497" s="3">
        <f t="shared" si="75"/>
        <v>0.26452726802791421</v>
      </c>
      <c r="J497" s="3">
        <f t="shared" si="76"/>
        <v>0.15302145257172395</v>
      </c>
      <c r="K497" s="3">
        <f t="shared" si="77"/>
        <v>0.17335745670715946</v>
      </c>
      <c r="L497" s="3">
        <f t="shared" si="78"/>
        <v>0.67362109072111664</v>
      </c>
      <c r="M497" s="56">
        <f t="shared" si="79"/>
        <v>0.32637890927888341</v>
      </c>
      <c r="O497" s="2">
        <v>29947</v>
      </c>
      <c r="R497" s="2">
        <v>41004</v>
      </c>
      <c r="S497" s="36"/>
    </row>
    <row r="498" spans="1:19" x14ac:dyDescent="0.25">
      <c r="A498" s="55" t="s">
        <v>26</v>
      </c>
      <c r="B498" s="1">
        <v>45421</v>
      </c>
      <c r="C498" s="36">
        <f t="shared" si="72"/>
        <v>35307.200000000004</v>
      </c>
      <c r="D498" s="2">
        <v>16035</v>
      </c>
      <c r="E498" s="36">
        <f t="shared" si="73"/>
        <v>22844</v>
      </c>
      <c r="F498" s="2">
        <v>8820</v>
      </c>
      <c r="G498" s="2">
        <f t="shared" si="71"/>
        <v>83006.200000000012</v>
      </c>
      <c r="H498" s="3">
        <f t="shared" si="74"/>
        <v>0.42535617821319371</v>
      </c>
      <c r="I498" s="3">
        <f t="shared" si="75"/>
        <v>0.27520835792988951</v>
      </c>
      <c r="J498" s="3">
        <f t="shared" si="76"/>
        <v>0.19317834089501745</v>
      </c>
      <c r="K498" s="3">
        <f t="shared" si="77"/>
        <v>0.10625712296189922</v>
      </c>
      <c r="L498" s="3">
        <f t="shared" si="78"/>
        <v>0.70056453614308323</v>
      </c>
      <c r="M498" s="56">
        <f t="shared" si="79"/>
        <v>0.29943546385691666</v>
      </c>
      <c r="O498" s="2">
        <v>27038</v>
      </c>
      <c r="R498" s="2">
        <v>44119</v>
      </c>
      <c r="S498" s="36"/>
    </row>
    <row r="499" spans="1:19" hidden="1" x14ac:dyDescent="0.25">
      <c r="A499" s="55" t="s">
        <v>7</v>
      </c>
      <c r="B499" s="1">
        <v>45422</v>
      </c>
      <c r="C499" s="36">
        <f t="shared" si="72"/>
        <v>39678.400000000001</v>
      </c>
      <c r="D499" s="2">
        <v>21379</v>
      </c>
      <c r="E499" s="36">
        <f t="shared" si="73"/>
        <v>31778.400000000001</v>
      </c>
      <c r="F499" s="2">
        <v>20515</v>
      </c>
      <c r="G499" s="2">
        <f t="shared" si="71"/>
        <v>113350.8</v>
      </c>
      <c r="H499" s="3">
        <f t="shared" si="74"/>
        <v>0.35004958059404961</v>
      </c>
      <c r="I499" s="3">
        <f t="shared" si="75"/>
        <v>0.28035443949226652</v>
      </c>
      <c r="J499" s="3">
        <f t="shared" si="76"/>
        <v>0.18860916729304072</v>
      </c>
      <c r="K499" s="3">
        <f t="shared" si="77"/>
        <v>0.18098681262064317</v>
      </c>
      <c r="L499" s="3">
        <f t="shared" si="78"/>
        <v>0.63040402008631613</v>
      </c>
      <c r="M499" s="56">
        <f t="shared" si="79"/>
        <v>0.36959597991368387</v>
      </c>
      <c r="O499" s="2">
        <v>36554</v>
      </c>
      <c r="R499" s="2">
        <v>44649</v>
      </c>
      <c r="S499" s="36"/>
    </row>
    <row r="500" spans="1:19" hidden="1" x14ac:dyDescent="0.25">
      <c r="A500" s="55" t="s">
        <v>30</v>
      </c>
      <c r="B500" s="1">
        <v>45423</v>
      </c>
      <c r="C500" s="36">
        <f t="shared" si="72"/>
        <v>33807.200000000004</v>
      </c>
      <c r="D500" s="2">
        <v>29171</v>
      </c>
      <c r="E500" s="36">
        <f t="shared" si="73"/>
        <v>55892.800000000003</v>
      </c>
      <c r="F500" s="2">
        <v>20334</v>
      </c>
      <c r="G500" s="2">
        <f t="shared" si="71"/>
        <v>139205</v>
      </c>
      <c r="H500" s="3">
        <f t="shared" si="74"/>
        <v>0.24285909270500344</v>
      </c>
      <c r="I500" s="3">
        <f t="shared" si="75"/>
        <v>0.40151431342265009</v>
      </c>
      <c r="J500" s="3">
        <f t="shared" si="76"/>
        <v>0.20955425451671994</v>
      </c>
      <c r="K500" s="3">
        <f t="shared" si="77"/>
        <v>0.14607233935562661</v>
      </c>
      <c r="L500" s="3">
        <f t="shared" si="78"/>
        <v>0.64437340612765348</v>
      </c>
      <c r="M500" s="56">
        <f t="shared" si="79"/>
        <v>0.35562659387234652</v>
      </c>
      <c r="O500" s="2">
        <v>54381</v>
      </c>
      <c r="R500" s="2">
        <v>29564</v>
      </c>
      <c r="S500" s="36"/>
    </row>
    <row r="501" spans="1:19" hidden="1" x14ac:dyDescent="0.25">
      <c r="A501" s="55" t="s">
        <v>31</v>
      </c>
      <c r="B501" s="1">
        <v>45424</v>
      </c>
      <c r="C501" s="36">
        <f t="shared" si="72"/>
        <v>34938.400000000001</v>
      </c>
      <c r="D501" s="2">
        <v>28261</v>
      </c>
      <c r="E501" s="36">
        <f t="shared" si="73"/>
        <v>51319.200000000004</v>
      </c>
      <c r="F501" s="2">
        <v>24864</v>
      </c>
      <c r="G501" s="2">
        <f t="shared" si="71"/>
        <v>139382.6</v>
      </c>
      <c r="H501" s="3">
        <f t="shared" si="74"/>
        <v>0.25066543456643797</v>
      </c>
      <c r="I501" s="3">
        <f t="shared" si="75"/>
        <v>0.36818942967056145</v>
      </c>
      <c r="J501" s="3">
        <f t="shared" si="76"/>
        <v>0.20275845048090652</v>
      </c>
      <c r="K501" s="3">
        <f t="shared" si="77"/>
        <v>0.17838668528209403</v>
      </c>
      <c r="L501" s="3">
        <f t="shared" si="78"/>
        <v>0.61885486423699942</v>
      </c>
      <c r="M501" s="56">
        <f t="shared" si="79"/>
        <v>0.38114513576300052</v>
      </c>
      <c r="O501" s="2">
        <v>27883</v>
      </c>
      <c r="R501" s="2">
        <v>29665</v>
      </c>
      <c r="S501" s="36"/>
    </row>
    <row r="502" spans="1:19" hidden="1" x14ac:dyDescent="0.25">
      <c r="A502" s="55" t="s">
        <v>129</v>
      </c>
      <c r="B502" s="1">
        <v>45425</v>
      </c>
      <c r="C502" s="36">
        <f t="shared" si="72"/>
        <v>52188</v>
      </c>
      <c r="D502" s="2">
        <v>27292</v>
      </c>
      <c r="E502" s="36">
        <f t="shared" si="73"/>
        <v>39764.800000000003</v>
      </c>
      <c r="F502" s="2">
        <v>16280</v>
      </c>
      <c r="G502" s="2">
        <f t="shared" si="71"/>
        <v>135524.79999999999</v>
      </c>
      <c r="H502" s="3">
        <f t="shared" si="74"/>
        <v>0.38508081177762304</v>
      </c>
      <c r="I502" s="3">
        <f t="shared" si="75"/>
        <v>0.29341345643011468</v>
      </c>
      <c r="J502" s="3">
        <f t="shared" si="76"/>
        <v>0.20138011640673886</v>
      </c>
      <c r="K502" s="3">
        <f t="shared" si="77"/>
        <v>0.12012561538552355</v>
      </c>
      <c r="L502" s="3">
        <f t="shared" si="78"/>
        <v>0.67849426820773773</v>
      </c>
      <c r="M502" s="56">
        <f t="shared" si="79"/>
        <v>0.32150573179226238</v>
      </c>
      <c r="O502" s="2">
        <v>35796</v>
      </c>
      <c r="R502" s="2">
        <v>28520</v>
      </c>
      <c r="S502" s="36"/>
    </row>
    <row r="503" spans="1:19" hidden="1" x14ac:dyDescent="0.25">
      <c r="A503" s="55" t="s">
        <v>14</v>
      </c>
      <c r="B503" s="1">
        <v>45426</v>
      </c>
      <c r="C503" s="36">
        <f t="shared" si="72"/>
        <v>50075.200000000004</v>
      </c>
      <c r="D503" s="2">
        <v>22901</v>
      </c>
      <c r="E503" s="36">
        <f t="shared" si="73"/>
        <v>31318.400000000001</v>
      </c>
      <c r="F503" s="2">
        <v>16910</v>
      </c>
      <c r="G503" s="2">
        <f t="shared" si="71"/>
        <v>121204.6</v>
      </c>
      <c r="H503" s="3">
        <f t="shared" si="74"/>
        <v>0.41314603571151592</v>
      </c>
      <c r="I503" s="3">
        <f t="shared" si="75"/>
        <v>0.25839283327530471</v>
      </c>
      <c r="J503" s="3">
        <f t="shared" si="76"/>
        <v>0.1889449740356389</v>
      </c>
      <c r="K503" s="3">
        <f t="shared" si="77"/>
        <v>0.13951615697754044</v>
      </c>
      <c r="L503" s="3">
        <f t="shared" si="78"/>
        <v>0.67153886898682069</v>
      </c>
      <c r="M503" s="56">
        <f t="shared" si="79"/>
        <v>0.32846113101317936</v>
      </c>
      <c r="O503" s="2">
        <v>48465</v>
      </c>
      <c r="R503" s="2">
        <v>36092</v>
      </c>
      <c r="S503" s="36"/>
    </row>
    <row r="504" spans="1:19" hidden="1" x14ac:dyDescent="0.25">
      <c r="A504" s="55" t="s">
        <v>21</v>
      </c>
      <c r="B504" s="1">
        <v>45427</v>
      </c>
      <c r="C504" s="36">
        <f t="shared" si="72"/>
        <v>39928.800000000003</v>
      </c>
      <c r="D504" s="2">
        <v>15705</v>
      </c>
      <c r="E504" s="36">
        <f t="shared" si="73"/>
        <v>21648</v>
      </c>
      <c r="F504" s="2">
        <v>15330</v>
      </c>
      <c r="G504" s="2">
        <f t="shared" si="71"/>
        <v>92611.8</v>
      </c>
      <c r="H504" s="3">
        <f t="shared" si="74"/>
        <v>0.43114160398566925</v>
      </c>
      <c r="I504" s="3">
        <f t="shared" si="75"/>
        <v>0.23374991091847908</v>
      </c>
      <c r="J504" s="3">
        <f t="shared" si="76"/>
        <v>0.16957882256904627</v>
      </c>
      <c r="K504" s="3">
        <f t="shared" si="77"/>
        <v>0.16552966252680543</v>
      </c>
      <c r="L504" s="3">
        <f t="shared" si="78"/>
        <v>0.66489151490414833</v>
      </c>
      <c r="M504" s="56">
        <f t="shared" si="79"/>
        <v>0.33510848509585173</v>
      </c>
      <c r="O504" s="2">
        <v>44066</v>
      </c>
      <c r="R504" s="2">
        <v>57515</v>
      </c>
      <c r="S504" s="36"/>
    </row>
    <row r="505" spans="1:19" x14ac:dyDescent="0.25">
      <c r="A505" s="55" t="s">
        <v>26</v>
      </c>
      <c r="B505" s="1">
        <v>45428</v>
      </c>
      <c r="C505" s="36">
        <f t="shared" si="72"/>
        <v>45301.600000000006</v>
      </c>
      <c r="D505" s="2">
        <v>15391</v>
      </c>
      <c r="E505" s="36">
        <f t="shared" si="73"/>
        <v>32801.599999999999</v>
      </c>
      <c r="F505" s="2">
        <v>17972</v>
      </c>
      <c r="G505" s="2">
        <f t="shared" si="71"/>
        <v>111466.20000000001</v>
      </c>
      <c r="H505" s="3">
        <f t="shared" si="74"/>
        <v>0.40641557709870796</v>
      </c>
      <c r="I505" s="3">
        <f t="shared" si="75"/>
        <v>0.29427395928092998</v>
      </c>
      <c r="J505" s="3">
        <f t="shared" si="76"/>
        <v>0.1380777311866736</v>
      </c>
      <c r="K505" s="3">
        <f t="shared" si="77"/>
        <v>0.16123273243368841</v>
      </c>
      <c r="L505" s="3">
        <f t="shared" si="78"/>
        <v>0.70068953637963793</v>
      </c>
      <c r="M505" s="56">
        <f t="shared" si="79"/>
        <v>0.29931046362036201</v>
      </c>
      <c r="O505" s="2">
        <v>29692</v>
      </c>
      <c r="R505" s="2">
        <v>63743</v>
      </c>
      <c r="S505" s="36"/>
    </row>
    <row r="506" spans="1:19" hidden="1" x14ac:dyDescent="0.25">
      <c r="A506" s="55" t="s">
        <v>7</v>
      </c>
      <c r="B506" s="1">
        <v>45429</v>
      </c>
      <c r="C506" s="36">
        <f t="shared" si="72"/>
        <v>47147.200000000004</v>
      </c>
      <c r="D506" s="2">
        <v>19251</v>
      </c>
      <c r="E506" s="36">
        <f t="shared" si="73"/>
        <v>40172</v>
      </c>
      <c r="F506" s="2">
        <v>15618</v>
      </c>
      <c r="G506" s="2">
        <f t="shared" si="71"/>
        <v>122188.20000000001</v>
      </c>
      <c r="H506" s="3">
        <f t="shared" si="74"/>
        <v>0.38585722680258816</v>
      </c>
      <c r="I506" s="3">
        <f t="shared" si="75"/>
        <v>0.32877151803529309</v>
      </c>
      <c r="J506" s="3">
        <f t="shared" si="76"/>
        <v>0.15755203857655647</v>
      </c>
      <c r="K506" s="3">
        <f t="shared" si="77"/>
        <v>0.12781921658556225</v>
      </c>
      <c r="L506" s="3">
        <f t="shared" si="78"/>
        <v>0.7146287448378813</v>
      </c>
      <c r="M506" s="56">
        <f t="shared" si="79"/>
        <v>0.28537125516211875</v>
      </c>
      <c r="O506" s="2">
        <v>46799</v>
      </c>
      <c r="R506" s="2">
        <v>39767</v>
      </c>
      <c r="S506" s="36"/>
    </row>
    <row r="507" spans="1:19" hidden="1" x14ac:dyDescent="0.25">
      <c r="A507" s="55" t="s">
        <v>30</v>
      </c>
      <c r="B507" s="1">
        <v>45430</v>
      </c>
      <c r="C507" s="36">
        <f t="shared" si="72"/>
        <v>33672.800000000003</v>
      </c>
      <c r="D507" s="2">
        <v>20254</v>
      </c>
      <c r="E507" s="36">
        <f t="shared" si="73"/>
        <v>43848</v>
      </c>
      <c r="F507" s="2">
        <v>18990</v>
      </c>
      <c r="G507" s="2">
        <f t="shared" si="71"/>
        <v>116764.8</v>
      </c>
      <c r="H507" s="3">
        <f t="shared" si="74"/>
        <v>0.28838143002000605</v>
      </c>
      <c r="I507" s="3">
        <f t="shared" si="75"/>
        <v>0.37552413055989475</v>
      </c>
      <c r="J507" s="3">
        <f t="shared" si="76"/>
        <v>0.17345980980569486</v>
      </c>
      <c r="K507" s="3">
        <f t="shared" si="77"/>
        <v>0.16263462961440434</v>
      </c>
      <c r="L507" s="3">
        <f t="shared" si="78"/>
        <v>0.6639055605799008</v>
      </c>
      <c r="M507" s="56">
        <f t="shared" si="79"/>
        <v>0.3360944394200992</v>
      </c>
      <c r="O507" s="2">
        <v>53695</v>
      </c>
      <c r="R507" s="2">
        <v>19712</v>
      </c>
      <c r="S507" s="36"/>
    </row>
    <row r="508" spans="1:19" hidden="1" x14ac:dyDescent="0.25">
      <c r="A508" s="55" t="s">
        <v>31</v>
      </c>
      <c r="B508" s="1">
        <v>45431</v>
      </c>
      <c r="C508" s="36">
        <f t="shared" si="72"/>
        <v>35893.599999999999</v>
      </c>
      <c r="D508" s="2">
        <v>28290</v>
      </c>
      <c r="E508" s="36">
        <f t="shared" si="73"/>
        <v>49091.200000000004</v>
      </c>
      <c r="F508" s="2">
        <v>25860</v>
      </c>
      <c r="G508" s="2">
        <f t="shared" si="71"/>
        <v>139134.79999999999</v>
      </c>
      <c r="H508" s="3">
        <f t="shared" si="74"/>
        <v>0.25797715596673154</v>
      </c>
      <c r="I508" s="3">
        <f t="shared" si="75"/>
        <v>0.3528319298981995</v>
      </c>
      <c r="J508" s="3">
        <f t="shared" si="76"/>
        <v>0.20332799558413855</v>
      </c>
      <c r="K508" s="3">
        <f t="shared" si="77"/>
        <v>0.18586291855093048</v>
      </c>
      <c r="L508" s="3">
        <f t="shared" si="78"/>
        <v>0.6108090858649311</v>
      </c>
      <c r="M508" s="56">
        <f t="shared" si="79"/>
        <v>0.38919091413506907</v>
      </c>
      <c r="O508" s="2">
        <v>40513</v>
      </c>
      <c r="R508" s="2">
        <v>29435</v>
      </c>
      <c r="S508" s="36"/>
    </row>
    <row r="509" spans="1:19" hidden="1" x14ac:dyDescent="0.25">
      <c r="A509" s="55" t="s">
        <v>129</v>
      </c>
      <c r="B509" s="1">
        <v>45432</v>
      </c>
      <c r="C509" s="36">
        <f t="shared" si="72"/>
        <v>56002.400000000001</v>
      </c>
      <c r="D509" s="2">
        <v>22555</v>
      </c>
      <c r="E509" s="36">
        <f t="shared" si="73"/>
        <v>44564.800000000003</v>
      </c>
      <c r="F509" s="2">
        <v>20889</v>
      </c>
      <c r="G509" s="2">
        <f t="shared" si="71"/>
        <v>144011.20000000001</v>
      </c>
      <c r="H509" s="3">
        <f t="shared" si="74"/>
        <v>0.38887530969813455</v>
      </c>
      <c r="I509" s="3">
        <f t="shared" si="75"/>
        <v>0.30945370915595455</v>
      </c>
      <c r="J509" s="3">
        <f t="shared" si="76"/>
        <v>0.15661976290732943</v>
      </c>
      <c r="K509" s="3">
        <f t="shared" si="77"/>
        <v>0.14505121823858144</v>
      </c>
      <c r="L509" s="3">
        <f t="shared" si="78"/>
        <v>0.69832901885408916</v>
      </c>
      <c r="M509" s="56">
        <f t="shared" si="79"/>
        <v>0.30167098114591084</v>
      </c>
      <c r="O509" s="2">
        <v>38050</v>
      </c>
      <c r="R509" s="2">
        <v>21865</v>
      </c>
      <c r="S509" s="36"/>
    </row>
    <row r="510" spans="1:19" hidden="1" x14ac:dyDescent="0.25">
      <c r="A510" s="55" t="s">
        <v>14</v>
      </c>
      <c r="B510" s="1">
        <v>45433</v>
      </c>
      <c r="C510" s="36">
        <f t="shared" si="72"/>
        <v>49989.600000000006</v>
      </c>
      <c r="D510" s="2">
        <v>24651</v>
      </c>
      <c r="E510" s="36">
        <f t="shared" si="73"/>
        <v>37476</v>
      </c>
      <c r="F510" s="2">
        <v>16018</v>
      </c>
      <c r="G510" s="2">
        <f t="shared" si="71"/>
        <v>128134.6</v>
      </c>
      <c r="H510" s="3">
        <f t="shared" si="74"/>
        <v>0.39013350024115268</v>
      </c>
      <c r="I510" s="3">
        <f t="shared" si="75"/>
        <v>0.29247369562943965</v>
      </c>
      <c r="J510" s="3">
        <f t="shared" si="76"/>
        <v>0.19238363408478271</v>
      </c>
      <c r="K510" s="3">
        <f t="shared" si="77"/>
        <v>0.12500917004462495</v>
      </c>
      <c r="L510" s="3">
        <f t="shared" si="78"/>
        <v>0.68260719587059238</v>
      </c>
      <c r="M510" s="56">
        <f t="shared" si="79"/>
        <v>0.31739280412940768</v>
      </c>
      <c r="O510" s="2">
        <v>39596</v>
      </c>
      <c r="R510" s="2">
        <v>42064</v>
      </c>
      <c r="S510" s="36"/>
    </row>
    <row r="511" spans="1:19" hidden="1" x14ac:dyDescent="0.25">
      <c r="A511" s="55" t="s">
        <v>21</v>
      </c>
      <c r="B511" s="1">
        <v>45434</v>
      </c>
      <c r="C511" s="36">
        <f t="shared" si="72"/>
        <v>41245.600000000006</v>
      </c>
      <c r="D511" s="2">
        <v>20249</v>
      </c>
      <c r="E511" s="36">
        <f t="shared" si="73"/>
        <v>37468</v>
      </c>
      <c r="F511" s="2">
        <v>15401</v>
      </c>
      <c r="G511" s="2">
        <f t="shared" si="71"/>
        <v>114363.6</v>
      </c>
      <c r="H511" s="3">
        <f t="shared" si="74"/>
        <v>0.36065321483409057</v>
      </c>
      <c r="I511" s="3">
        <f t="shared" si="75"/>
        <v>0.32762172579387144</v>
      </c>
      <c r="J511" s="3">
        <f t="shared" si="76"/>
        <v>0.17705808491513034</v>
      </c>
      <c r="K511" s="3">
        <f t="shared" si="77"/>
        <v>0.13466697445690762</v>
      </c>
      <c r="L511" s="3">
        <f t="shared" si="78"/>
        <v>0.68827494062796202</v>
      </c>
      <c r="M511" s="56">
        <f t="shared" si="79"/>
        <v>0.31172505937203793</v>
      </c>
      <c r="O511" s="2">
        <v>42786</v>
      </c>
      <c r="R511" s="2">
        <v>47136</v>
      </c>
      <c r="S511" s="36"/>
    </row>
    <row r="512" spans="1:19" x14ac:dyDescent="0.25">
      <c r="A512" s="55" t="s">
        <v>26</v>
      </c>
      <c r="B512" s="1">
        <v>45435</v>
      </c>
      <c r="C512" s="36">
        <f t="shared" si="72"/>
        <v>37676</v>
      </c>
      <c r="D512" s="2">
        <v>23014</v>
      </c>
      <c r="E512" s="36">
        <f t="shared" si="73"/>
        <v>36015.200000000004</v>
      </c>
      <c r="F512" s="2">
        <v>12444</v>
      </c>
      <c r="G512" s="2">
        <f t="shared" si="71"/>
        <v>109149.20000000001</v>
      </c>
      <c r="H512" s="3">
        <f t="shared" si="74"/>
        <v>0.34517889274497654</v>
      </c>
      <c r="I512" s="3">
        <f t="shared" si="75"/>
        <v>0.32996302309132819</v>
      </c>
      <c r="J512" s="3">
        <f t="shared" si="76"/>
        <v>0.21084900301605505</v>
      </c>
      <c r="K512" s="3">
        <f t="shared" si="77"/>
        <v>0.11400908114764009</v>
      </c>
      <c r="L512" s="3">
        <f t="shared" si="78"/>
        <v>0.67514191583630478</v>
      </c>
      <c r="M512" s="56">
        <f t="shared" si="79"/>
        <v>0.32485808416369516</v>
      </c>
      <c r="O512" s="2">
        <v>38409</v>
      </c>
      <c r="R512" s="2">
        <v>53606</v>
      </c>
      <c r="S512" s="36"/>
    </row>
    <row r="513" spans="1:19" hidden="1" x14ac:dyDescent="0.25">
      <c r="A513" s="55" t="s">
        <v>7</v>
      </c>
      <c r="B513" s="1">
        <v>45436</v>
      </c>
      <c r="C513" s="36">
        <f t="shared" si="72"/>
        <v>44038.400000000001</v>
      </c>
      <c r="D513" s="2">
        <v>24221</v>
      </c>
      <c r="E513" s="36">
        <f t="shared" si="73"/>
        <v>38776</v>
      </c>
      <c r="F513" s="2">
        <v>17067</v>
      </c>
      <c r="G513" s="2">
        <f t="shared" si="71"/>
        <v>124102.39999999999</v>
      </c>
      <c r="H513" s="3">
        <f t="shared" si="74"/>
        <v>0.35485534526326651</v>
      </c>
      <c r="I513" s="3">
        <f t="shared" si="75"/>
        <v>0.31245165282863185</v>
      </c>
      <c r="J513" s="3">
        <f t="shared" si="76"/>
        <v>0.19516947295136919</v>
      </c>
      <c r="K513" s="3">
        <f t="shared" si="77"/>
        <v>0.1375235289567325</v>
      </c>
      <c r="L513" s="3">
        <f t="shared" si="78"/>
        <v>0.66730699809189831</v>
      </c>
      <c r="M513" s="56">
        <f t="shared" si="79"/>
        <v>0.33269300190810169</v>
      </c>
      <c r="O513" s="2">
        <v>51784</v>
      </c>
      <c r="R513" s="2">
        <v>52227</v>
      </c>
      <c r="S513" s="36"/>
    </row>
    <row r="514" spans="1:19" hidden="1" x14ac:dyDescent="0.25">
      <c r="A514" s="55" t="s">
        <v>30</v>
      </c>
      <c r="B514" s="1">
        <v>45437</v>
      </c>
      <c r="C514" s="36">
        <f t="shared" si="72"/>
        <v>31835.200000000001</v>
      </c>
      <c r="D514" s="2">
        <v>26488</v>
      </c>
      <c r="E514" s="36">
        <f t="shared" si="73"/>
        <v>34884.800000000003</v>
      </c>
      <c r="F514" s="2">
        <v>15139</v>
      </c>
      <c r="G514" s="2">
        <f t="shared" si="71"/>
        <v>108347</v>
      </c>
      <c r="H514" s="3">
        <f t="shared" si="74"/>
        <v>0.29382631729535658</v>
      </c>
      <c r="I514" s="3">
        <f t="shared" si="75"/>
        <v>0.32197292033928032</v>
      </c>
      <c r="J514" s="3">
        <f t="shared" si="76"/>
        <v>0.24447377407773174</v>
      </c>
      <c r="K514" s="3">
        <f t="shared" si="77"/>
        <v>0.13972698828763142</v>
      </c>
      <c r="L514" s="3">
        <f t="shared" si="78"/>
        <v>0.61579923763463684</v>
      </c>
      <c r="M514" s="56">
        <f t="shared" si="79"/>
        <v>0.38420076236536316</v>
      </c>
      <c r="O514" s="2">
        <v>44547</v>
      </c>
      <c r="R514" s="2">
        <v>43535</v>
      </c>
      <c r="S514" s="36"/>
    </row>
    <row r="515" spans="1:19" hidden="1" x14ac:dyDescent="0.25">
      <c r="A515" s="55" t="s">
        <v>31</v>
      </c>
      <c r="B515" s="1">
        <v>45438</v>
      </c>
      <c r="C515" s="36">
        <f t="shared" si="72"/>
        <v>42117.600000000006</v>
      </c>
      <c r="D515" s="2">
        <v>23734</v>
      </c>
      <c r="E515" s="36">
        <f t="shared" si="73"/>
        <v>31476.800000000003</v>
      </c>
      <c r="F515" s="2">
        <v>24835</v>
      </c>
      <c r="G515" s="2">
        <f t="shared" si="71"/>
        <v>122163.40000000001</v>
      </c>
      <c r="H515" s="3">
        <f t="shared" si="74"/>
        <v>0.34476447119186271</v>
      </c>
      <c r="I515" s="3">
        <f t="shared" si="75"/>
        <v>0.25766145997901174</v>
      </c>
      <c r="J515" s="3">
        <f t="shared" si="76"/>
        <v>0.19428077476560082</v>
      </c>
      <c r="K515" s="3">
        <f t="shared" si="77"/>
        <v>0.20329329406352473</v>
      </c>
      <c r="L515" s="3">
        <f t="shared" si="78"/>
        <v>0.6024259311708744</v>
      </c>
      <c r="M515" s="56">
        <f t="shared" si="79"/>
        <v>0.39757406882912555</v>
      </c>
      <c r="O515" s="2">
        <v>55729</v>
      </c>
      <c r="R515" s="2">
        <v>23273</v>
      </c>
      <c r="S515" s="36"/>
    </row>
    <row r="516" spans="1:19" hidden="1" x14ac:dyDescent="0.25">
      <c r="A516" s="55" t="s">
        <v>129</v>
      </c>
      <c r="B516" s="1">
        <v>45439</v>
      </c>
      <c r="C516" s="36">
        <f t="shared" si="72"/>
        <v>50150.400000000001</v>
      </c>
      <c r="D516" s="2">
        <v>22687</v>
      </c>
      <c r="E516" s="36">
        <f t="shared" si="73"/>
        <v>60574.400000000001</v>
      </c>
      <c r="F516" s="2">
        <v>24566</v>
      </c>
      <c r="G516" s="2">
        <f t="shared" ref="G516:G579" si="80">SUM(C516:F516)</f>
        <v>157977.79999999999</v>
      </c>
      <c r="H516" s="3">
        <f t="shared" si="74"/>
        <v>0.31745219897985671</v>
      </c>
      <c r="I516" s="3">
        <f t="shared" si="75"/>
        <v>0.3834361536874169</v>
      </c>
      <c r="J516" s="3">
        <f t="shared" si="76"/>
        <v>0.14360878553822121</v>
      </c>
      <c r="K516" s="3">
        <f t="shared" si="77"/>
        <v>0.15550286179450531</v>
      </c>
      <c r="L516" s="3">
        <f t="shared" si="78"/>
        <v>0.70088835266727356</v>
      </c>
      <c r="M516" s="56">
        <f t="shared" si="79"/>
        <v>0.29911164733272649</v>
      </c>
      <c r="O516" s="2">
        <v>60278</v>
      </c>
      <c r="R516" s="2">
        <v>37556</v>
      </c>
      <c r="S516" s="36"/>
    </row>
    <row r="517" spans="1:19" hidden="1" x14ac:dyDescent="0.25">
      <c r="A517" s="55" t="s">
        <v>14</v>
      </c>
      <c r="B517" s="1">
        <v>45440</v>
      </c>
      <c r="C517" s="36">
        <f t="shared" ref="C517:C580" si="81">O542*$P$27</f>
        <v>50375.200000000004</v>
      </c>
      <c r="D517" s="2">
        <v>26484</v>
      </c>
      <c r="E517" s="36">
        <f t="shared" ref="E517:E580" si="82">R542*$P$27</f>
        <v>29574.400000000001</v>
      </c>
      <c r="F517" s="2">
        <v>14361</v>
      </c>
      <c r="G517" s="2">
        <f t="shared" si="80"/>
        <v>120794.6</v>
      </c>
      <c r="H517" s="3">
        <f t="shared" ref="H517:H580" si="83">IFERROR(C517/G517,0)</f>
        <v>0.41703188718701001</v>
      </c>
      <c r="I517" s="3">
        <f t="shared" ref="I517:I580" si="84">IFERROR(E517/G517,0)</f>
        <v>0.24483213653590474</v>
      </c>
      <c r="J517" s="3">
        <f t="shared" ref="J517:J580" si="85">IFERROR(D517/G517,0)</f>
        <v>0.21924821142666973</v>
      </c>
      <c r="K517" s="3">
        <f t="shared" ref="K517:K580" si="86">IFERROR(F517/G517,0)</f>
        <v>0.11888776485041549</v>
      </c>
      <c r="L517" s="3">
        <f t="shared" ref="L517:L580" si="87">IFERROR((C517+E517)/G517, 0)</f>
        <v>0.66186402372291475</v>
      </c>
      <c r="M517" s="56">
        <f t="shared" ref="M517:M580" si="88">IFERROR((D517+F517)/G517, 0)</f>
        <v>0.33813597627708519</v>
      </c>
      <c r="O517" s="2">
        <v>55933</v>
      </c>
      <c r="R517" s="2">
        <v>48571</v>
      </c>
      <c r="S517" s="36"/>
    </row>
    <row r="518" spans="1:19" hidden="1" x14ac:dyDescent="0.25">
      <c r="A518" s="55" t="s">
        <v>21</v>
      </c>
      <c r="B518" s="1">
        <v>45441</v>
      </c>
      <c r="C518" s="36">
        <f t="shared" si="81"/>
        <v>33456.800000000003</v>
      </c>
      <c r="D518" s="2">
        <v>24279</v>
      </c>
      <c r="E518" s="36">
        <f t="shared" si="82"/>
        <v>35663.200000000004</v>
      </c>
      <c r="F518" s="2">
        <v>13613</v>
      </c>
      <c r="G518" s="2">
        <f t="shared" si="80"/>
        <v>107012</v>
      </c>
      <c r="H518" s="3">
        <f t="shared" si="83"/>
        <v>0.31264531080626473</v>
      </c>
      <c r="I518" s="3">
        <f t="shared" si="84"/>
        <v>0.33326355922700263</v>
      </c>
      <c r="J518" s="3">
        <f t="shared" si="85"/>
        <v>0.22688109744701529</v>
      </c>
      <c r="K518" s="3">
        <f t="shared" si="86"/>
        <v>0.12721003251971741</v>
      </c>
      <c r="L518" s="3">
        <f t="shared" si="87"/>
        <v>0.64590887003326725</v>
      </c>
      <c r="M518" s="56">
        <f t="shared" si="88"/>
        <v>0.3540911299667327</v>
      </c>
      <c r="O518" s="2">
        <v>53136</v>
      </c>
      <c r="R518" s="2">
        <v>58791</v>
      </c>
      <c r="S518" s="36"/>
    </row>
    <row r="519" spans="1:19" x14ac:dyDescent="0.25">
      <c r="A519" s="55" t="s">
        <v>26</v>
      </c>
      <c r="B519" s="1">
        <v>45442</v>
      </c>
      <c r="C519" s="36">
        <f t="shared" si="81"/>
        <v>31924</v>
      </c>
      <c r="D519" s="2">
        <v>20839</v>
      </c>
      <c r="E519" s="36">
        <f t="shared" si="82"/>
        <v>19877.600000000002</v>
      </c>
      <c r="F519" s="2">
        <v>15439</v>
      </c>
      <c r="G519" s="2">
        <f t="shared" si="80"/>
        <v>88079.6</v>
      </c>
      <c r="H519" s="3">
        <f t="shared" si="83"/>
        <v>0.36244487940453862</v>
      </c>
      <c r="I519" s="3">
        <f t="shared" si="84"/>
        <v>0.22567768245995667</v>
      </c>
      <c r="J519" s="3">
        <f t="shared" si="85"/>
        <v>0.23659280923164955</v>
      </c>
      <c r="K519" s="3">
        <f t="shared" si="86"/>
        <v>0.17528462890385513</v>
      </c>
      <c r="L519" s="3">
        <f t="shared" si="87"/>
        <v>0.5881225618644953</v>
      </c>
      <c r="M519" s="56">
        <f t="shared" si="88"/>
        <v>0.41187743813550465</v>
      </c>
      <c r="O519" s="2">
        <v>40069</v>
      </c>
      <c r="R519" s="2">
        <v>59887</v>
      </c>
      <c r="S519" s="36"/>
    </row>
    <row r="520" spans="1:19" hidden="1" x14ac:dyDescent="0.25">
      <c r="A520" s="55" t="s">
        <v>7</v>
      </c>
      <c r="B520" s="1">
        <v>45443</v>
      </c>
      <c r="C520" s="36">
        <f t="shared" si="81"/>
        <v>43180</v>
      </c>
      <c r="D520" s="2">
        <v>17642</v>
      </c>
      <c r="E520" s="36">
        <f t="shared" si="82"/>
        <v>35647.200000000004</v>
      </c>
      <c r="F520" s="2">
        <v>12862</v>
      </c>
      <c r="G520" s="2">
        <f t="shared" si="80"/>
        <v>109331.20000000001</v>
      </c>
      <c r="H520" s="3">
        <f t="shared" si="83"/>
        <v>0.39494673066791541</v>
      </c>
      <c r="I520" s="3">
        <f t="shared" si="84"/>
        <v>0.32604782532342097</v>
      </c>
      <c r="J520" s="3">
        <f t="shared" si="85"/>
        <v>0.16136290464204178</v>
      </c>
      <c r="K520" s="3">
        <f t="shared" si="86"/>
        <v>0.11764253936662178</v>
      </c>
      <c r="L520" s="3">
        <f t="shared" si="87"/>
        <v>0.72099455599133644</v>
      </c>
      <c r="M520" s="56">
        <f t="shared" si="88"/>
        <v>0.27900544400866356</v>
      </c>
      <c r="O520" s="2">
        <v>53785</v>
      </c>
      <c r="R520" s="2">
        <v>41966</v>
      </c>
      <c r="S520" s="36"/>
    </row>
    <row r="521" spans="1:19" hidden="1" x14ac:dyDescent="0.25">
      <c r="A521" s="55" t="s">
        <v>30</v>
      </c>
      <c r="B521" s="1">
        <v>45444</v>
      </c>
      <c r="C521" s="36">
        <f t="shared" si="81"/>
        <v>26583.200000000001</v>
      </c>
      <c r="D521" s="2">
        <v>21074</v>
      </c>
      <c r="E521" s="36">
        <f t="shared" si="82"/>
        <v>41974.400000000001</v>
      </c>
      <c r="F521" s="2">
        <v>24497</v>
      </c>
      <c r="G521" s="2">
        <f t="shared" si="80"/>
        <v>114128.6</v>
      </c>
      <c r="H521" s="3">
        <f t="shared" si="83"/>
        <v>0.23292321118457598</v>
      </c>
      <c r="I521" s="3">
        <f t="shared" si="84"/>
        <v>0.3677816077652753</v>
      </c>
      <c r="J521" s="3">
        <f t="shared" si="85"/>
        <v>0.18465134944264627</v>
      </c>
      <c r="K521" s="3">
        <f t="shared" si="86"/>
        <v>0.21464383160750242</v>
      </c>
      <c r="L521" s="3">
        <f t="shared" si="87"/>
        <v>0.60070481894985128</v>
      </c>
      <c r="M521" s="56">
        <f t="shared" si="88"/>
        <v>0.39929518105014866</v>
      </c>
      <c r="O521" s="2">
        <v>79867</v>
      </c>
      <c r="R521" s="2">
        <v>27577</v>
      </c>
      <c r="S521" s="36"/>
    </row>
    <row r="522" spans="1:19" hidden="1" x14ac:dyDescent="0.25">
      <c r="A522" s="55" t="s">
        <v>31</v>
      </c>
      <c r="B522" s="1">
        <v>45445</v>
      </c>
      <c r="C522" s="36">
        <f t="shared" si="81"/>
        <v>28383.200000000001</v>
      </c>
      <c r="D522" s="2">
        <v>25604</v>
      </c>
      <c r="E522" s="36">
        <f t="shared" si="82"/>
        <v>55132</v>
      </c>
      <c r="F522" s="2">
        <v>28835</v>
      </c>
      <c r="G522" s="2">
        <f t="shared" si="80"/>
        <v>137954.20000000001</v>
      </c>
      <c r="H522" s="3">
        <f t="shared" si="83"/>
        <v>0.20574364535476267</v>
      </c>
      <c r="I522" s="3">
        <f t="shared" si="84"/>
        <v>0.399639880482073</v>
      </c>
      <c r="J522" s="3">
        <f t="shared" si="85"/>
        <v>0.18559782884464551</v>
      </c>
      <c r="K522" s="3">
        <f t="shared" si="86"/>
        <v>0.20901864531851874</v>
      </c>
      <c r="L522" s="3">
        <f t="shared" si="87"/>
        <v>0.60538352583683563</v>
      </c>
      <c r="M522" s="56">
        <f t="shared" si="88"/>
        <v>0.39461647416316425</v>
      </c>
      <c r="O522" s="2">
        <v>49462</v>
      </c>
      <c r="R522" s="2">
        <v>31983</v>
      </c>
      <c r="S522" s="36"/>
    </row>
    <row r="523" spans="1:19" hidden="1" x14ac:dyDescent="0.25">
      <c r="A523" s="55" t="s">
        <v>129</v>
      </c>
      <c r="B523" s="1">
        <v>45446</v>
      </c>
      <c r="C523" s="36">
        <f t="shared" si="81"/>
        <v>35425.599999999999</v>
      </c>
      <c r="D523" s="2">
        <v>19902</v>
      </c>
      <c r="E523" s="36">
        <f t="shared" si="82"/>
        <v>44660</v>
      </c>
      <c r="F523" s="2">
        <v>19683</v>
      </c>
      <c r="G523" s="2">
        <f t="shared" si="80"/>
        <v>119670.6</v>
      </c>
      <c r="H523" s="3">
        <f t="shared" si="83"/>
        <v>0.29602592449607501</v>
      </c>
      <c r="I523" s="3">
        <f t="shared" si="84"/>
        <v>0.37319107617075536</v>
      </c>
      <c r="J523" s="3">
        <f t="shared" si="85"/>
        <v>0.16630651137372085</v>
      </c>
      <c r="K523" s="3">
        <f t="shared" si="86"/>
        <v>0.16447648795944869</v>
      </c>
      <c r="L523" s="3">
        <f t="shared" si="87"/>
        <v>0.66921700066683043</v>
      </c>
      <c r="M523" s="56">
        <f t="shared" si="88"/>
        <v>0.33078299933316951</v>
      </c>
      <c r="O523" s="2">
        <v>44134</v>
      </c>
      <c r="R523" s="2">
        <v>28555</v>
      </c>
      <c r="S523" s="36"/>
    </row>
    <row r="524" spans="1:19" hidden="1" x14ac:dyDescent="0.25">
      <c r="A524" s="55" t="s">
        <v>14</v>
      </c>
      <c r="B524" s="1">
        <v>45447</v>
      </c>
      <c r="C524" s="36">
        <f t="shared" si="81"/>
        <v>45006.400000000001</v>
      </c>
      <c r="D524" s="2">
        <v>24060</v>
      </c>
      <c r="E524" s="36">
        <f t="shared" si="82"/>
        <v>36197.599999999999</v>
      </c>
      <c r="F524" s="2">
        <v>17004</v>
      </c>
      <c r="G524" s="2">
        <f t="shared" si="80"/>
        <v>122268</v>
      </c>
      <c r="H524" s="3">
        <f t="shared" si="83"/>
        <v>0.36809631301730628</v>
      </c>
      <c r="I524" s="3">
        <f t="shared" si="84"/>
        <v>0.29605129715052181</v>
      </c>
      <c r="J524" s="3">
        <f t="shared" si="85"/>
        <v>0.19678084208460103</v>
      </c>
      <c r="K524" s="3">
        <f t="shared" si="86"/>
        <v>0.13907154774757091</v>
      </c>
      <c r="L524" s="3">
        <f t="shared" si="87"/>
        <v>0.66414761016782808</v>
      </c>
      <c r="M524" s="56">
        <f t="shared" si="88"/>
        <v>0.33585238983217197</v>
      </c>
      <c r="O524" s="2">
        <v>49598</v>
      </c>
      <c r="R524" s="2">
        <v>39723</v>
      </c>
      <c r="S524" s="36"/>
    </row>
    <row r="525" spans="1:19" hidden="1" x14ac:dyDescent="0.25">
      <c r="A525" s="55" t="s">
        <v>21</v>
      </c>
      <c r="B525" s="1">
        <v>45448</v>
      </c>
      <c r="C525" s="36">
        <f t="shared" si="81"/>
        <v>32572</v>
      </c>
      <c r="D525" s="2">
        <v>15491</v>
      </c>
      <c r="E525" s="36">
        <f t="shared" si="82"/>
        <v>33964</v>
      </c>
      <c r="F525" s="2">
        <v>12515</v>
      </c>
      <c r="G525" s="2">
        <f t="shared" si="80"/>
        <v>94542</v>
      </c>
      <c r="H525" s="3">
        <f t="shared" si="83"/>
        <v>0.34452412684309619</v>
      </c>
      <c r="I525" s="3">
        <f t="shared" si="84"/>
        <v>0.35924774174440988</v>
      </c>
      <c r="J525" s="3">
        <f t="shared" si="85"/>
        <v>0.16385310232489264</v>
      </c>
      <c r="K525" s="3">
        <f t="shared" si="86"/>
        <v>0.13237502908760126</v>
      </c>
      <c r="L525" s="3">
        <f t="shared" si="87"/>
        <v>0.70377186858750607</v>
      </c>
      <c r="M525" s="56">
        <f t="shared" si="88"/>
        <v>0.29622813141249393</v>
      </c>
      <c r="O525" s="2">
        <v>42259</v>
      </c>
      <c r="R525" s="2">
        <v>69866</v>
      </c>
      <c r="S525" s="36"/>
    </row>
    <row r="526" spans="1:19" x14ac:dyDescent="0.25">
      <c r="A526" s="55" t="s">
        <v>26</v>
      </c>
      <c r="B526" s="1">
        <v>45449</v>
      </c>
      <c r="C526" s="36">
        <f t="shared" si="81"/>
        <v>31415.200000000001</v>
      </c>
      <c r="D526" s="2">
        <v>20764</v>
      </c>
      <c r="E526" s="36">
        <f t="shared" si="82"/>
        <v>16181.6</v>
      </c>
      <c r="F526" s="2">
        <v>10556</v>
      </c>
      <c r="G526" s="2">
        <f t="shared" si="80"/>
        <v>78916.800000000003</v>
      </c>
      <c r="H526" s="3">
        <f t="shared" si="83"/>
        <v>0.39808000324392273</v>
      </c>
      <c r="I526" s="3">
        <f t="shared" si="84"/>
        <v>0.20504632727125277</v>
      </c>
      <c r="J526" s="3">
        <f t="shared" si="85"/>
        <v>0.26311254384364291</v>
      </c>
      <c r="K526" s="3">
        <f t="shared" si="86"/>
        <v>0.13376112564118159</v>
      </c>
      <c r="L526" s="3">
        <f t="shared" si="87"/>
        <v>0.6031263305151755</v>
      </c>
      <c r="M526" s="56">
        <f t="shared" si="88"/>
        <v>0.3968736694848245</v>
      </c>
      <c r="O526" s="2">
        <v>43673</v>
      </c>
      <c r="R526" s="2">
        <v>64149</v>
      </c>
      <c r="S526" s="36"/>
    </row>
    <row r="527" spans="1:19" hidden="1" x14ac:dyDescent="0.25">
      <c r="A527" s="55" t="s">
        <v>7</v>
      </c>
      <c r="B527" s="1">
        <v>45450</v>
      </c>
      <c r="C527" s="36">
        <f t="shared" si="81"/>
        <v>29255.200000000001</v>
      </c>
      <c r="D527" s="2">
        <v>18544</v>
      </c>
      <c r="E527" s="36">
        <f t="shared" si="82"/>
        <v>24119.200000000001</v>
      </c>
      <c r="F527" s="2">
        <v>14055</v>
      </c>
      <c r="G527" s="2">
        <f t="shared" si="80"/>
        <v>85973.4</v>
      </c>
      <c r="H527" s="3">
        <f t="shared" si="83"/>
        <v>0.34028199419820554</v>
      </c>
      <c r="I527" s="3">
        <f t="shared" si="84"/>
        <v>0.28054258642789515</v>
      </c>
      <c r="J527" s="3">
        <f t="shared" si="85"/>
        <v>0.21569462182489005</v>
      </c>
      <c r="K527" s="3">
        <f t="shared" si="86"/>
        <v>0.16348079754900935</v>
      </c>
      <c r="L527" s="3">
        <f t="shared" si="87"/>
        <v>0.62082458062610069</v>
      </c>
      <c r="M527" s="56">
        <f t="shared" si="88"/>
        <v>0.37917541937389937</v>
      </c>
      <c r="O527" s="2">
        <v>65235</v>
      </c>
      <c r="R527" s="2">
        <v>49706</v>
      </c>
      <c r="S527" s="36"/>
    </row>
    <row r="528" spans="1:19" hidden="1" x14ac:dyDescent="0.25">
      <c r="A528" s="55" t="s">
        <v>30</v>
      </c>
      <c r="B528" s="1">
        <v>45451</v>
      </c>
      <c r="C528" s="36">
        <f t="shared" si="81"/>
        <v>35903.200000000004</v>
      </c>
      <c r="D528" s="2">
        <v>23547</v>
      </c>
      <c r="E528" s="36">
        <f t="shared" si="82"/>
        <v>35738.400000000001</v>
      </c>
      <c r="F528" s="2">
        <v>22435</v>
      </c>
      <c r="G528" s="2">
        <f t="shared" si="80"/>
        <v>117623.6</v>
      </c>
      <c r="H528" s="3">
        <f t="shared" si="83"/>
        <v>0.30523806447005536</v>
      </c>
      <c r="I528" s="3">
        <f t="shared" si="84"/>
        <v>0.30383698509482793</v>
      </c>
      <c r="J528" s="3">
        <f t="shared" si="85"/>
        <v>0.20018941776990332</v>
      </c>
      <c r="K528" s="3">
        <f t="shared" si="86"/>
        <v>0.19073553266521343</v>
      </c>
      <c r="L528" s="3">
        <f t="shared" si="87"/>
        <v>0.60907504956488323</v>
      </c>
      <c r="M528" s="56">
        <f t="shared" si="88"/>
        <v>0.39092495043511677</v>
      </c>
      <c r="O528" s="2">
        <v>62594</v>
      </c>
      <c r="R528" s="2">
        <v>39148</v>
      </c>
      <c r="S528" s="36"/>
    </row>
    <row r="529" spans="1:19" hidden="1" x14ac:dyDescent="0.25">
      <c r="A529" s="55" t="s">
        <v>31</v>
      </c>
      <c r="B529" s="1">
        <v>45452</v>
      </c>
      <c r="C529" s="36">
        <f t="shared" si="81"/>
        <v>31627.200000000001</v>
      </c>
      <c r="D529" s="2">
        <v>23638</v>
      </c>
      <c r="E529" s="36">
        <f t="shared" si="82"/>
        <v>56661.600000000006</v>
      </c>
      <c r="F529" s="2">
        <v>26328</v>
      </c>
      <c r="G529" s="2">
        <f t="shared" si="80"/>
        <v>138254.79999999999</v>
      </c>
      <c r="H529" s="3">
        <f t="shared" si="83"/>
        <v>0.22876023110951665</v>
      </c>
      <c r="I529" s="3">
        <f t="shared" si="84"/>
        <v>0.40983459525455906</v>
      </c>
      <c r="J529" s="3">
        <f t="shared" si="85"/>
        <v>0.17097417232530085</v>
      </c>
      <c r="K529" s="3">
        <f t="shared" si="86"/>
        <v>0.1904310013106236</v>
      </c>
      <c r="L529" s="3">
        <f t="shared" si="87"/>
        <v>0.63859482636407572</v>
      </c>
      <c r="M529" s="56">
        <f t="shared" si="88"/>
        <v>0.36140517363592445</v>
      </c>
      <c r="O529" s="2">
        <v>49911</v>
      </c>
      <c r="R529" s="2">
        <v>27060</v>
      </c>
      <c r="S529" s="36"/>
    </row>
    <row r="530" spans="1:19" hidden="1" x14ac:dyDescent="0.25">
      <c r="A530" s="55" t="s">
        <v>129</v>
      </c>
      <c r="B530" s="1">
        <v>45453</v>
      </c>
      <c r="C530" s="36">
        <f t="shared" si="81"/>
        <v>53512</v>
      </c>
      <c r="D530" s="2">
        <v>19136</v>
      </c>
      <c r="E530" s="36">
        <f t="shared" si="82"/>
        <v>52268</v>
      </c>
      <c r="F530" s="2">
        <v>22595</v>
      </c>
      <c r="G530" s="2">
        <f t="shared" si="80"/>
        <v>147511</v>
      </c>
      <c r="H530" s="3">
        <f t="shared" si="83"/>
        <v>0.36276616659096611</v>
      </c>
      <c r="I530" s="3">
        <f t="shared" si="84"/>
        <v>0.35433289720766586</v>
      </c>
      <c r="J530" s="3">
        <f t="shared" si="85"/>
        <v>0.12972591874504275</v>
      </c>
      <c r="K530" s="3">
        <f t="shared" si="86"/>
        <v>0.15317501745632528</v>
      </c>
      <c r="L530" s="3">
        <f t="shared" si="87"/>
        <v>0.71709906379863197</v>
      </c>
      <c r="M530" s="56">
        <f t="shared" si="88"/>
        <v>0.28290093620136803</v>
      </c>
      <c r="O530" s="2">
        <v>56627</v>
      </c>
      <c r="R530" s="2">
        <v>41002</v>
      </c>
      <c r="S530" s="36"/>
    </row>
    <row r="531" spans="1:19" hidden="1" x14ac:dyDescent="0.25">
      <c r="A531" s="55" t="s">
        <v>14</v>
      </c>
      <c r="B531" s="1">
        <v>45454</v>
      </c>
      <c r="C531" s="36">
        <f t="shared" si="81"/>
        <v>54516.800000000003</v>
      </c>
      <c r="D531" s="2">
        <v>26086</v>
      </c>
      <c r="E531" s="36">
        <f t="shared" si="82"/>
        <v>44763.200000000004</v>
      </c>
      <c r="F531" s="2">
        <v>20856</v>
      </c>
      <c r="G531" s="2">
        <f t="shared" si="80"/>
        <v>146222</v>
      </c>
      <c r="H531" s="3">
        <f t="shared" si="83"/>
        <v>0.37283582497845741</v>
      </c>
      <c r="I531" s="3">
        <f t="shared" si="84"/>
        <v>0.30613177223673593</v>
      </c>
      <c r="J531" s="3">
        <f t="shared" si="85"/>
        <v>0.17839996717320239</v>
      </c>
      <c r="K531" s="3">
        <f t="shared" si="86"/>
        <v>0.14263243561160427</v>
      </c>
      <c r="L531" s="3">
        <f t="shared" si="87"/>
        <v>0.67896759721519329</v>
      </c>
      <c r="M531" s="56">
        <f t="shared" si="88"/>
        <v>0.32103240278480666</v>
      </c>
      <c r="O531" s="2">
        <v>58934</v>
      </c>
      <c r="R531" s="2">
        <v>50215</v>
      </c>
      <c r="S531" s="36"/>
    </row>
    <row r="532" spans="1:19" hidden="1" x14ac:dyDescent="0.25">
      <c r="A532" s="55" t="s">
        <v>21</v>
      </c>
      <c r="B532" s="1">
        <v>45455</v>
      </c>
      <c r="C532" s="36">
        <f t="shared" si="81"/>
        <v>41344</v>
      </c>
      <c r="D532" s="2">
        <v>18890</v>
      </c>
      <c r="E532" s="36">
        <f t="shared" si="82"/>
        <v>32138.400000000001</v>
      </c>
      <c r="F532" s="2">
        <v>11364</v>
      </c>
      <c r="G532" s="2">
        <f t="shared" si="80"/>
        <v>103736.4</v>
      </c>
      <c r="H532" s="3">
        <f t="shared" si="83"/>
        <v>0.39854862902510596</v>
      </c>
      <c r="I532" s="3">
        <f t="shared" si="84"/>
        <v>0.30980832186195012</v>
      </c>
      <c r="J532" s="3">
        <f t="shared" si="85"/>
        <v>0.18209615911097746</v>
      </c>
      <c r="K532" s="3">
        <f t="shared" si="86"/>
        <v>0.10954689000196653</v>
      </c>
      <c r="L532" s="3">
        <f t="shared" si="87"/>
        <v>0.70835695088705597</v>
      </c>
      <c r="M532" s="56">
        <f t="shared" si="88"/>
        <v>0.29164304911294398</v>
      </c>
      <c r="O532" s="2">
        <v>42091</v>
      </c>
      <c r="R532" s="2">
        <v>54810</v>
      </c>
      <c r="S532" s="36"/>
    </row>
    <row r="533" spans="1:19" x14ac:dyDescent="0.25">
      <c r="A533" s="55" t="s">
        <v>26</v>
      </c>
      <c r="B533" s="1">
        <v>45456</v>
      </c>
      <c r="C533" s="36">
        <f t="shared" si="81"/>
        <v>34100</v>
      </c>
      <c r="D533" s="2">
        <v>17550</v>
      </c>
      <c r="E533" s="36">
        <f t="shared" si="82"/>
        <v>22782.400000000001</v>
      </c>
      <c r="F533" s="2">
        <v>14174</v>
      </c>
      <c r="G533" s="2">
        <f t="shared" si="80"/>
        <v>88606.399999999994</v>
      </c>
      <c r="H533" s="3">
        <f t="shared" si="83"/>
        <v>0.38484804709366371</v>
      </c>
      <c r="I533" s="3">
        <f t="shared" si="84"/>
        <v>0.25711912457790864</v>
      </c>
      <c r="J533" s="3">
        <f t="shared" si="85"/>
        <v>0.19806695678867442</v>
      </c>
      <c r="K533" s="3">
        <f t="shared" si="86"/>
        <v>0.15996587153975333</v>
      </c>
      <c r="L533" s="3">
        <f t="shared" si="87"/>
        <v>0.64196717167157236</v>
      </c>
      <c r="M533" s="56">
        <f t="shared" si="88"/>
        <v>0.35803282832842775</v>
      </c>
      <c r="O533" s="2">
        <v>44867</v>
      </c>
      <c r="R533" s="2">
        <v>61364</v>
      </c>
      <c r="S533" s="36"/>
    </row>
    <row r="534" spans="1:19" hidden="1" x14ac:dyDescent="0.25">
      <c r="A534" s="55" t="s">
        <v>7</v>
      </c>
      <c r="B534" s="1">
        <v>45457</v>
      </c>
      <c r="C534" s="36">
        <f t="shared" si="81"/>
        <v>51180</v>
      </c>
      <c r="D534" s="2">
        <v>14383</v>
      </c>
      <c r="E534" s="36">
        <f t="shared" si="82"/>
        <v>29420.800000000003</v>
      </c>
      <c r="F534" s="2">
        <v>17590</v>
      </c>
      <c r="G534" s="2">
        <f t="shared" si="80"/>
        <v>112573.8</v>
      </c>
      <c r="H534" s="3">
        <f t="shared" si="83"/>
        <v>0.4546350927125139</v>
      </c>
      <c r="I534" s="3">
        <f t="shared" si="84"/>
        <v>0.26134677873537182</v>
      </c>
      <c r="J534" s="3">
        <f t="shared" si="85"/>
        <v>0.12776507499968909</v>
      </c>
      <c r="K534" s="3">
        <f t="shared" si="86"/>
        <v>0.15625305355242516</v>
      </c>
      <c r="L534" s="3">
        <f t="shared" si="87"/>
        <v>0.71598187144788572</v>
      </c>
      <c r="M534" s="56">
        <f t="shared" si="88"/>
        <v>0.28401812855211422</v>
      </c>
      <c r="O534" s="2">
        <v>70003</v>
      </c>
      <c r="R534" s="2">
        <v>55706</v>
      </c>
      <c r="S534" s="36"/>
    </row>
    <row r="535" spans="1:19" hidden="1" x14ac:dyDescent="0.25">
      <c r="A535" s="55" t="s">
        <v>30</v>
      </c>
      <c r="B535" s="1">
        <v>45458</v>
      </c>
      <c r="C535" s="36">
        <f t="shared" si="81"/>
        <v>35032</v>
      </c>
      <c r="D535" s="2">
        <v>26398</v>
      </c>
      <c r="E535" s="36">
        <f t="shared" si="82"/>
        <v>46787.200000000004</v>
      </c>
      <c r="F535" s="2">
        <v>25207</v>
      </c>
      <c r="G535" s="2">
        <f t="shared" si="80"/>
        <v>133424.20000000001</v>
      </c>
      <c r="H535" s="3">
        <f t="shared" si="83"/>
        <v>0.26256106463445161</v>
      </c>
      <c r="I535" s="3">
        <f t="shared" si="84"/>
        <v>0.35066502178765174</v>
      </c>
      <c r="J535" s="3">
        <f t="shared" si="85"/>
        <v>0.19785016511247583</v>
      </c>
      <c r="K535" s="3">
        <f t="shared" si="86"/>
        <v>0.18892374846542079</v>
      </c>
      <c r="L535" s="3">
        <f t="shared" si="87"/>
        <v>0.61322608642210341</v>
      </c>
      <c r="M535" s="56">
        <f t="shared" si="88"/>
        <v>0.38677391357789664</v>
      </c>
      <c r="O535" s="2">
        <v>62487</v>
      </c>
      <c r="R535" s="2">
        <v>46845</v>
      </c>
      <c r="S535" s="36"/>
    </row>
    <row r="536" spans="1:19" hidden="1" x14ac:dyDescent="0.25">
      <c r="A536" s="55" t="s">
        <v>31</v>
      </c>
      <c r="B536" s="1">
        <v>45459</v>
      </c>
      <c r="C536" s="36">
        <f t="shared" si="81"/>
        <v>32311.200000000001</v>
      </c>
      <c r="D536" s="2">
        <v>16301</v>
      </c>
      <c r="E536" s="36">
        <f t="shared" si="82"/>
        <v>47145.600000000006</v>
      </c>
      <c r="F536" s="2">
        <v>27071</v>
      </c>
      <c r="G536" s="2">
        <f t="shared" si="80"/>
        <v>122828.8</v>
      </c>
      <c r="H536" s="3">
        <f t="shared" si="83"/>
        <v>0.26305882659441432</v>
      </c>
      <c r="I536" s="3">
        <f t="shared" si="84"/>
        <v>0.38383180491871616</v>
      </c>
      <c r="J536" s="3">
        <f t="shared" si="85"/>
        <v>0.1327131747603168</v>
      </c>
      <c r="K536" s="3">
        <f t="shared" si="86"/>
        <v>0.22039619372655272</v>
      </c>
      <c r="L536" s="3">
        <f t="shared" si="87"/>
        <v>0.64689063151313053</v>
      </c>
      <c r="M536" s="56">
        <f t="shared" si="88"/>
        <v>0.35310936848686952</v>
      </c>
      <c r="O536" s="2">
        <v>51557</v>
      </c>
      <c r="R536" s="2">
        <v>46835</v>
      </c>
      <c r="S536" s="36"/>
    </row>
    <row r="537" spans="1:19" hidden="1" x14ac:dyDescent="0.25">
      <c r="A537" s="55" t="s">
        <v>129</v>
      </c>
      <c r="B537" s="1">
        <v>45460</v>
      </c>
      <c r="C537" s="36">
        <f t="shared" si="81"/>
        <v>47137.600000000006</v>
      </c>
      <c r="D537" s="2">
        <v>19138</v>
      </c>
      <c r="E537" s="36">
        <f t="shared" si="82"/>
        <v>46123.200000000004</v>
      </c>
      <c r="F537" s="2">
        <v>20612</v>
      </c>
      <c r="G537" s="2">
        <f t="shared" si="80"/>
        <v>133010.80000000002</v>
      </c>
      <c r="H537" s="3">
        <f t="shared" si="83"/>
        <v>0.35438926763841733</v>
      </c>
      <c r="I537" s="3">
        <f t="shared" si="84"/>
        <v>0.34676281925978941</v>
      </c>
      <c r="J537" s="3">
        <f t="shared" si="85"/>
        <v>0.14388305310546209</v>
      </c>
      <c r="K537" s="3">
        <f t="shared" si="86"/>
        <v>0.15496485999633111</v>
      </c>
      <c r="L537" s="3">
        <f t="shared" si="87"/>
        <v>0.70115208689820685</v>
      </c>
      <c r="M537" s="56">
        <f t="shared" si="88"/>
        <v>0.29884791310179321</v>
      </c>
      <c r="O537" s="2">
        <v>47095</v>
      </c>
      <c r="R537" s="2">
        <v>45019</v>
      </c>
      <c r="S537" s="36"/>
    </row>
    <row r="538" spans="1:19" hidden="1" x14ac:dyDescent="0.25">
      <c r="A538" s="55" t="s">
        <v>14</v>
      </c>
      <c r="B538" s="1">
        <v>45461</v>
      </c>
      <c r="C538" s="36">
        <f t="shared" si="81"/>
        <v>61339.200000000004</v>
      </c>
      <c r="D538" s="2">
        <v>23617</v>
      </c>
      <c r="E538" s="36">
        <f t="shared" si="82"/>
        <v>47226.400000000001</v>
      </c>
      <c r="F538" s="2">
        <v>20577</v>
      </c>
      <c r="G538" s="2">
        <f t="shared" si="80"/>
        <v>152759.6</v>
      </c>
      <c r="H538" s="3">
        <f t="shared" si="83"/>
        <v>0.40154072149966352</v>
      </c>
      <c r="I538" s="3">
        <f t="shared" si="84"/>
        <v>0.30915503837402036</v>
      </c>
      <c r="J538" s="3">
        <f t="shared" si="85"/>
        <v>0.15460239487403737</v>
      </c>
      <c r="K538" s="3">
        <f t="shared" si="86"/>
        <v>0.13470184525227874</v>
      </c>
      <c r="L538" s="3">
        <f t="shared" si="87"/>
        <v>0.71069575987368394</v>
      </c>
      <c r="M538" s="56">
        <f t="shared" si="88"/>
        <v>0.28930424012631611</v>
      </c>
      <c r="O538" s="2">
        <v>55048</v>
      </c>
      <c r="R538" s="2">
        <v>48470</v>
      </c>
      <c r="S538" s="36"/>
    </row>
    <row r="539" spans="1:19" hidden="1" x14ac:dyDescent="0.25">
      <c r="A539" s="55" t="s">
        <v>21</v>
      </c>
      <c r="B539" s="1">
        <v>45462</v>
      </c>
      <c r="C539" s="36">
        <f t="shared" si="81"/>
        <v>44530.400000000001</v>
      </c>
      <c r="D539" s="2">
        <v>21508</v>
      </c>
      <c r="E539" s="36">
        <f t="shared" si="82"/>
        <v>38830.400000000001</v>
      </c>
      <c r="F539" s="2">
        <v>17027</v>
      </c>
      <c r="G539" s="2">
        <f t="shared" si="80"/>
        <v>121895.79999999999</v>
      </c>
      <c r="H539" s="3">
        <f t="shared" si="83"/>
        <v>0.36531529388215184</v>
      </c>
      <c r="I539" s="3">
        <f t="shared" si="84"/>
        <v>0.31855404369961887</v>
      </c>
      <c r="J539" s="3">
        <f t="shared" si="85"/>
        <v>0.17644578402209102</v>
      </c>
      <c r="K539" s="3">
        <f t="shared" si="86"/>
        <v>0.13968487839613836</v>
      </c>
      <c r="L539" s="3">
        <f t="shared" si="87"/>
        <v>0.68386933758177071</v>
      </c>
      <c r="M539" s="56">
        <f t="shared" si="88"/>
        <v>0.31613066241822935</v>
      </c>
      <c r="O539" s="2">
        <v>39794</v>
      </c>
      <c r="R539" s="2">
        <v>43606</v>
      </c>
      <c r="S539" s="36"/>
    </row>
    <row r="540" spans="1:19" x14ac:dyDescent="0.25">
      <c r="A540" s="55" t="s">
        <v>26</v>
      </c>
      <c r="B540" s="1">
        <v>45463</v>
      </c>
      <c r="C540" s="36">
        <f t="shared" si="81"/>
        <v>38118.400000000001</v>
      </c>
      <c r="D540" s="2">
        <v>20836</v>
      </c>
      <c r="E540" s="36">
        <f t="shared" si="82"/>
        <v>32004</v>
      </c>
      <c r="F540" s="2">
        <v>10982</v>
      </c>
      <c r="G540" s="2">
        <f t="shared" si="80"/>
        <v>101940.4</v>
      </c>
      <c r="H540" s="3">
        <f t="shared" si="83"/>
        <v>0.37392829535689487</v>
      </c>
      <c r="I540" s="3">
        <f t="shared" si="84"/>
        <v>0.31394815009554605</v>
      </c>
      <c r="J540" s="3">
        <f t="shared" si="85"/>
        <v>0.20439393998846386</v>
      </c>
      <c r="K540" s="3">
        <f t="shared" si="86"/>
        <v>0.10772961455909533</v>
      </c>
      <c r="L540" s="3">
        <f t="shared" si="87"/>
        <v>0.68787644545244087</v>
      </c>
      <c r="M540" s="56">
        <f t="shared" si="88"/>
        <v>0.31212355454755919</v>
      </c>
      <c r="O540" s="2">
        <v>52647</v>
      </c>
      <c r="R540" s="2">
        <v>39346</v>
      </c>
      <c r="S540" s="36"/>
    </row>
    <row r="541" spans="1:19" hidden="1" x14ac:dyDescent="0.25">
      <c r="A541" s="55" t="s">
        <v>7</v>
      </c>
      <c r="B541" s="1">
        <v>45464</v>
      </c>
      <c r="C541" s="36">
        <f t="shared" si="81"/>
        <v>47414.400000000001</v>
      </c>
      <c r="D541" s="2">
        <v>19428</v>
      </c>
      <c r="E541" s="36">
        <f t="shared" si="82"/>
        <v>43854.400000000001</v>
      </c>
      <c r="F541" s="2">
        <v>14108</v>
      </c>
      <c r="G541" s="2">
        <f t="shared" si="80"/>
        <v>124804.79999999999</v>
      </c>
      <c r="H541" s="3">
        <f t="shared" si="83"/>
        <v>0.37990846505903625</v>
      </c>
      <c r="I541" s="3">
        <f t="shared" si="84"/>
        <v>0.35138392113123856</v>
      </c>
      <c r="J541" s="3">
        <f t="shared" si="85"/>
        <v>0.15566708972731819</v>
      </c>
      <c r="K541" s="3">
        <f t="shared" si="86"/>
        <v>0.1130405240824071</v>
      </c>
      <c r="L541" s="3">
        <f t="shared" si="87"/>
        <v>0.73129238619027481</v>
      </c>
      <c r="M541" s="56">
        <f t="shared" si="88"/>
        <v>0.2687076138097253</v>
      </c>
      <c r="O541" s="2">
        <v>62688</v>
      </c>
      <c r="R541" s="2">
        <v>75718</v>
      </c>
      <c r="S541" s="36"/>
    </row>
    <row r="542" spans="1:19" hidden="1" x14ac:dyDescent="0.25">
      <c r="A542" s="55" t="s">
        <v>30</v>
      </c>
      <c r="B542" s="1">
        <v>45465</v>
      </c>
      <c r="C542" s="36">
        <f t="shared" si="81"/>
        <v>39353.600000000006</v>
      </c>
      <c r="D542" s="2">
        <v>28823</v>
      </c>
      <c r="E542" s="36">
        <f t="shared" si="82"/>
        <v>45544</v>
      </c>
      <c r="F542" s="2">
        <v>18936</v>
      </c>
      <c r="G542" s="2">
        <f t="shared" si="80"/>
        <v>132656.6</v>
      </c>
      <c r="H542" s="3">
        <f t="shared" si="83"/>
        <v>0.29665768608572812</v>
      </c>
      <c r="I542" s="3">
        <f t="shared" si="84"/>
        <v>0.34332253351887504</v>
      </c>
      <c r="J542" s="3">
        <f t="shared" si="85"/>
        <v>0.21727528068712751</v>
      </c>
      <c r="K542" s="3">
        <f t="shared" si="86"/>
        <v>0.1427444997082693</v>
      </c>
      <c r="L542" s="3">
        <f t="shared" si="87"/>
        <v>0.63998021960460316</v>
      </c>
      <c r="M542" s="56">
        <f t="shared" si="88"/>
        <v>0.36001978039539684</v>
      </c>
      <c r="O542" s="2">
        <v>62969</v>
      </c>
      <c r="R542" s="2">
        <v>36968</v>
      </c>
      <c r="S542" s="36"/>
    </row>
    <row r="543" spans="1:19" hidden="1" x14ac:dyDescent="0.25">
      <c r="A543" s="55" t="s">
        <v>31</v>
      </c>
      <c r="B543" s="1">
        <v>45466</v>
      </c>
      <c r="C543" s="36">
        <f t="shared" si="81"/>
        <v>46972</v>
      </c>
      <c r="D543" s="2">
        <v>25907</v>
      </c>
      <c r="E543" s="36">
        <f t="shared" si="82"/>
        <v>52379.200000000004</v>
      </c>
      <c r="F543" s="2">
        <v>23933</v>
      </c>
      <c r="G543" s="2">
        <f t="shared" si="80"/>
        <v>149191.20000000001</v>
      </c>
      <c r="H543" s="3">
        <f t="shared" si="83"/>
        <v>0.31484430717093231</v>
      </c>
      <c r="I543" s="3">
        <f t="shared" si="84"/>
        <v>0.35108773171607977</v>
      </c>
      <c r="J543" s="3">
        <f t="shared" si="85"/>
        <v>0.17364965225831014</v>
      </c>
      <c r="K543" s="3">
        <f t="shared" si="86"/>
        <v>0.16041830885467775</v>
      </c>
      <c r="L543" s="3">
        <f t="shared" si="87"/>
        <v>0.66593203888701213</v>
      </c>
      <c r="M543" s="56">
        <f t="shared" si="88"/>
        <v>0.33406796111298787</v>
      </c>
      <c r="O543" s="2">
        <v>41821</v>
      </c>
      <c r="R543" s="2">
        <v>44579</v>
      </c>
      <c r="S543" s="36"/>
    </row>
    <row r="544" spans="1:19" hidden="1" x14ac:dyDescent="0.25">
      <c r="A544" s="55" t="s">
        <v>129</v>
      </c>
      <c r="B544" s="1">
        <v>45467</v>
      </c>
      <c r="C544" s="36">
        <f t="shared" si="81"/>
        <v>55459.200000000004</v>
      </c>
      <c r="D544" s="2">
        <v>19880</v>
      </c>
      <c r="E544" s="36">
        <f t="shared" si="82"/>
        <v>53052</v>
      </c>
      <c r="F544" s="2">
        <v>12056</v>
      </c>
      <c r="G544" s="2">
        <f t="shared" si="80"/>
        <v>140447.20000000001</v>
      </c>
      <c r="H544" s="3">
        <f t="shared" si="83"/>
        <v>0.39487579674069684</v>
      </c>
      <c r="I544" s="3">
        <f t="shared" si="84"/>
        <v>0.37773625960503304</v>
      </c>
      <c r="J544" s="3">
        <f t="shared" si="85"/>
        <v>0.14154785570662853</v>
      </c>
      <c r="K544" s="3">
        <f t="shared" si="86"/>
        <v>8.584008794764153E-2</v>
      </c>
      <c r="L544" s="3">
        <f t="shared" si="87"/>
        <v>0.77261205634572994</v>
      </c>
      <c r="M544" s="56">
        <f t="shared" si="88"/>
        <v>0.22738794365427006</v>
      </c>
      <c r="O544" s="2">
        <v>39905</v>
      </c>
      <c r="R544" s="2">
        <v>24847</v>
      </c>
      <c r="S544" s="36"/>
    </row>
    <row r="545" spans="1:19" hidden="1" x14ac:dyDescent="0.25">
      <c r="A545" s="55" t="s">
        <v>14</v>
      </c>
      <c r="B545" s="1">
        <v>45468</v>
      </c>
      <c r="C545" s="36">
        <f t="shared" si="81"/>
        <v>59705.600000000006</v>
      </c>
      <c r="D545" s="2">
        <v>27017</v>
      </c>
      <c r="E545" s="36">
        <f t="shared" si="82"/>
        <v>40656.800000000003</v>
      </c>
      <c r="F545" s="2">
        <v>15642</v>
      </c>
      <c r="G545" s="2">
        <f t="shared" si="80"/>
        <v>143021.40000000002</v>
      </c>
      <c r="H545" s="3">
        <f t="shared" si="83"/>
        <v>0.41745920540562459</v>
      </c>
      <c r="I545" s="3">
        <f t="shared" si="84"/>
        <v>0.28427074549682774</v>
      </c>
      <c r="J545" s="3">
        <f t="shared" si="85"/>
        <v>0.18890180070954413</v>
      </c>
      <c r="K545" s="3">
        <f t="shared" si="86"/>
        <v>0.10936824838800345</v>
      </c>
      <c r="L545" s="3">
        <f t="shared" si="87"/>
        <v>0.70172995090245227</v>
      </c>
      <c r="M545" s="56">
        <f t="shared" si="88"/>
        <v>0.29827004909754762</v>
      </c>
      <c r="O545" s="2">
        <v>53975</v>
      </c>
      <c r="R545" s="2">
        <v>44559</v>
      </c>
      <c r="S545" s="36"/>
    </row>
    <row r="546" spans="1:19" hidden="1" x14ac:dyDescent="0.25">
      <c r="A546" s="55" t="s">
        <v>21</v>
      </c>
      <c r="B546" s="1">
        <v>45469</v>
      </c>
      <c r="C546" s="36">
        <f t="shared" si="81"/>
        <v>45652.800000000003</v>
      </c>
      <c r="D546" s="2">
        <v>19763</v>
      </c>
      <c r="E546" s="36">
        <f t="shared" si="82"/>
        <v>40810.400000000001</v>
      </c>
      <c r="F546" s="2">
        <v>14843</v>
      </c>
      <c r="G546" s="2">
        <f t="shared" si="80"/>
        <v>121069.20000000001</v>
      </c>
      <c r="H546" s="3">
        <f t="shared" si="83"/>
        <v>0.37708021528183883</v>
      </c>
      <c r="I546" s="3">
        <f t="shared" si="84"/>
        <v>0.33708325486581225</v>
      </c>
      <c r="J546" s="3">
        <f t="shared" si="85"/>
        <v>0.16323722300965066</v>
      </c>
      <c r="K546" s="3">
        <f t="shared" si="86"/>
        <v>0.12259930684269821</v>
      </c>
      <c r="L546" s="3">
        <f t="shared" si="87"/>
        <v>0.71416347014765114</v>
      </c>
      <c r="M546" s="56">
        <f t="shared" si="88"/>
        <v>0.28583652985234886</v>
      </c>
      <c r="O546" s="2">
        <v>33229</v>
      </c>
      <c r="R546" s="2">
        <v>52468</v>
      </c>
      <c r="S546" s="36"/>
    </row>
    <row r="547" spans="1:19" x14ac:dyDescent="0.25">
      <c r="A547" s="55" t="s">
        <v>26</v>
      </c>
      <c r="B547" s="1">
        <v>45470</v>
      </c>
      <c r="C547" s="36">
        <f t="shared" si="81"/>
        <v>35436</v>
      </c>
      <c r="D547" s="2">
        <v>23018</v>
      </c>
      <c r="E547" s="36">
        <f t="shared" si="82"/>
        <v>29384</v>
      </c>
      <c r="F547" s="2">
        <v>14766</v>
      </c>
      <c r="G547" s="2">
        <f t="shared" si="80"/>
        <v>102604</v>
      </c>
      <c r="H547" s="3">
        <f t="shared" si="83"/>
        <v>0.34536665237222719</v>
      </c>
      <c r="I547" s="3">
        <f t="shared" si="84"/>
        <v>0.28638259716970099</v>
      </c>
      <c r="J547" s="3">
        <f t="shared" si="85"/>
        <v>0.22433823242758566</v>
      </c>
      <c r="K547" s="3">
        <f t="shared" si="86"/>
        <v>0.14391251803048613</v>
      </c>
      <c r="L547" s="3">
        <f t="shared" si="87"/>
        <v>0.63174924954192824</v>
      </c>
      <c r="M547" s="56">
        <f t="shared" si="88"/>
        <v>0.36825075045807182</v>
      </c>
      <c r="O547" s="2">
        <v>35479</v>
      </c>
      <c r="R547" s="2">
        <v>68915</v>
      </c>
      <c r="S547" s="36"/>
    </row>
    <row r="548" spans="1:19" hidden="1" x14ac:dyDescent="0.25">
      <c r="A548" s="55" t="s">
        <v>7</v>
      </c>
      <c r="B548" s="1">
        <v>45471</v>
      </c>
      <c r="C548" s="36">
        <f t="shared" si="81"/>
        <v>35308</v>
      </c>
      <c r="D548" s="2">
        <v>17895</v>
      </c>
      <c r="E548" s="36">
        <f t="shared" si="82"/>
        <v>36420</v>
      </c>
      <c r="F548" s="2">
        <v>14447</v>
      </c>
      <c r="G548" s="2">
        <f t="shared" si="80"/>
        <v>104070</v>
      </c>
      <c r="H548" s="3">
        <f t="shared" si="83"/>
        <v>0.33927164408571153</v>
      </c>
      <c r="I548" s="3">
        <f t="shared" si="84"/>
        <v>0.34995675987316227</v>
      </c>
      <c r="J548" s="3">
        <f t="shared" si="85"/>
        <v>0.17195157105794176</v>
      </c>
      <c r="K548" s="3">
        <f t="shared" si="86"/>
        <v>0.13882002498318438</v>
      </c>
      <c r="L548" s="3">
        <f t="shared" si="87"/>
        <v>0.68922840395887386</v>
      </c>
      <c r="M548" s="56">
        <f t="shared" si="88"/>
        <v>0.31077159604112614</v>
      </c>
      <c r="O548" s="2">
        <v>44282</v>
      </c>
      <c r="R548" s="2">
        <v>55825</v>
      </c>
      <c r="S548" s="36"/>
    </row>
    <row r="549" spans="1:19" hidden="1" x14ac:dyDescent="0.25">
      <c r="A549" s="55" t="s">
        <v>30</v>
      </c>
      <c r="B549" s="1">
        <v>45472</v>
      </c>
      <c r="C549" s="36">
        <f t="shared" si="81"/>
        <v>29714.400000000001</v>
      </c>
      <c r="D549" s="2">
        <v>29885</v>
      </c>
      <c r="E549" s="36">
        <f t="shared" si="82"/>
        <v>41141.600000000006</v>
      </c>
      <c r="F549" s="2">
        <v>17927</v>
      </c>
      <c r="G549" s="2">
        <f t="shared" si="80"/>
        <v>118668</v>
      </c>
      <c r="H549" s="3">
        <f t="shared" si="83"/>
        <v>0.25039943371422796</v>
      </c>
      <c r="I549" s="3">
        <f t="shared" si="84"/>
        <v>0.34669498095527024</v>
      </c>
      <c r="J549" s="3">
        <f t="shared" si="85"/>
        <v>0.25183705801058415</v>
      </c>
      <c r="K549" s="3">
        <f t="shared" si="86"/>
        <v>0.15106852731991777</v>
      </c>
      <c r="L549" s="3">
        <f t="shared" si="87"/>
        <v>0.59709441466949809</v>
      </c>
      <c r="M549" s="56">
        <f t="shared" si="88"/>
        <v>0.40290558533050191</v>
      </c>
      <c r="O549" s="2">
        <v>56258</v>
      </c>
      <c r="R549" s="2">
        <v>45247</v>
      </c>
      <c r="S549" s="36"/>
    </row>
    <row r="550" spans="1:19" hidden="1" x14ac:dyDescent="0.25">
      <c r="A550" s="55" t="s">
        <v>31</v>
      </c>
      <c r="B550" s="1">
        <v>45473</v>
      </c>
      <c r="C550" s="36">
        <f t="shared" si="81"/>
        <v>30726.400000000001</v>
      </c>
      <c r="D550" s="2">
        <v>27517</v>
      </c>
      <c r="E550" s="36">
        <f t="shared" si="82"/>
        <v>55741.600000000006</v>
      </c>
      <c r="F550" s="2">
        <v>22821</v>
      </c>
      <c r="G550" s="2">
        <f t="shared" si="80"/>
        <v>136806</v>
      </c>
      <c r="H550" s="3">
        <f t="shared" si="83"/>
        <v>0.22459833633027793</v>
      </c>
      <c r="I550" s="3">
        <f t="shared" si="84"/>
        <v>0.4074499656447817</v>
      </c>
      <c r="J550" s="3">
        <f t="shared" si="85"/>
        <v>0.20113883893981258</v>
      </c>
      <c r="K550" s="3">
        <f t="shared" si="86"/>
        <v>0.16681285908512786</v>
      </c>
      <c r="L550" s="3">
        <f t="shared" si="87"/>
        <v>0.63204830197505957</v>
      </c>
      <c r="M550" s="56">
        <f t="shared" si="88"/>
        <v>0.36795169802494043</v>
      </c>
      <c r="O550" s="2">
        <v>40715</v>
      </c>
      <c r="R550" s="2">
        <v>42455</v>
      </c>
      <c r="S550" s="36"/>
    </row>
    <row r="551" spans="1:19" hidden="1" x14ac:dyDescent="0.25">
      <c r="A551" s="55" t="s">
        <v>129</v>
      </c>
      <c r="B551" s="1">
        <v>45474</v>
      </c>
      <c r="C551" s="36">
        <f t="shared" si="81"/>
        <v>35932.800000000003</v>
      </c>
      <c r="D551" s="2">
        <v>23566</v>
      </c>
      <c r="E551" s="36">
        <f t="shared" si="82"/>
        <v>42074.400000000001</v>
      </c>
      <c r="F551" s="2">
        <v>24148</v>
      </c>
      <c r="G551" s="2">
        <f t="shared" si="80"/>
        <v>125721.20000000001</v>
      </c>
      <c r="H551" s="3">
        <f t="shared" si="83"/>
        <v>0.28581337117367633</v>
      </c>
      <c r="I551" s="3">
        <f t="shared" si="84"/>
        <v>0.33466432073508684</v>
      </c>
      <c r="J551" s="3">
        <f t="shared" si="85"/>
        <v>0.18744650862384385</v>
      </c>
      <c r="K551" s="3">
        <f t="shared" si="86"/>
        <v>0.19207579946739292</v>
      </c>
      <c r="L551" s="3">
        <f t="shared" si="87"/>
        <v>0.62047769190876323</v>
      </c>
      <c r="M551" s="56">
        <f t="shared" si="88"/>
        <v>0.37952230809123677</v>
      </c>
      <c r="O551" s="2">
        <v>39269</v>
      </c>
      <c r="R551" s="2">
        <v>20227</v>
      </c>
      <c r="S551" s="36"/>
    </row>
    <row r="552" spans="1:19" hidden="1" x14ac:dyDescent="0.25">
      <c r="A552" s="55" t="s">
        <v>14</v>
      </c>
      <c r="B552" s="1">
        <v>45475</v>
      </c>
      <c r="C552" s="36">
        <f t="shared" si="81"/>
        <v>57756.800000000003</v>
      </c>
      <c r="D552" s="2">
        <v>28912</v>
      </c>
      <c r="E552" s="36">
        <f t="shared" si="82"/>
        <v>36675.200000000004</v>
      </c>
      <c r="F552" s="2">
        <v>13479</v>
      </c>
      <c r="G552" s="2">
        <f t="shared" si="80"/>
        <v>136823</v>
      </c>
      <c r="H552" s="3">
        <f t="shared" si="83"/>
        <v>0.42212785862026125</v>
      </c>
      <c r="I552" s="3">
        <f t="shared" si="84"/>
        <v>0.26804850061758628</v>
      </c>
      <c r="J552" s="3">
        <f t="shared" si="85"/>
        <v>0.21130950205740262</v>
      </c>
      <c r="K552" s="3">
        <f t="shared" si="86"/>
        <v>9.8514138704749926E-2</v>
      </c>
      <c r="L552" s="3">
        <f t="shared" si="87"/>
        <v>0.69017635923784748</v>
      </c>
      <c r="M552" s="56">
        <f t="shared" si="88"/>
        <v>0.30982364076215257</v>
      </c>
      <c r="O552" s="2">
        <v>36569</v>
      </c>
      <c r="R552" s="2">
        <v>30149</v>
      </c>
      <c r="S552" s="36"/>
    </row>
    <row r="553" spans="1:19" hidden="1" x14ac:dyDescent="0.25">
      <c r="A553" s="55" t="s">
        <v>21</v>
      </c>
      <c r="B553" s="1">
        <v>45476</v>
      </c>
      <c r="C553" s="36">
        <f t="shared" si="81"/>
        <v>35917.599999999999</v>
      </c>
      <c r="D553" s="2">
        <v>17176</v>
      </c>
      <c r="E553" s="36">
        <f t="shared" si="82"/>
        <v>25478.400000000001</v>
      </c>
      <c r="F553" s="2">
        <v>11409</v>
      </c>
      <c r="G553" s="2">
        <f t="shared" si="80"/>
        <v>89981</v>
      </c>
      <c r="H553" s="3">
        <f t="shared" si="83"/>
        <v>0.39916871339505006</v>
      </c>
      <c r="I553" s="3">
        <f t="shared" si="84"/>
        <v>0.28315311010102134</v>
      </c>
      <c r="J553" s="3">
        <f t="shared" si="85"/>
        <v>0.19088474233449285</v>
      </c>
      <c r="K553" s="3">
        <f t="shared" si="86"/>
        <v>0.12679343416943578</v>
      </c>
      <c r="L553" s="3">
        <f t="shared" si="87"/>
        <v>0.6823218234960714</v>
      </c>
      <c r="M553" s="56">
        <f t="shared" si="88"/>
        <v>0.3176781765039286</v>
      </c>
      <c r="O553" s="2">
        <v>44879</v>
      </c>
      <c r="R553" s="2">
        <v>44673</v>
      </c>
      <c r="S553" s="36"/>
    </row>
    <row r="554" spans="1:19" x14ac:dyDescent="0.25">
      <c r="A554" s="55" t="s">
        <v>26</v>
      </c>
      <c r="B554" s="1">
        <v>45477</v>
      </c>
      <c r="C554" s="36">
        <f t="shared" si="81"/>
        <v>22468.800000000003</v>
      </c>
      <c r="D554" s="2">
        <v>20238</v>
      </c>
      <c r="E554" s="36">
        <f t="shared" si="82"/>
        <v>9487.2000000000007</v>
      </c>
      <c r="F554" s="2">
        <v>5991</v>
      </c>
      <c r="G554" s="2">
        <f t="shared" si="80"/>
        <v>58185</v>
      </c>
      <c r="H554" s="3">
        <f t="shared" si="83"/>
        <v>0.38616138179943288</v>
      </c>
      <c r="I554" s="3">
        <f t="shared" si="84"/>
        <v>0.16305233307553493</v>
      </c>
      <c r="J554" s="3">
        <f t="shared" si="85"/>
        <v>0.34782160350605829</v>
      </c>
      <c r="K554" s="3">
        <f t="shared" si="86"/>
        <v>0.10296468161897396</v>
      </c>
      <c r="L554" s="3">
        <f t="shared" si="87"/>
        <v>0.54921371487496784</v>
      </c>
      <c r="M554" s="56">
        <f t="shared" si="88"/>
        <v>0.45078628512503222</v>
      </c>
      <c r="O554" s="2">
        <v>39534</v>
      </c>
      <c r="R554" s="2">
        <v>70827</v>
      </c>
      <c r="S554" s="36"/>
    </row>
    <row r="555" spans="1:19" hidden="1" x14ac:dyDescent="0.25">
      <c r="A555" s="55" t="s">
        <v>7</v>
      </c>
      <c r="B555" s="1">
        <v>45478</v>
      </c>
      <c r="C555" s="36">
        <f t="shared" si="81"/>
        <v>28044.800000000003</v>
      </c>
      <c r="D555" s="2">
        <v>14392</v>
      </c>
      <c r="E555" s="36">
        <f t="shared" si="82"/>
        <v>42069.600000000006</v>
      </c>
      <c r="F555" s="2">
        <v>19863</v>
      </c>
      <c r="G555" s="2">
        <f t="shared" si="80"/>
        <v>104369.40000000001</v>
      </c>
      <c r="H555" s="3">
        <f t="shared" si="83"/>
        <v>0.26870711147136994</v>
      </c>
      <c r="I555" s="3">
        <f t="shared" si="84"/>
        <v>0.40308366245278793</v>
      </c>
      <c r="J555" s="3">
        <f t="shared" si="85"/>
        <v>0.13789482357855845</v>
      </c>
      <c r="K555" s="3">
        <f t="shared" si="86"/>
        <v>0.19031440249728368</v>
      </c>
      <c r="L555" s="3">
        <f t="shared" si="87"/>
        <v>0.67179077392415787</v>
      </c>
      <c r="M555" s="56">
        <f t="shared" si="88"/>
        <v>0.32820922607584213</v>
      </c>
      <c r="O555" s="2">
        <v>66890</v>
      </c>
      <c r="R555" s="2">
        <v>65335</v>
      </c>
      <c r="S555" s="36"/>
    </row>
    <row r="556" spans="1:19" hidden="1" x14ac:dyDescent="0.25">
      <c r="A556" s="55" t="s">
        <v>30</v>
      </c>
      <c r="B556" s="1">
        <v>45479</v>
      </c>
      <c r="C556" s="36">
        <f t="shared" si="81"/>
        <v>34289.599999999999</v>
      </c>
      <c r="D556" s="2">
        <v>30103</v>
      </c>
      <c r="E556" s="36">
        <f t="shared" si="82"/>
        <v>31930.400000000001</v>
      </c>
      <c r="F556" s="2">
        <v>23681</v>
      </c>
      <c r="G556" s="2">
        <f t="shared" si="80"/>
        <v>120004</v>
      </c>
      <c r="H556" s="3">
        <f t="shared" si="83"/>
        <v>0.28573714209526346</v>
      </c>
      <c r="I556" s="3">
        <f t="shared" si="84"/>
        <v>0.26607779740675314</v>
      </c>
      <c r="J556" s="3">
        <f t="shared" si="85"/>
        <v>0.25084997166761108</v>
      </c>
      <c r="K556" s="3">
        <f t="shared" si="86"/>
        <v>0.19733508883037232</v>
      </c>
      <c r="L556" s="3">
        <f t="shared" si="87"/>
        <v>0.55181493950201665</v>
      </c>
      <c r="M556" s="56">
        <f t="shared" si="88"/>
        <v>0.4481850604979834</v>
      </c>
      <c r="O556" s="2">
        <v>68146</v>
      </c>
      <c r="R556" s="2">
        <v>55954</v>
      </c>
      <c r="S556" s="36"/>
    </row>
    <row r="557" spans="1:19" hidden="1" x14ac:dyDescent="0.25">
      <c r="A557" s="55" t="s">
        <v>31</v>
      </c>
      <c r="B557" s="1">
        <v>45480</v>
      </c>
      <c r="C557" s="36">
        <f t="shared" si="81"/>
        <v>25837.600000000002</v>
      </c>
      <c r="D557" s="2">
        <v>30549</v>
      </c>
      <c r="E557" s="36">
        <f t="shared" si="82"/>
        <v>42614.400000000001</v>
      </c>
      <c r="F557" s="2">
        <v>22430</v>
      </c>
      <c r="G557" s="2">
        <f t="shared" si="80"/>
        <v>121431</v>
      </c>
      <c r="H557" s="3">
        <f t="shared" si="83"/>
        <v>0.21277597977452217</v>
      </c>
      <c r="I557" s="3">
        <f t="shared" si="84"/>
        <v>0.35093509894507996</v>
      </c>
      <c r="J557" s="3">
        <f t="shared" si="85"/>
        <v>0.25157496850062999</v>
      </c>
      <c r="K557" s="3">
        <f t="shared" si="86"/>
        <v>0.18471395277976793</v>
      </c>
      <c r="L557" s="3">
        <f t="shared" si="87"/>
        <v>0.56371107871960213</v>
      </c>
      <c r="M557" s="56">
        <f t="shared" si="88"/>
        <v>0.43628892128039792</v>
      </c>
      <c r="O557" s="2">
        <v>51680</v>
      </c>
      <c r="R557" s="2">
        <v>40173</v>
      </c>
      <c r="S557" s="36"/>
    </row>
    <row r="558" spans="1:19" hidden="1" x14ac:dyDescent="0.25">
      <c r="A558" s="55" t="s">
        <v>129</v>
      </c>
      <c r="B558" s="1">
        <v>45481</v>
      </c>
      <c r="C558" s="36">
        <f t="shared" si="81"/>
        <v>31072</v>
      </c>
      <c r="D558" s="2">
        <v>13720</v>
      </c>
      <c r="E558" s="36">
        <f t="shared" si="82"/>
        <v>34547.200000000004</v>
      </c>
      <c r="F558" s="2">
        <v>18389</v>
      </c>
      <c r="G558" s="2">
        <f t="shared" si="80"/>
        <v>97728.200000000012</v>
      </c>
      <c r="H558" s="3">
        <f t="shared" si="83"/>
        <v>0.31794302974985722</v>
      </c>
      <c r="I558" s="3">
        <f t="shared" si="84"/>
        <v>0.35350287839129341</v>
      </c>
      <c r="J558" s="3">
        <f t="shared" si="85"/>
        <v>0.14038936560787979</v>
      </c>
      <c r="K558" s="3">
        <f t="shared" si="86"/>
        <v>0.1881647262509695</v>
      </c>
      <c r="L558" s="3">
        <f t="shared" si="87"/>
        <v>0.67144590814115068</v>
      </c>
      <c r="M558" s="56">
        <f t="shared" si="88"/>
        <v>0.32855409185884932</v>
      </c>
      <c r="O558" s="2">
        <v>42625</v>
      </c>
      <c r="R558" s="2">
        <v>28478</v>
      </c>
      <c r="S558" s="36"/>
    </row>
    <row r="559" spans="1:19" hidden="1" x14ac:dyDescent="0.25">
      <c r="A559" s="55" t="s">
        <v>14</v>
      </c>
      <c r="B559" s="1">
        <v>45482</v>
      </c>
      <c r="C559" s="36">
        <f t="shared" si="81"/>
        <v>50021.600000000006</v>
      </c>
      <c r="D559" s="2">
        <v>24577</v>
      </c>
      <c r="E559" s="36">
        <f t="shared" si="82"/>
        <v>31460</v>
      </c>
      <c r="F559" s="2">
        <v>13451</v>
      </c>
      <c r="G559" s="2">
        <f t="shared" si="80"/>
        <v>119509.6</v>
      </c>
      <c r="H559" s="3">
        <f t="shared" si="83"/>
        <v>0.41855717030263678</v>
      </c>
      <c r="I559" s="3">
        <f t="shared" si="84"/>
        <v>0.26324245081566666</v>
      </c>
      <c r="J559" s="3">
        <f t="shared" si="85"/>
        <v>0.20564875123002671</v>
      </c>
      <c r="K559" s="3">
        <f t="shared" si="86"/>
        <v>0.11255162765166982</v>
      </c>
      <c r="L559" s="3">
        <f t="shared" si="87"/>
        <v>0.6817996211183035</v>
      </c>
      <c r="M559" s="56">
        <f t="shared" si="88"/>
        <v>0.3182003788816965</v>
      </c>
      <c r="O559" s="2">
        <v>63975</v>
      </c>
      <c r="R559" s="2">
        <v>36776</v>
      </c>
      <c r="S559" s="36"/>
    </row>
    <row r="560" spans="1:19" hidden="1" x14ac:dyDescent="0.25">
      <c r="A560" s="55" t="s">
        <v>21</v>
      </c>
      <c r="B560" s="1">
        <v>45483</v>
      </c>
      <c r="C560" s="36">
        <f t="shared" si="81"/>
        <v>31152.800000000003</v>
      </c>
      <c r="D560" s="2">
        <v>18757</v>
      </c>
      <c r="E560" s="36">
        <f t="shared" si="82"/>
        <v>22579.200000000001</v>
      </c>
      <c r="F560" s="2">
        <v>8540</v>
      </c>
      <c r="G560" s="2">
        <f t="shared" si="80"/>
        <v>81029</v>
      </c>
      <c r="H560" s="3">
        <f t="shared" si="83"/>
        <v>0.38446482123684117</v>
      </c>
      <c r="I560" s="3">
        <f t="shared" si="84"/>
        <v>0.27865578990238066</v>
      </c>
      <c r="J560" s="3">
        <f t="shared" si="85"/>
        <v>0.23148502388033915</v>
      </c>
      <c r="K560" s="3">
        <f t="shared" si="86"/>
        <v>0.1053943649804391</v>
      </c>
      <c r="L560" s="3">
        <f t="shared" si="87"/>
        <v>0.66312061113922172</v>
      </c>
      <c r="M560" s="56">
        <f t="shared" si="88"/>
        <v>0.33687938886077823</v>
      </c>
      <c r="O560" s="2">
        <v>43790</v>
      </c>
      <c r="R560" s="2">
        <v>58484</v>
      </c>
      <c r="S560" s="36"/>
    </row>
    <row r="561" spans="1:19" x14ac:dyDescent="0.25">
      <c r="A561" s="55" t="s">
        <v>26</v>
      </c>
      <c r="B561" s="1">
        <v>45484</v>
      </c>
      <c r="C561" s="36">
        <f t="shared" si="81"/>
        <v>28065.600000000002</v>
      </c>
      <c r="D561" s="2">
        <v>15893</v>
      </c>
      <c r="E561" s="36">
        <f t="shared" si="82"/>
        <v>28812.800000000003</v>
      </c>
      <c r="F561" s="2">
        <v>9732</v>
      </c>
      <c r="G561" s="2">
        <f t="shared" si="80"/>
        <v>82503.400000000009</v>
      </c>
      <c r="H561" s="3">
        <f t="shared" si="83"/>
        <v>0.34017507157280791</v>
      </c>
      <c r="I561" s="3">
        <f t="shared" si="84"/>
        <v>0.34923166802822669</v>
      </c>
      <c r="J561" s="3">
        <f t="shared" si="85"/>
        <v>0.19263448536666367</v>
      </c>
      <c r="K561" s="3">
        <f t="shared" si="86"/>
        <v>0.11795877503230169</v>
      </c>
      <c r="L561" s="3">
        <f t="shared" si="87"/>
        <v>0.6894067396010346</v>
      </c>
      <c r="M561" s="56">
        <f t="shared" si="88"/>
        <v>0.31059326039896534</v>
      </c>
      <c r="O561" s="2">
        <v>40389</v>
      </c>
      <c r="R561" s="2">
        <v>58932</v>
      </c>
      <c r="S561" s="36"/>
    </row>
    <row r="562" spans="1:19" hidden="1" x14ac:dyDescent="0.25">
      <c r="A562" s="55" t="s">
        <v>7</v>
      </c>
      <c r="B562" s="1">
        <v>45485</v>
      </c>
      <c r="C562" s="36">
        <f t="shared" si="81"/>
        <v>32163.200000000001</v>
      </c>
      <c r="D562" s="2">
        <v>22233</v>
      </c>
      <c r="E562" s="36">
        <f t="shared" si="82"/>
        <v>27791.200000000001</v>
      </c>
      <c r="F562" s="2">
        <v>15366</v>
      </c>
      <c r="G562" s="2">
        <f t="shared" si="80"/>
        <v>97553.4</v>
      </c>
      <c r="H562" s="3">
        <f t="shared" si="83"/>
        <v>0.32969840108084397</v>
      </c>
      <c r="I562" s="3">
        <f t="shared" si="84"/>
        <v>0.284881921081172</v>
      </c>
      <c r="J562" s="3">
        <f t="shared" si="85"/>
        <v>0.22790594689677654</v>
      </c>
      <c r="K562" s="3">
        <f t="shared" si="86"/>
        <v>0.1575137309412076</v>
      </c>
      <c r="L562" s="3">
        <f t="shared" si="87"/>
        <v>0.61458032216201597</v>
      </c>
      <c r="M562" s="56">
        <f t="shared" si="88"/>
        <v>0.38541967783798414</v>
      </c>
      <c r="O562" s="2">
        <v>58922</v>
      </c>
      <c r="R562" s="2">
        <v>57654</v>
      </c>
      <c r="S562" s="36"/>
    </row>
    <row r="563" spans="1:19" hidden="1" x14ac:dyDescent="0.25">
      <c r="A563" s="55" t="s">
        <v>30</v>
      </c>
      <c r="B563" s="1">
        <v>45486</v>
      </c>
      <c r="C563" s="36">
        <f t="shared" si="81"/>
        <v>46344.800000000003</v>
      </c>
      <c r="D563" s="2">
        <v>25822</v>
      </c>
      <c r="E563" s="36">
        <f t="shared" si="82"/>
        <v>24736.800000000003</v>
      </c>
      <c r="F563" s="2">
        <v>23616</v>
      </c>
      <c r="G563" s="2">
        <f t="shared" si="80"/>
        <v>120519.6</v>
      </c>
      <c r="H563" s="3">
        <f t="shared" si="83"/>
        <v>0.38454160153203298</v>
      </c>
      <c r="I563" s="3">
        <f t="shared" si="84"/>
        <v>0.20525126203538679</v>
      </c>
      <c r="J563" s="3">
        <f t="shared" si="85"/>
        <v>0.21425560655694176</v>
      </c>
      <c r="K563" s="3">
        <f t="shared" si="86"/>
        <v>0.19595152987563846</v>
      </c>
      <c r="L563" s="3">
        <f t="shared" si="87"/>
        <v>0.58979286356741978</v>
      </c>
      <c r="M563" s="56">
        <f t="shared" si="88"/>
        <v>0.41020713643258022</v>
      </c>
      <c r="O563" s="2">
        <v>76674</v>
      </c>
      <c r="R563" s="2">
        <v>59033</v>
      </c>
      <c r="S563" s="36"/>
    </row>
    <row r="564" spans="1:19" hidden="1" x14ac:dyDescent="0.25">
      <c r="A564" s="55" t="s">
        <v>31</v>
      </c>
      <c r="B564" s="1">
        <v>45487</v>
      </c>
      <c r="C564" s="36">
        <f t="shared" si="81"/>
        <v>36820.800000000003</v>
      </c>
      <c r="D564" s="2">
        <v>20958</v>
      </c>
      <c r="E564" s="36">
        <f t="shared" si="82"/>
        <v>51960.800000000003</v>
      </c>
      <c r="F564" s="2">
        <v>19458</v>
      </c>
      <c r="G564" s="2">
        <f t="shared" si="80"/>
        <v>129197.6</v>
      </c>
      <c r="H564" s="3">
        <f t="shared" si="83"/>
        <v>0.28499600611776071</v>
      </c>
      <c r="I564" s="3">
        <f t="shared" si="84"/>
        <v>0.40218084546462163</v>
      </c>
      <c r="J564" s="3">
        <f t="shared" si="85"/>
        <v>0.16221663560313812</v>
      </c>
      <c r="K564" s="3">
        <f t="shared" si="86"/>
        <v>0.15060651281447951</v>
      </c>
      <c r="L564" s="3">
        <f t="shared" si="87"/>
        <v>0.6871768515823824</v>
      </c>
      <c r="M564" s="56">
        <f t="shared" si="88"/>
        <v>0.31282314841761766</v>
      </c>
      <c r="O564" s="2">
        <v>55663</v>
      </c>
      <c r="R564" s="2">
        <v>48538</v>
      </c>
      <c r="S564" s="36"/>
    </row>
    <row r="565" spans="1:19" hidden="1" x14ac:dyDescent="0.25">
      <c r="A565" s="55" t="s">
        <v>129</v>
      </c>
      <c r="B565" s="1">
        <v>45488</v>
      </c>
      <c r="C565" s="36">
        <f t="shared" si="81"/>
        <v>39381.600000000006</v>
      </c>
      <c r="D565" s="2">
        <v>26099</v>
      </c>
      <c r="E565" s="36">
        <f t="shared" si="82"/>
        <v>57016</v>
      </c>
      <c r="F565" s="2">
        <v>14608</v>
      </c>
      <c r="G565" s="2">
        <f t="shared" si="80"/>
        <v>137104.6</v>
      </c>
      <c r="H565" s="3">
        <f t="shared" si="83"/>
        <v>0.28723762732979058</v>
      </c>
      <c r="I565" s="3">
        <f t="shared" si="84"/>
        <v>0.41585767363020643</v>
      </c>
      <c r="J565" s="3">
        <f t="shared" si="85"/>
        <v>0.19035831037033038</v>
      </c>
      <c r="K565" s="3">
        <f t="shared" si="86"/>
        <v>0.10654638866967264</v>
      </c>
      <c r="L565" s="3">
        <f t="shared" si="87"/>
        <v>0.70309530095999695</v>
      </c>
      <c r="M565" s="56">
        <f t="shared" si="88"/>
        <v>0.296904699040003</v>
      </c>
      <c r="O565" s="2">
        <v>47648</v>
      </c>
      <c r="R565" s="2">
        <v>40005</v>
      </c>
      <c r="S565" s="36"/>
    </row>
    <row r="566" spans="1:19" hidden="1" x14ac:dyDescent="0.25">
      <c r="A566" s="55" t="s">
        <v>14</v>
      </c>
      <c r="B566" s="1">
        <v>45489</v>
      </c>
      <c r="C566" s="36">
        <f t="shared" si="81"/>
        <v>61199.200000000004</v>
      </c>
      <c r="D566" s="2">
        <v>19624</v>
      </c>
      <c r="E566" s="36">
        <f t="shared" si="82"/>
        <v>43355.200000000004</v>
      </c>
      <c r="F566" s="2">
        <v>14098</v>
      </c>
      <c r="G566" s="2">
        <f t="shared" si="80"/>
        <v>138276.40000000002</v>
      </c>
      <c r="H566" s="3">
        <f t="shared" si="83"/>
        <v>0.44258600889233446</v>
      </c>
      <c r="I566" s="3">
        <f t="shared" si="84"/>
        <v>0.31354012687631438</v>
      </c>
      <c r="J566" s="3">
        <f t="shared" si="85"/>
        <v>0.14191864989253405</v>
      </c>
      <c r="K566" s="3">
        <f t="shared" si="86"/>
        <v>0.10195521433881702</v>
      </c>
      <c r="L566" s="3">
        <f t="shared" si="87"/>
        <v>0.75612613576864884</v>
      </c>
      <c r="M566" s="56">
        <f t="shared" si="88"/>
        <v>0.24387386423135107</v>
      </c>
      <c r="O566" s="2">
        <v>59268</v>
      </c>
      <c r="R566" s="2">
        <v>54818</v>
      </c>
      <c r="S566" s="36"/>
    </row>
    <row r="567" spans="1:19" hidden="1" x14ac:dyDescent="0.25">
      <c r="A567" s="55" t="s">
        <v>21</v>
      </c>
      <c r="B567" s="1">
        <v>45490</v>
      </c>
      <c r="C567" s="36">
        <f t="shared" si="81"/>
        <v>39633.600000000006</v>
      </c>
      <c r="D567" s="2">
        <v>17600</v>
      </c>
      <c r="E567" s="36">
        <f t="shared" si="82"/>
        <v>32530.400000000001</v>
      </c>
      <c r="F567" s="2">
        <v>13977</v>
      </c>
      <c r="G567" s="2">
        <f t="shared" si="80"/>
        <v>103741</v>
      </c>
      <c r="H567" s="3">
        <f t="shared" si="83"/>
        <v>0.38204374355365772</v>
      </c>
      <c r="I567" s="3">
        <f t="shared" si="84"/>
        <v>0.31357322562921125</v>
      </c>
      <c r="J567" s="3">
        <f t="shared" si="85"/>
        <v>0.16965327112713391</v>
      </c>
      <c r="K567" s="3">
        <f t="shared" si="86"/>
        <v>0.1347297596899972</v>
      </c>
      <c r="L567" s="3">
        <f t="shared" si="87"/>
        <v>0.69561696918286886</v>
      </c>
      <c r="M567" s="56">
        <f t="shared" si="88"/>
        <v>0.30438303081713114</v>
      </c>
      <c r="O567" s="2">
        <v>49192</v>
      </c>
      <c r="R567" s="2">
        <v>56930</v>
      </c>
      <c r="S567" s="36"/>
    </row>
    <row r="568" spans="1:19" x14ac:dyDescent="0.25">
      <c r="A568" s="55" t="s">
        <v>26</v>
      </c>
      <c r="B568" s="1">
        <v>45491</v>
      </c>
      <c r="C568" s="36">
        <f t="shared" si="81"/>
        <v>22595.200000000001</v>
      </c>
      <c r="D568" s="2">
        <v>18707</v>
      </c>
      <c r="E568" s="36">
        <f t="shared" si="82"/>
        <v>24644.800000000003</v>
      </c>
      <c r="F568" s="2">
        <v>12718</v>
      </c>
      <c r="G568" s="2">
        <f t="shared" si="80"/>
        <v>78665</v>
      </c>
      <c r="H568" s="3">
        <f t="shared" si="83"/>
        <v>0.28723320409330705</v>
      </c>
      <c r="I568" s="3">
        <f t="shared" si="84"/>
        <v>0.31328799338969049</v>
      </c>
      <c r="J568" s="3">
        <f t="shared" si="85"/>
        <v>0.23780588571791775</v>
      </c>
      <c r="K568" s="3">
        <f t="shared" si="86"/>
        <v>0.16167291679908471</v>
      </c>
      <c r="L568" s="3">
        <f t="shared" si="87"/>
        <v>0.60052119748299748</v>
      </c>
      <c r="M568" s="56">
        <f t="shared" si="88"/>
        <v>0.39947880251700246</v>
      </c>
      <c r="O568" s="2">
        <v>58715</v>
      </c>
      <c r="R568" s="2">
        <v>65474</v>
      </c>
      <c r="S568" s="36"/>
    </row>
    <row r="569" spans="1:19" hidden="1" x14ac:dyDescent="0.25">
      <c r="A569" s="55" t="s">
        <v>7</v>
      </c>
      <c r="B569" s="1">
        <v>45492</v>
      </c>
      <c r="C569" s="36">
        <f t="shared" si="81"/>
        <v>26230.400000000001</v>
      </c>
      <c r="D569" s="2">
        <v>22496</v>
      </c>
      <c r="E569" s="36">
        <f t="shared" si="82"/>
        <v>37992.800000000003</v>
      </c>
      <c r="F569" s="2">
        <v>12863</v>
      </c>
      <c r="G569" s="2">
        <f t="shared" si="80"/>
        <v>99582.200000000012</v>
      </c>
      <c r="H569" s="3">
        <f t="shared" si="83"/>
        <v>0.26340450401778631</v>
      </c>
      <c r="I569" s="3">
        <f t="shared" si="84"/>
        <v>0.38152199891145205</v>
      </c>
      <c r="J569" s="3">
        <f t="shared" si="85"/>
        <v>0.22590382618580426</v>
      </c>
      <c r="K569" s="3">
        <f t="shared" si="86"/>
        <v>0.12916967088495734</v>
      </c>
      <c r="L569" s="3">
        <f t="shared" si="87"/>
        <v>0.64492650292923837</v>
      </c>
      <c r="M569" s="56">
        <f t="shared" si="88"/>
        <v>0.35507349707076158</v>
      </c>
      <c r="O569" s="2">
        <v>69324</v>
      </c>
      <c r="R569" s="2">
        <v>66315</v>
      </c>
      <c r="S569" s="36"/>
    </row>
    <row r="570" spans="1:19" hidden="1" x14ac:dyDescent="0.25">
      <c r="A570" s="55" t="s">
        <v>30</v>
      </c>
      <c r="B570" s="1">
        <v>45493</v>
      </c>
      <c r="C570" s="36">
        <f t="shared" si="81"/>
        <v>49032.800000000003</v>
      </c>
      <c r="D570" s="2">
        <v>21715</v>
      </c>
      <c r="E570" s="36">
        <f t="shared" si="82"/>
        <v>31706.400000000001</v>
      </c>
      <c r="F570" s="2">
        <v>14592</v>
      </c>
      <c r="G570" s="2">
        <f t="shared" si="80"/>
        <v>117046.20000000001</v>
      </c>
      <c r="H570" s="3">
        <f t="shared" si="83"/>
        <v>0.4189183416462901</v>
      </c>
      <c r="I570" s="3">
        <f t="shared" si="84"/>
        <v>0.27088790580129896</v>
      </c>
      <c r="J570" s="3">
        <f t="shared" si="85"/>
        <v>0.18552503199591272</v>
      </c>
      <c r="K570" s="3">
        <f t="shared" si="86"/>
        <v>0.12466872055649819</v>
      </c>
      <c r="L570" s="3">
        <f t="shared" si="87"/>
        <v>0.68980624744758912</v>
      </c>
      <c r="M570" s="56">
        <f t="shared" si="88"/>
        <v>0.31019375255241088</v>
      </c>
      <c r="O570" s="2">
        <v>74632</v>
      </c>
      <c r="R570" s="2">
        <v>50821</v>
      </c>
      <c r="S570" s="36"/>
    </row>
    <row r="571" spans="1:19" hidden="1" x14ac:dyDescent="0.25">
      <c r="A571" s="55" t="s">
        <v>31</v>
      </c>
      <c r="B571" s="1">
        <v>45494</v>
      </c>
      <c r="C571" s="36">
        <f t="shared" si="81"/>
        <v>31147.200000000001</v>
      </c>
      <c r="D571" s="2">
        <v>28648</v>
      </c>
      <c r="E571" s="36">
        <f t="shared" si="82"/>
        <v>43006.400000000001</v>
      </c>
      <c r="F571" s="2">
        <v>22143</v>
      </c>
      <c r="G571" s="2">
        <f t="shared" si="80"/>
        <v>124944.6</v>
      </c>
      <c r="H571" s="3">
        <f t="shared" si="83"/>
        <v>0.24928808447904111</v>
      </c>
      <c r="I571" s="3">
        <f t="shared" si="84"/>
        <v>0.34420375110248863</v>
      </c>
      <c r="J571" s="3">
        <f t="shared" si="85"/>
        <v>0.2292856193865121</v>
      </c>
      <c r="K571" s="3">
        <f t="shared" si="86"/>
        <v>0.17722254503195817</v>
      </c>
      <c r="L571" s="3">
        <f t="shared" si="87"/>
        <v>0.59349183558152974</v>
      </c>
      <c r="M571" s="56">
        <f t="shared" si="88"/>
        <v>0.40650816441847026</v>
      </c>
      <c r="O571" s="2">
        <v>57066</v>
      </c>
      <c r="R571" s="2">
        <v>51013</v>
      </c>
      <c r="S571" s="36"/>
    </row>
    <row r="572" spans="1:19" hidden="1" x14ac:dyDescent="0.25">
      <c r="A572" s="55" t="s">
        <v>129</v>
      </c>
      <c r="B572" s="1">
        <v>45495</v>
      </c>
      <c r="C572" s="36">
        <f t="shared" si="81"/>
        <v>52990.400000000001</v>
      </c>
      <c r="D572" s="2">
        <v>21828</v>
      </c>
      <c r="E572" s="36">
        <f t="shared" si="82"/>
        <v>40955.200000000004</v>
      </c>
      <c r="F572" s="2">
        <v>20350</v>
      </c>
      <c r="G572" s="2">
        <f t="shared" si="80"/>
        <v>136123.6</v>
      </c>
      <c r="H572" s="3">
        <f t="shared" si="83"/>
        <v>0.3892815059254971</v>
      </c>
      <c r="I572" s="3">
        <f t="shared" si="84"/>
        <v>0.30086774078851869</v>
      </c>
      <c r="J572" s="3">
        <f t="shared" si="85"/>
        <v>0.16035426626977248</v>
      </c>
      <c r="K572" s="3">
        <f t="shared" si="86"/>
        <v>0.14949648701621174</v>
      </c>
      <c r="L572" s="3">
        <f t="shared" si="87"/>
        <v>0.69014924671401578</v>
      </c>
      <c r="M572" s="56">
        <f t="shared" si="88"/>
        <v>0.30985075328598422</v>
      </c>
      <c r="O572" s="2">
        <v>44295</v>
      </c>
      <c r="R572" s="2">
        <v>36730</v>
      </c>
      <c r="S572" s="36"/>
    </row>
    <row r="573" spans="1:19" hidden="1" x14ac:dyDescent="0.25">
      <c r="A573" s="55" t="s">
        <v>14</v>
      </c>
      <c r="B573" s="1">
        <v>45496</v>
      </c>
      <c r="C573" s="36">
        <f t="shared" si="81"/>
        <v>49590.400000000001</v>
      </c>
      <c r="D573" s="2">
        <v>22118</v>
      </c>
      <c r="E573" s="36">
        <f t="shared" si="82"/>
        <v>39562.400000000001</v>
      </c>
      <c r="F573" s="2">
        <v>20156</v>
      </c>
      <c r="G573" s="2">
        <f t="shared" si="80"/>
        <v>131426.79999999999</v>
      </c>
      <c r="H573" s="3">
        <f t="shared" si="83"/>
        <v>0.37732334653206201</v>
      </c>
      <c r="I573" s="3">
        <f t="shared" si="84"/>
        <v>0.3010223181268965</v>
      </c>
      <c r="J573" s="3">
        <f t="shared" si="85"/>
        <v>0.16829139871015655</v>
      </c>
      <c r="K573" s="3">
        <f t="shared" si="86"/>
        <v>0.15336293663088504</v>
      </c>
      <c r="L573" s="3">
        <f t="shared" si="87"/>
        <v>0.67834566465895851</v>
      </c>
      <c r="M573" s="56">
        <f t="shared" si="88"/>
        <v>0.3216543353410416</v>
      </c>
      <c r="O573" s="2">
        <v>44135</v>
      </c>
      <c r="R573" s="2">
        <v>45525</v>
      </c>
      <c r="S573" s="36"/>
    </row>
    <row r="574" spans="1:19" hidden="1" x14ac:dyDescent="0.25">
      <c r="A574" s="55" t="s">
        <v>21</v>
      </c>
      <c r="B574" s="1">
        <v>45497</v>
      </c>
      <c r="C574" s="36">
        <f t="shared" si="81"/>
        <v>38416.800000000003</v>
      </c>
      <c r="D574" s="2">
        <v>20751</v>
      </c>
      <c r="E574" s="36">
        <f t="shared" si="82"/>
        <v>37743.200000000004</v>
      </c>
      <c r="F574" s="2">
        <v>12550</v>
      </c>
      <c r="G574" s="2">
        <f t="shared" si="80"/>
        <v>109461</v>
      </c>
      <c r="H574" s="3">
        <f t="shared" si="83"/>
        <v>0.35096335681201529</v>
      </c>
      <c r="I574" s="3">
        <f t="shared" si="84"/>
        <v>0.34480956687770076</v>
      </c>
      <c r="J574" s="3">
        <f t="shared" si="85"/>
        <v>0.18957436895332586</v>
      </c>
      <c r="K574" s="3">
        <f t="shared" si="86"/>
        <v>0.11465270735695819</v>
      </c>
      <c r="L574" s="3">
        <f t="shared" si="87"/>
        <v>0.69577292368971599</v>
      </c>
      <c r="M574" s="56">
        <f t="shared" si="88"/>
        <v>0.30422707631028401</v>
      </c>
      <c r="O574" s="2">
        <v>37143</v>
      </c>
      <c r="R574" s="2">
        <v>51427</v>
      </c>
      <c r="S574" s="36"/>
    </row>
    <row r="575" spans="1:19" x14ac:dyDescent="0.25">
      <c r="A575" s="55" t="s">
        <v>26</v>
      </c>
      <c r="B575" s="1">
        <v>45498</v>
      </c>
      <c r="C575" s="36">
        <f t="shared" si="81"/>
        <v>41856</v>
      </c>
      <c r="D575" s="2">
        <v>22845</v>
      </c>
      <c r="E575" s="36">
        <f t="shared" si="82"/>
        <v>28369.600000000002</v>
      </c>
      <c r="F575" s="2">
        <v>11497</v>
      </c>
      <c r="G575" s="2">
        <f t="shared" si="80"/>
        <v>104567.6</v>
      </c>
      <c r="H575" s="3">
        <f t="shared" si="83"/>
        <v>0.40027695003041092</v>
      </c>
      <c r="I575" s="3">
        <f t="shared" si="84"/>
        <v>0.27130392205616272</v>
      </c>
      <c r="J575" s="3">
        <f t="shared" si="85"/>
        <v>0.21847111342327832</v>
      </c>
      <c r="K575" s="3">
        <f t="shared" si="86"/>
        <v>0.10994801449014799</v>
      </c>
      <c r="L575" s="3">
        <f t="shared" si="87"/>
        <v>0.67158087208657369</v>
      </c>
      <c r="M575" s="56">
        <f t="shared" si="88"/>
        <v>0.32841912791342631</v>
      </c>
      <c r="O575" s="2">
        <v>38408</v>
      </c>
      <c r="R575" s="2">
        <v>69677</v>
      </c>
      <c r="S575" s="36"/>
    </row>
    <row r="576" spans="1:19" hidden="1" x14ac:dyDescent="0.25">
      <c r="A576" s="55" t="s">
        <v>7</v>
      </c>
      <c r="B576" s="1">
        <v>45499</v>
      </c>
      <c r="C576" s="36">
        <f t="shared" si="81"/>
        <v>28484</v>
      </c>
      <c r="D576" s="2">
        <v>21687</v>
      </c>
      <c r="E576" s="36">
        <f t="shared" si="82"/>
        <v>32748</v>
      </c>
      <c r="F576" s="2">
        <v>17956</v>
      </c>
      <c r="G576" s="2">
        <f t="shared" si="80"/>
        <v>100875</v>
      </c>
      <c r="H576" s="3">
        <f t="shared" si="83"/>
        <v>0.28236926889714992</v>
      </c>
      <c r="I576" s="3">
        <f t="shared" si="84"/>
        <v>0.32463940520446094</v>
      </c>
      <c r="J576" s="3">
        <f t="shared" si="85"/>
        <v>0.21498884758364312</v>
      </c>
      <c r="K576" s="3">
        <f t="shared" si="86"/>
        <v>0.17800247831474597</v>
      </c>
      <c r="L576" s="3">
        <f t="shared" si="87"/>
        <v>0.60700867410161086</v>
      </c>
      <c r="M576" s="56">
        <f t="shared" si="88"/>
        <v>0.39299132589838909</v>
      </c>
      <c r="O576" s="2">
        <v>44916</v>
      </c>
      <c r="R576" s="2">
        <v>52593</v>
      </c>
      <c r="S576" s="36"/>
    </row>
    <row r="577" spans="1:19" hidden="1" x14ac:dyDescent="0.25">
      <c r="A577" s="55" t="s">
        <v>30</v>
      </c>
      <c r="B577" s="1">
        <v>45500</v>
      </c>
      <c r="C577" s="36">
        <f t="shared" si="81"/>
        <v>34541.599999999999</v>
      </c>
      <c r="D577" s="2">
        <v>24442</v>
      </c>
      <c r="E577" s="36">
        <f t="shared" si="82"/>
        <v>42274.400000000001</v>
      </c>
      <c r="F577" s="2">
        <v>24911</v>
      </c>
      <c r="G577" s="2">
        <f t="shared" si="80"/>
        <v>126169</v>
      </c>
      <c r="H577" s="3">
        <f t="shared" si="83"/>
        <v>0.27377247976919844</v>
      </c>
      <c r="I577" s="3">
        <f t="shared" si="84"/>
        <v>0.33506170295397442</v>
      </c>
      <c r="J577" s="3">
        <f t="shared" si="85"/>
        <v>0.19372429043584399</v>
      </c>
      <c r="K577" s="3">
        <f t="shared" si="86"/>
        <v>0.19744152684098312</v>
      </c>
      <c r="L577" s="3">
        <f t="shared" si="87"/>
        <v>0.60883418272317291</v>
      </c>
      <c r="M577" s="56">
        <f t="shared" si="88"/>
        <v>0.39116581727682709</v>
      </c>
      <c r="O577" s="2">
        <v>72196</v>
      </c>
      <c r="R577" s="2">
        <v>45844</v>
      </c>
      <c r="S577" s="36"/>
    </row>
    <row r="578" spans="1:19" hidden="1" x14ac:dyDescent="0.25">
      <c r="A578" s="55" t="s">
        <v>31</v>
      </c>
      <c r="B578" s="7">
        <v>45501</v>
      </c>
      <c r="C578" s="36">
        <f t="shared" si="81"/>
        <v>27047.200000000001</v>
      </c>
      <c r="D578" s="8">
        <v>27804</v>
      </c>
      <c r="E578" s="36">
        <f t="shared" si="82"/>
        <v>46768.800000000003</v>
      </c>
      <c r="F578" s="8">
        <v>22880</v>
      </c>
      <c r="G578" s="2">
        <f t="shared" si="80"/>
        <v>124500</v>
      </c>
      <c r="H578" s="3">
        <f t="shared" si="83"/>
        <v>0.21724658634538152</v>
      </c>
      <c r="I578" s="3">
        <f t="shared" si="84"/>
        <v>0.37565301204819279</v>
      </c>
      <c r="J578" s="3">
        <f t="shared" si="85"/>
        <v>0.22332530120481928</v>
      </c>
      <c r="K578" s="3">
        <f t="shared" si="86"/>
        <v>0.18377510040160644</v>
      </c>
      <c r="L578" s="3">
        <f t="shared" si="87"/>
        <v>0.59289959839357431</v>
      </c>
      <c r="M578" s="56">
        <f t="shared" si="88"/>
        <v>0.40710040160642569</v>
      </c>
      <c r="O578" s="2">
        <v>44897</v>
      </c>
      <c r="R578" s="2">
        <v>31848</v>
      </c>
      <c r="S578" s="36"/>
    </row>
    <row r="579" spans="1:19" hidden="1" x14ac:dyDescent="0.25">
      <c r="A579" s="55" t="s">
        <v>129</v>
      </c>
      <c r="B579" s="7">
        <v>45502</v>
      </c>
      <c r="C579" s="36">
        <f t="shared" si="81"/>
        <v>32221.600000000002</v>
      </c>
      <c r="D579" s="8">
        <v>23253</v>
      </c>
      <c r="E579" s="36">
        <f t="shared" si="82"/>
        <v>39480</v>
      </c>
      <c r="F579" s="8">
        <v>15199</v>
      </c>
      <c r="G579" s="2">
        <f t="shared" si="80"/>
        <v>110153.60000000001</v>
      </c>
      <c r="H579" s="3">
        <f t="shared" si="83"/>
        <v>0.29251517880486883</v>
      </c>
      <c r="I579" s="3">
        <f t="shared" si="84"/>
        <v>0.35840862214217234</v>
      </c>
      <c r="J579" s="3">
        <f t="shared" si="85"/>
        <v>0.21109614211428404</v>
      </c>
      <c r="K579" s="3">
        <f t="shared" si="86"/>
        <v>0.13798005693867471</v>
      </c>
      <c r="L579" s="3">
        <f t="shared" si="87"/>
        <v>0.65092380094704128</v>
      </c>
      <c r="M579" s="56">
        <f t="shared" si="88"/>
        <v>0.34907619905295878</v>
      </c>
      <c r="O579" s="2">
        <v>28086</v>
      </c>
      <c r="R579" s="2">
        <v>11859</v>
      </c>
      <c r="S579" s="36"/>
    </row>
    <row r="580" spans="1:19" hidden="1" x14ac:dyDescent="0.25">
      <c r="A580" s="55" t="s">
        <v>14</v>
      </c>
      <c r="B580" s="7">
        <v>45503</v>
      </c>
      <c r="C580" s="36">
        <f t="shared" si="81"/>
        <v>43819.200000000004</v>
      </c>
      <c r="D580" s="8">
        <v>19505</v>
      </c>
      <c r="E580" s="36">
        <f t="shared" si="82"/>
        <v>24977.600000000002</v>
      </c>
      <c r="F580" s="8">
        <v>13596</v>
      </c>
      <c r="G580" s="2">
        <f t="shared" ref="G580:G643" si="89">SUM(C580:F580)</f>
        <v>101897.8</v>
      </c>
      <c r="H580" s="3">
        <f t="shared" si="83"/>
        <v>0.43003087407186419</v>
      </c>
      <c r="I580" s="3">
        <f t="shared" si="84"/>
        <v>0.24512403604395777</v>
      </c>
      <c r="J580" s="3">
        <f t="shared" si="85"/>
        <v>0.19141728280689083</v>
      </c>
      <c r="K580" s="3">
        <f t="shared" si="86"/>
        <v>0.13342780707728724</v>
      </c>
      <c r="L580" s="3">
        <f t="shared" si="87"/>
        <v>0.67515491011582196</v>
      </c>
      <c r="M580" s="56">
        <f t="shared" si="88"/>
        <v>0.32484508988417804</v>
      </c>
      <c r="O580" s="2">
        <v>35056</v>
      </c>
      <c r="R580" s="2">
        <v>52587</v>
      </c>
      <c r="S580" s="36"/>
    </row>
    <row r="581" spans="1:19" hidden="1" x14ac:dyDescent="0.25">
      <c r="A581" s="55" t="s">
        <v>21</v>
      </c>
      <c r="B581" s="7">
        <v>45504</v>
      </c>
      <c r="C581" s="36">
        <f t="shared" ref="C581:C644" si="90">O606*$P$27</f>
        <v>32740.800000000003</v>
      </c>
      <c r="D581" s="8">
        <v>16134</v>
      </c>
      <c r="E581" s="36">
        <f t="shared" ref="E581:E644" si="91">R606*$P$27</f>
        <v>16958.400000000001</v>
      </c>
      <c r="F581" s="8">
        <v>11677</v>
      </c>
      <c r="G581" s="2">
        <f t="shared" si="89"/>
        <v>77510.200000000012</v>
      </c>
      <c r="H581" s="3">
        <f t="shared" ref="H581:H644" si="92">IFERROR(C581/G581,0)</f>
        <v>0.42240634135894373</v>
      </c>
      <c r="I581" s="3">
        <f t="shared" ref="I581:I644" si="93">IFERROR(E581/G581,0)</f>
        <v>0.21878926902523796</v>
      </c>
      <c r="J581" s="3">
        <f t="shared" ref="J581:J644" si="94">IFERROR(D581/G581,0)</f>
        <v>0.20815324950780667</v>
      </c>
      <c r="K581" s="3">
        <f t="shared" ref="K581:K644" si="95">IFERROR(F581/G581,0)</f>
        <v>0.15065114010801156</v>
      </c>
      <c r="L581" s="3">
        <f t="shared" ref="L581:L644" si="96">IFERROR((C581+E581)/G581, 0)</f>
        <v>0.6411956103841816</v>
      </c>
      <c r="M581" s="56">
        <f t="shared" ref="M581:M644" si="97">IFERROR((D581+F581)/G581, 0)</f>
        <v>0.35880438961581823</v>
      </c>
      <c r="O581" s="2">
        <v>42862</v>
      </c>
      <c r="R581" s="2">
        <v>39913</v>
      </c>
      <c r="S581" s="36"/>
    </row>
    <row r="582" spans="1:19" x14ac:dyDescent="0.25">
      <c r="A582" s="55" t="s">
        <v>26</v>
      </c>
      <c r="B582" s="7">
        <v>45505</v>
      </c>
      <c r="C582" s="36">
        <f t="shared" si="90"/>
        <v>23294.400000000001</v>
      </c>
      <c r="D582" s="8">
        <v>14822</v>
      </c>
      <c r="E582" s="36">
        <f t="shared" si="91"/>
        <v>20016.800000000003</v>
      </c>
      <c r="F582" s="8">
        <v>12557</v>
      </c>
      <c r="G582" s="2">
        <f t="shared" si="89"/>
        <v>70690.200000000012</v>
      </c>
      <c r="H582" s="3">
        <f t="shared" si="92"/>
        <v>0.32952799680860995</v>
      </c>
      <c r="I582" s="3">
        <f t="shared" si="93"/>
        <v>0.2831623053832073</v>
      </c>
      <c r="J582" s="3">
        <f t="shared" si="94"/>
        <v>0.20967545713550106</v>
      </c>
      <c r="K582" s="3">
        <f t="shared" si="95"/>
        <v>0.1776342406726816</v>
      </c>
      <c r="L582" s="3">
        <f t="shared" si="96"/>
        <v>0.61269030219181719</v>
      </c>
      <c r="M582" s="56">
        <f t="shared" si="97"/>
        <v>0.3873096978081827</v>
      </c>
      <c r="O582" s="2">
        <v>32297</v>
      </c>
      <c r="R582" s="2">
        <v>53268</v>
      </c>
      <c r="S582" s="36"/>
    </row>
    <row r="583" spans="1:19" hidden="1" x14ac:dyDescent="0.25">
      <c r="A583" s="55" t="s">
        <v>7</v>
      </c>
      <c r="B583" s="7">
        <v>45506</v>
      </c>
      <c r="C583" s="36">
        <f t="shared" si="90"/>
        <v>19188.8</v>
      </c>
      <c r="D583" s="8">
        <v>11289</v>
      </c>
      <c r="E583" s="36">
        <f t="shared" si="91"/>
        <v>30336.800000000003</v>
      </c>
      <c r="F583" s="8">
        <v>21315</v>
      </c>
      <c r="G583" s="2">
        <f t="shared" si="89"/>
        <v>82129.600000000006</v>
      </c>
      <c r="H583" s="3">
        <f t="shared" si="92"/>
        <v>0.23364049015214974</v>
      </c>
      <c r="I583" s="3">
        <f t="shared" si="93"/>
        <v>0.36937717948218424</v>
      </c>
      <c r="J583" s="3">
        <f t="shared" si="94"/>
        <v>0.13745348814556504</v>
      </c>
      <c r="K583" s="3">
        <f t="shared" si="95"/>
        <v>0.25952884222010092</v>
      </c>
      <c r="L583" s="3">
        <f t="shared" si="96"/>
        <v>0.60301766963433401</v>
      </c>
      <c r="M583" s="56">
        <f t="shared" si="97"/>
        <v>0.39698233036566594</v>
      </c>
      <c r="O583" s="2">
        <v>38840</v>
      </c>
      <c r="R583" s="2">
        <v>43184</v>
      </c>
      <c r="S583" s="36"/>
    </row>
    <row r="584" spans="1:19" hidden="1" x14ac:dyDescent="0.25">
      <c r="A584" s="55" t="s">
        <v>30</v>
      </c>
      <c r="B584" s="7">
        <v>45507</v>
      </c>
      <c r="C584" s="36">
        <f t="shared" si="90"/>
        <v>36384</v>
      </c>
      <c r="D584" s="8">
        <v>24279</v>
      </c>
      <c r="E584" s="36">
        <f t="shared" si="91"/>
        <v>33328</v>
      </c>
      <c r="F584" s="8">
        <v>22867</v>
      </c>
      <c r="G584" s="2">
        <f t="shared" si="89"/>
        <v>116858</v>
      </c>
      <c r="H584" s="3">
        <f t="shared" si="92"/>
        <v>0.31135223947012614</v>
      </c>
      <c r="I584" s="3">
        <f t="shared" si="93"/>
        <v>0.28520084204761337</v>
      </c>
      <c r="J584" s="3">
        <f t="shared" si="94"/>
        <v>0.20776497971897517</v>
      </c>
      <c r="K584" s="3">
        <f t="shared" si="95"/>
        <v>0.19568193876328535</v>
      </c>
      <c r="L584" s="3">
        <f t="shared" si="96"/>
        <v>0.59655308151773945</v>
      </c>
      <c r="M584" s="56">
        <f t="shared" si="97"/>
        <v>0.4034469184822605</v>
      </c>
      <c r="O584" s="2">
        <v>62527</v>
      </c>
      <c r="R584" s="2">
        <v>39325</v>
      </c>
      <c r="S584" s="36"/>
    </row>
    <row r="585" spans="1:19" hidden="1" x14ac:dyDescent="0.25">
      <c r="A585" s="55" t="s">
        <v>31</v>
      </c>
      <c r="B585" s="7">
        <v>45508</v>
      </c>
      <c r="C585" s="36">
        <f t="shared" si="90"/>
        <v>22388</v>
      </c>
      <c r="D585" s="8">
        <v>26531</v>
      </c>
      <c r="E585" s="36">
        <f t="shared" si="91"/>
        <v>45118.400000000001</v>
      </c>
      <c r="F585" s="8">
        <v>24419</v>
      </c>
      <c r="G585" s="2">
        <f t="shared" si="89"/>
        <v>118456.4</v>
      </c>
      <c r="H585" s="3">
        <f t="shared" si="92"/>
        <v>0.18899780847636768</v>
      </c>
      <c r="I585" s="3">
        <f t="shared" si="93"/>
        <v>0.38088613194390514</v>
      </c>
      <c r="J585" s="3">
        <f t="shared" si="94"/>
        <v>0.22397270219253668</v>
      </c>
      <c r="K585" s="3">
        <f t="shared" si="95"/>
        <v>0.20614335738719058</v>
      </c>
      <c r="L585" s="3">
        <f t="shared" si="96"/>
        <v>0.56988394042027279</v>
      </c>
      <c r="M585" s="56">
        <f t="shared" si="97"/>
        <v>0.43011605957972726</v>
      </c>
      <c r="O585" s="2">
        <v>38941</v>
      </c>
      <c r="R585" s="2">
        <v>28224</v>
      </c>
      <c r="S585" s="36"/>
    </row>
    <row r="586" spans="1:19" hidden="1" x14ac:dyDescent="0.25">
      <c r="A586" s="55" t="s">
        <v>129</v>
      </c>
      <c r="B586" s="7">
        <v>45509</v>
      </c>
      <c r="C586" s="36">
        <f t="shared" si="90"/>
        <v>27043.200000000001</v>
      </c>
      <c r="D586" s="8">
        <v>24457</v>
      </c>
      <c r="E586" s="36">
        <f t="shared" si="91"/>
        <v>40720.800000000003</v>
      </c>
      <c r="F586" s="8">
        <v>18082</v>
      </c>
      <c r="G586" s="2">
        <f t="shared" si="89"/>
        <v>110303</v>
      </c>
      <c r="H586" s="3">
        <f t="shared" si="92"/>
        <v>0.24517193548679547</v>
      </c>
      <c r="I586" s="3">
        <f t="shared" si="93"/>
        <v>0.3691721893330191</v>
      </c>
      <c r="J586" s="3">
        <f t="shared" si="94"/>
        <v>0.22172561036417868</v>
      </c>
      <c r="K586" s="3">
        <f t="shared" si="95"/>
        <v>0.16393026481600681</v>
      </c>
      <c r="L586" s="3">
        <f t="shared" si="96"/>
        <v>0.61434412481981449</v>
      </c>
      <c r="M586" s="56">
        <f t="shared" si="97"/>
        <v>0.38565587518018551</v>
      </c>
      <c r="O586" s="2">
        <v>35082</v>
      </c>
      <c r="R586" s="2">
        <v>36016</v>
      </c>
      <c r="S586" s="36"/>
    </row>
    <row r="587" spans="1:19" hidden="1" x14ac:dyDescent="0.25">
      <c r="A587" s="55" t="s">
        <v>14</v>
      </c>
      <c r="B587" s="7">
        <v>45510</v>
      </c>
      <c r="C587" s="36">
        <f t="shared" si="90"/>
        <v>38701.599999999999</v>
      </c>
      <c r="D587" s="8">
        <v>24894</v>
      </c>
      <c r="E587" s="36">
        <f t="shared" si="91"/>
        <v>22145.600000000002</v>
      </c>
      <c r="F587" s="8">
        <v>11096</v>
      </c>
      <c r="G587" s="2">
        <f t="shared" si="89"/>
        <v>96837.2</v>
      </c>
      <c r="H587" s="3">
        <f t="shared" si="92"/>
        <v>0.39965633041847554</v>
      </c>
      <c r="I587" s="3">
        <f t="shared" si="93"/>
        <v>0.22868897489807638</v>
      </c>
      <c r="J587" s="3">
        <f t="shared" si="94"/>
        <v>0.25707062988190488</v>
      </c>
      <c r="K587" s="3">
        <f t="shared" si="95"/>
        <v>0.11458406480154321</v>
      </c>
      <c r="L587" s="3">
        <f t="shared" si="96"/>
        <v>0.62834530531655186</v>
      </c>
      <c r="M587" s="56">
        <f t="shared" si="97"/>
        <v>0.37165469468344808</v>
      </c>
      <c r="O587" s="2">
        <v>40204</v>
      </c>
      <c r="R587" s="2">
        <v>34739</v>
      </c>
      <c r="S587" s="36"/>
    </row>
    <row r="588" spans="1:19" hidden="1" x14ac:dyDescent="0.25">
      <c r="A588" s="55" t="s">
        <v>21</v>
      </c>
      <c r="B588" s="7">
        <v>45511</v>
      </c>
      <c r="C588" s="36">
        <f t="shared" si="90"/>
        <v>31948.800000000003</v>
      </c>
      <c r="D588" s="8">
        <v>14884</v>
      </c>
      <c r="E588" s="36">
        <f t="shared" si="91"/>
        <v>30869.600000000002</v>
      </c>
      <c r="F588" s="8">
        <v>10444</v>
      </c>
      <c r="G588" s="2">
        <f t="shared" si="89"/>
        <v>88146.400000000009</v>
      </c>
      <c r="H588" s="3">
        <f t="shared" si="92"/>
        <v>0.36245155786282818</v>
      </c>
      <c r="I588" s="3">
        <f t="shared" si="93"/>
        <v>0.3502082898450759</v>
      </c>
      <c r="J588" s="3">
        <f t="shared" si="94"/>
        <v>0.16885544957026036</v>
      </c>
      <c r="K588" s="3">
        <f t="shared" si="95"/>
        <v>0.11848470272183548</v>
      </c>
      <c r="L588" s="3">
        <f t="shared" si="96"/>
        <v>0.71265984770790414</v>
      </c>
      <c r="M588" s="56">
        <f t="shared" si="97"/>
        <v>0.28734015229209586</v>
      </c>
      <c r="O588" s="2">
        <v>57931</v>
      </c>
      <c r="R588" s="2">
        <v>30921</v>
      </c>
      <c r="S588" s="36"/>
    </row>
    <row r="589" spans="1:19" x14ac:dyDescent="0.25">
      <c r="A589" s="55" t="s">
        <v>26</v>
      </c>
      <c r="B589" s="7">
        <v>45512</v>
      </c>
      <c r="C589" s="36">
        <f t="shared" si="90"/>
        <v>30643.200000000001</v>
      </c>
      <c r="D589" s="8">
        <v>16571</v>
      </c>
      <c r="E589" s="36">
        <f t="shared" si="91"/>
        <v>25781.600000000002</v>
      </c>
      <c r="F589" s="8">
        <v>15354</v>
      </c>
      <c r="G589" s="2">
        <f t="shared" si="89"/>
        <v>88349.8</v>
      </c>
      <c r="H589" s="3">
        <f t="shared" si="92"/>
        <v>0.34683949482624749</v>
      </c>
      <c r="I589" s="3">
        <f t="shared" si="93"/>
        <v>0.291812771505991</v>
      </c>
      <c r="J589" s="3">
        <f t="shared" si="94"/>
        <v>0.18756126216471344</v>
      </c>
      <c r="K589" s="3">
        <f t="shared" si="95"/>
        <v>0.1737864715030481</v>
      </c>
      <c r="L589" s="3">
        <f t="shared" si="96"/>
        <v>0.63865226633223848</v>
      </c>
      <c r="M589" s="56">
        <f t="shared" si="97"/>
        <v>0.36134773366776157</v>
      </c>
      <c r="O589" s="2">
        <v>46026</v>
      </c>
      <c r="R589" s="2">
        <v>64951</v>
      </c>
      <c r="S589" s="36"/>
    </row>
    <row r="590" spans="1:19" hidden="1" x14ac:dyDescent="0.25">
      <c r="A590" s="55" t="s">
        <v>7</v>
      </c>
      <c r="B590" s="7">
        <v>45513</v>
      </c>
      <c r="C590" s="36">
        <f t="shared" si="90"/>
        <v>41100.800000000003</v>
      </c>
      <c r="D590" s="8">
        <v>14302</v>
      </c>
      <c r="E590" s="36">
        <f t="shared" si="91"/>
        <v>25905.600000000002</v>
      </c>
      <c r="F590" s="8">
        <v>17755</v>
      </c>
      <c r="G590" s="2">
        <f t="shared" si="89"/>
        <v>99063.400000000009</v>
      </c>
      <c r="H590" s="3">
        <f t="shared" si="92"/>
        <v>0.41489389623210993</v>
      </c>
      <c r="I590" s="3">
        <f t="shared" si="93"/>
        <v>0.26150525824875787</v>
      </c>
      <c r="J590" s="3">
        <f t="shared" si="94"/>
        <v>0.14437218993089274</v>
      </c>
      <c r="K590" s="3">
        <f t="shared" si="95"/>
        <v>0.17922865558823944</v>
      </c>
      <c r="L590" s="3">
        <f t="shared" si="96"/>
        <v>0.67639915448086785</v>
      </c>
      <c r="M590" s="56">
        <f t="shared" si="97"/>
        <v>0.32360084551913215</v>
      </c>
      <c r="O590" s="2">
        <v>49227</v>
      </c>
      <c r="R590" s="2">
        <v>71270</v>
      </c>
      <c r="S590" s="36"/>
    </row>
    <row r="591" spans="1:19" hidden="1" x14ac:dyDescent="0.25">
      <c r="A591" s="55" t="s">
        <v>30</v>
      </c>
      <c r="B591" s="7">
        <v>45514</v>
      </c>
      <c r="C591" s="36">
        <f t="shared" si="90"/>
        <v>37981.599999999999</v>
      </c>
      <c r="D591" s="8">
        <v>19726</v>
      </c>
      <c r="E591" s="36">
        <f t="shared" si="91"/>
        <v>35631.200000000004</v>
      </c>
      <c r="F591" s="8">
        <v>20154</v>
      </c>
      <c r="G591" s="2">
        <f t="shared" si="89"/>
        <v>113492.8</v>
      </c>
      <c r="H591" s="3">
        <f t="shared" si="92"/>
        <v>0.33466087716577614</v>
      </c>
      <c r="I591" s="3">
        <f t="shared" si="93"/>
        <v>0.31395119337966815</v>
      </c>
      <c r="J591" s="3">
        <f t="shared" si="94"/>
        <v>0.1738083825581887</v>
      </c>
      <c r="K591" s="3">
        <f t="shared" si="95"/>
        <v>0.17757954689636699</v>
      </c>
      <c r="L591" s="3">
        <f t="shared" si="96"/>
        <v>0.64861207054544434</v>
      </c>
      <c r="M591" s="56">
        <f t="shared" si="97"/>
        <v>0.35138792945455571</v>
      </c>
      <c r="O591" s="2">
        <v>76499</v>
      </c>
      <c r="R591" s="2">
        <v>54194</v>
      </c>
      <c r="S591" s="36"/>
    </row>
    <row r="592" spans="1:19" hidden="1" x14ac:dyDescent="0.25">
      <c r="A592" s="55" t="s">
        <v>31</v>
      </c>
      <c r="B592" s="7">
        <v>45515</v>
      </c>
      <c r="C592" s="36">
        <f t="shared" si="90"/>
        <v>33153.599999999999</v>
      </c>
      <c r="D592" s="8">
        <v>25340</v>
      </c>
      <c r="E592" s="36">
        <f t="shared" si="91"/>
        <v>36744</v>
      </c>
      <c r="F592" s="8">
        <v>22087</v>
      </c>
      <c r="G592" s="2">
        <f t="shared" si="89"/>
        <v>117324.6</v>
      </c>
      <c r="H592" s="3">
        <f t="shared" si="92"/>
        <v>0.28258012386149195</v>
      </c>
      <c r="I592" s="3">
        <f t="shared" si="93"/>
        <v>0.31318240164466787</v>
      </c>
      <c r="J592" s="3">
        <f t="shared" si="94"/>
        <v>0.21598198502274885</v>
      </c>
      <c r="K592" s="3">
        <f t="shared" si="95"/>
        <v>0.1882554894710913</v>
      </c>
      <c r="L592" s="3">
        <f t="shared" si="96"/>
        <v>0.59576252550615982</v>
      </c>
      <c r="M592" s="56">
        <f t="shared" si="97"/>
        <v>0.40423747449384012</v>
      </c>
      <c r="O592" s="2">
        <v>49542</v>
      </c>
      <c r="R592" s="2">
        <v>40663</v>
      </c>
      <c r="S592" s="36"/>
    </row>
    <row r="593" spans="1:19" hidden="1" x14ac:dyDescent="0.25">
      <c r="A593" s="55" t="s">
        <v>129</v>
      </c>
      <c r="B593" s="7">
        <v>45516</v>
      </c>
      <c r="C593" s="36">
        <f t="shared" si="90"/>
        <v>43622.400000000001</v>
      </c>
      <c r="D593" s="8">
        <v>23691</v>
      </c>
      <c r="E593" s="36">
        <f t="shared" si="91"/>
        <v>46848</v>
      </c>
      <c r="F593" s="8">
        <v>15311</v>
      </c>
      <c r="G593" s="2">
        <f t="shared" si="89"/>
        <v>129472.4</v>
      </c>
      <c r="H593" s="3">
        <f t="shared" si="92"/>
        <v>0.33692431746070978</v>
      </c>
      <c r="I593" s="3">
        <f t="shared" si="93"/>
        <v>0.3618377353011144</v>
      </c>
      <c r="J593" s="3">
        <f t="shared" si="94"/>
        <v>0.18298108322700438</v>
      </c>
      <c r="K593" s="3">
        <f t="shared" si="95"/>
        <v>0.1182568640111715</v>
      </c>
      <c r="L593" s="3">
        <f t="shared" si="96"/>
        <v>0.69876205276182413</v>
      </c>
      <c r="M593" s="56">
        <f t="shared" si="97"/>
        <v>0.30123794723817587</v>
      </c>
      <c r="O593" s="2">
        <v>28244</v>
      </c>
      <c r="R593" s="2">
        <v>30806</v>
      </c>
      <c r="S593" s="36"/>
    </row>
    <row r="594" spans="1:19" hidden="1" x14ac:dyDescent="0.25">
      <c r="A594" s="55" t="s">
        <v>14</v>
      </c>
      <c r="B594" s="7">
        <v>45517</v>
      </c>
      <c r="C594" s="36">
        <f t="shared" si="90"/>
        <v>46767.200000000004</v>
      </c>
      <c r="D594" s="8">
        <v>20573</v>
      </c>
      <c r="E594" s="36">
        <f t="shared" si="91"/>
        <v>29091.200000000001</v>
      </c>
      <c r="F594" s="8">
        <v>10550</v>
      </c>
      <c r="G594" s="2">
        <f t="shared" si="89"/>
        <v>106981.40000000001</v>
      </c>
      <c r="H594" s="3">
        <f t="shared" si="92"/>
        <v>0.43715262653134096</v>
      </c>
      <c r="I594" s="3">
        <f t="shared" si="93"/>
        <v>0.2719276434969069</v>
      </c>
      <c r="J594" s="3">
        <f t="shared" si="94"/>
        <v>0.19230445666256002</v>
      </c>
      <c r="K594" s="3">
        <f t="shared" si="95"/>
        <v>9.861527330919205E-2</v>
      </c>
      <c r="L594" s="3">
        <f t="shared" si="96"/>
        <v>0.70908027002824792</v>
      </c>
      <c r="M594" s="56">
        <f t="shared" si="97"/>
        <v>0.29091972997175208</v>
      </c>
      <c r="O594" s="2">
        <v>32788</v>
      </c>
      <c r="R594" s="2">
        <v>47491</v>
      </c>
      <c r="S594" s="36"/>
    </row>
    <row r="595" spans="1:19" hidden="1" x14ac:dyDescent="0.25">
      <c r="A595" s="55" t="s">
        <v>21</v>
      </c>
      <c r="B595" s="7">
        <v>45518</v>
      </c>
      <c r="C595" s="36">
        <f t="shared" si="90"/>
        <v>46036</v>
      </c>
      <c r="D595" s="8">
        <v>17908</v>
      </c>
      <c r="E595" s="36">
        <f t="shared" si="91"/>
        <v>32420.800000000003</v>
      </c>
      <c r="F595" s="8">
        <v>18007</v>
      </c>
      <c r="G595" s="2">
        <f t="shared" si="89"/>
        <v>114371.8</v>
      </c>
      <c r="H595" s="3">
        <f t="shared" si="92"/>
        <v>0.40251180798063857</v>
      </c>
      <c r="I595" s="3">
        <f t="shared" si="93"/>
        <v>0.28346847736942149</v>
      </c>
      <c r="J595" s="3">
        <f t="shared" si="94"/>
        <v>0.15657705833081231</v>
      </c>
      <c r="K595" s="3">
        <f t="shared" si="95"/>
        <v>0.1574426563191276</v>
      </c>
      <c r="L595" s="3">
        <f t="shared" si="96"/>
        <v>0.68598028535006006</v>
      </c>
      <c r="M595" s="56">
        <f t="shared" si="97"/>
        <v>0.31401971464993994</v>
      </c>
      <c r="O595" s="2">
        <v>61291</v>
      </c>
      <c r="R595" s="2">
        <v>39633</v>
      </c>
      <c r="S595" s="36"/>
    </row>
    <row r="596" spans="1:19" x14ac:dyDescent="0.25">
      <c r="A596" s="55" t="s">
        <v>26</v>
      </c>
      <c r="B596" s="7">
        <v>45519</v>
      </c>
      <c r="C596" s="36">
        <f t="shared" si="90"/>
        <v>34155.200000000004</v>
      </c>
      <c r="D596" s="8">
        <v>18435</v>
      </c>
      <c r="E596" s="36">
        <f t="shared" si="91"/>
        <v>23184</v>
      </c>
      <c r="F596" s="8">
        <v>17696</v>
      </c>
      <c r="G596" s="2">
        <f t="shared" si="89"/>
        <v>93470.200000000012</v>
      </c>
      <c r="H596" s="3">
        <f t="shared" si="92"/>
        <v>0.3654127197759286</v>
      </c>
      <c r="I596" s="3">
        <f t="shared" si="93"/>
        <v>0.24803627252322127</v>
      </c>
      <c r="J596" s="3">
        <f t="shared" si="94"/>
        <v>0.19722863543674879</v>
      </c>
      <c r="K596" s="3">
        <f t="shared" si="95"/>
        <v>0.18932237226410126</v>
      </c>
      <c r="L596" s="3">
        <f t="shared" si="96"/>
        <v>0.61344899229914984</v>
      </c>
      <c r="M596" s="56">
        <f t="shared" si="97"/>
        <v>0.38655100770085005</v>
      </c>
      <c r="O596" s="2">
        <v>38934</v>
      </c>
      <c r="R596" s="2">
        <v>53758</v>
      </c>
      <c r="S596" s="36"/>
    </row>
    <row r="597" spans="1:19" hidden="1" x14ac:dyDescent="0.25">
      <c r="A597" s="55" t="s">
        <v>7</v>
      </c>
      <c r="B597" s="7">
        <v>45520</v>
      </c>
      <c r="C597" s="36">
        <f t="shared" si="90"/>
        <v>34910.400000000001</v>
      </c>
      <c r="D597" s="8">
        <v>13887</v>
      </c>
      <c r="E597" s="36">
        <f t="shared" si="91"/>
        <v>27435.200000000001</v>
      </c>
      <c r="F597" s="8">
        <v>18463</v>
      </c>
      <c r="G597" s="2">
        <f t="shared" si="89"/>
        <v>94695.6</v>
      </c>
      <c r="H597" s="3">
        <f t="shared" si="92"/>
        <v>0.36865915628603652</v>
      </c>
      <c r="I597" s="3">
        <f t="shared" si="93"/>
        <v>0.28971990250866986</v>
      </c>
      <c r="J597" s="3">
        <f t="shared" si="94"/>
        <v>0.14664884112883808</v>
      </c>
      <c r="K597" s="3">
        <f t="shared" si="95"/>
        <v>0.19497210007645549</v>
      </c>
      <c r="L597" s="3">
        <f t="shared" si="96"/>
        <v>0.65837905879470637</v>
      </c>
      <c r="M597" s="56">
        <f t="shared" si="97"/>
        <v>0.34162094120529357</v>
      </c>
      <c r="O597" s="2">
        <v>66238</v>
      </c>
      <c r="R597" s="2">
        <v>51194</v>
      </c>
      <c r="S597" s="36"/>
    </row>
    <row r="598" spans="1:19" hidden="1" x14ac:dyDescent="0.25">
      <c r="A598" s="55" t="s">
        <v>30</v>
      </c>
      <c r="B598" s="7">
        <v>45521</v>
      </c>
      <c r="C598" s="36">
        <f t="shared" si="90"/>
        <v>27556.800000000003</v>
      </c>
      <c r="D598" s="8">
        <v>20312</v>
      </c>
      <c r="E598" s="36">
        <f t="shared" si="91"/>
        <v>45744.800000000003</v>
      </c>
      <c r="F598" s="8">
        <v>23226</v>
      </c>
      <c r="G598" s="2">
        <f t="shared" si="89"/>
        <v>116839.6</v>
      </c>
      <c r="H598" s="3">
        <f t="shared" si="92"/>
        <v>0.23585154348354498</v>
      </c>
      <c r="I598" s="3">
        <f t="shared" si="93"/>
        <v>0.39151794425862463</v>
      </c>
      <c r="J598" s="3">
        <f t="shared" si="94"/>
        <v>0.17384516893245097</v>
      </c>
      <c r="K598" s="3">
        <f t="shared" si="95"/>
        <v>0.19878534332537939</v>
      </c>
      <c r="L598" s="3">
        <f t="shared" si="96"/>
        <v>0.62736948774216961</v>
      </c>
      <c r="M598" s="56">
        <f t="shared" si="97"/>
        <v>0.37263051225783039</v>
      </c>
      <c r="O598" s="2">
        <v>61988</v>
      </c>
      <c r="R598" s="2">
        <v>49453</v>
      </c>
      <c r="S598" s="36"/>
    </row>
    <row r="599" spans="1:19" hidden="1" x14ac:dyDescent="0.25">
      <c r="A599" s="55" t="s">
        <v>31</v>
      </c>
      <c r="B599" s="7">
        <v>45522</v>
      </c>
      <c r="C599" s="36">
        <f t="shared" si="90"/>
        <v>41720</v>
      </c>
      <c r="D599" s="8">
        <v>23282</v>
      </c>
      <c r="E599" s="36">
        <f t="shared" si="91"/>
        <v>35371.200000000004</v>
      </c>
      <c r="F599" s="8">
        <v>26812</v>
      </c>
      <c r="G599" s="2">
        <f t="shared" si="89"/>
        <v>127185.20000000001</v>
      </c>
      <c r="H599" s="3">
        <f t="shared" si="92"/>
        <v>0.32802558788286684</v>
      </c>
      <c r="I599" s="3">
        <f t="shared" si="93"/>
        <v>0.27810783015633894</v>
      </c>
      <c r="J599" s="3">
        <f t="shared" si="94"/>
        <v>0.18305589015074078</v>
      </c>
      <c r="K599" s="3">
        <f t="shared" si="95"/>
        <v>0.21081069181005335</v>
      </c>
      <c r="L599" s="3">
        <f t="shared" si="96"/>
        <v>0.60613341803920584</v>
      </c>
      <c r="M599" s="56">
        <f t="shared" si="97"/>
        <v>0.39386658196079416</v>
      </c>
      <c r="O599" s="2">
        <v>48021</v>
      </c>
      <c r="R599" s="2">
        <v>47179</v>
      </c>
      <c r="S599" s="36"/>
    </row>
    <row r="600" spans="1:19" hidden="1" x14ac:dyDescent="0.25">
      <c r="A600" s="55" t="s">
        <v>129</v>
      </c>
      <c r="B600" s="7">
        <v>45523</v>
      </c>
      <c r="C600" s="36">
        <f t="shared" si="90"/>
        <v>47820.800000000003</v>
      </c>
      <c r="D600" s="8">
        <v>24270</v>
      </c>
      <c r="E600" s="36">
        <f t="shared" si="91"/>
        <v>36636</v>
      </c>
      <c r="F600" s="8">
        <v>16760</v>
      </c>
      <c r="G600" s="2">
        <f t="shared" si="89"/>
        <v>125486.8</v>
      </c>
      <c r="H600" s="3">
        <f t="shared" si="92"/>
        <v>0.38108231304009665</v>
      </c>
      <c r="I600" s="3">
        <f t="shared" si="93"/>
        <v>0.29195102592463906</v>
      </c>
      <c r="J600" s="3">
        <f t="shared" si="94"/>
        <v>0.1934067965714322</v>
      </c>
      <c r="K600" s="3">
        <f t="shared" si="95"/>
        <v>0.13355986446383206</v>
      </c>
      <c r="L600" s="3">
        <f t="shared" si="96"/>
        <v>0.67303333896473572</v>
      </c>
      <c r="M600" s="56">
        <f t="shared" si="97"/>
        <v>0.32696666103526428</v>
      </c>
      <c r="O600" s="2">
        <v>52320</v>
      </c>
      <c r="R600" s="2">
        <v>35462</v>
      </c>
      <c r="S600" s="36"/>
    </row>
    <row r="601" spans="1:19" hidden="1" x14ac:dyDescent="0.25">
      <c r="A601" s="55" t="s">
        <v>14</v>
      </c>
      <c r="B601" s="7">
        <v>45524</v>
      </c>
      <c r="C601" s="36">
        <f t="shared" si="90"/>
        <v>39987.200000000004</v>
      </c>
      <c r="D601" s="8">
        <v>20998</v>
      </c>
      <c r="E601" s="36">
        <f t="shared" si="91"/>
        <v>23223.200000000001</v>
      </c>
      <c r="F601" s="8">
        <v>14162</v>
      </c>
      <c r="G601" s="2">
        <f t="shared" si="89"/>
        <v>98370.400000000009</v>
      </c>
      <c r="H601" s="3">
        <f t="shared" si="92"/>
        <v>0.4064962631035352</v>
      </c>
      <c r="I601" s="3">
        <f t="shared" si="93"/>
        <v>0.23607914575929342</v>
      </c>
      <c r="J601" s="3">
        <f t="shared" si="94"/>
        <v>0.21345852004261442</v>
      </c>
      <c r="K601" s="3">
        <f t="shared" si="95"/>
        <v>0.14396607109455689</v>
      </c>
      <c r="L601" s="3">
        <f t="shared" si="96"/>
        <v>0.64257540886282871</v>
      </c>
      <c r="M601" s="56">
        <f t="shared" si="97"/>
        <v>0.35742459113717129</v>
      </c>
      <c r="O601" s="2">
        <v>35605</v>
      </c>
      <c r="R601" s="2">
        <v>40935</v>
      </c>
      <c r="S601" s="36"/>
    </row>
    <row r="602" spans="1:19" hidden="1" x14ac:dyDescent="0.25">
      <c r="A602" s="55" t="s">
        <v>21</v>
      </c>
      <c r="B602" s="7">
        <v>45525</v>
      </c>
      <c r="C602" s="36">
        <f t="shared" si="90"/>
        <v>32653.600000000002</v>
      </c>
      <c r="D602" s="8">
        <v>16128</v>
      </c>
      <c r="E602" s="36">
        <f t="shared" si="91"/>
        <v>16604.8</v>
      </c>
      <c r="F602" s="8">
        <v>16309</v>
      </c>
      <c r="G602" s="2">
        <f t="shared" si="89"/>
        <v>81695.400000000009</v>
      </c>
      <c r="H602" s="3">
        <f t="shared" si="92"/>
        <v>0.39969937107842057</v>
      </c>
      <c r="I602" s="3">
        <f t="shared" si="93"/>
        <v>0.203252569912137</v>
      </c>
      <c r="J602" s="3">
        <f t="shared" si="94"/>
        <v>0.19741625599482956</v>
      </c>
      <c r="K602" s="3">
        <f t="shared" si="95"/>
        <v>0.19963180301461281</v>
      </c>
      <c r="L602" s="3">
        <f t="shared" si="96"/>
        <v>0.6029519409905576</v>
      </c>
      <c r="M602" s="56">
        <f t="shared" si="97"/>
        <v>0.39704805900944234</v>
      </c>
      <c r="O602" s="2">
        <v>43177</v>
      </c>
      <c r="R602" s="2">
        <v>52843</v>
      </c>
      <c r="S602" s="36"/>
    </row>
    <row r="603" spans="1:19" x14ac:dyDescent="0.25">
      <c r="A603" s="55" t="s">
        <v>26</v>
      </c>
      <c r="B603" s="7">
        <v>45526</v>
      </c>
      <c r="C603" s="36">
        <f t="shared" si="90"/>
        <v>23580.800000000003</v>
      </c>
      <c r="D603" s="8">
        <v>16464</v>
      </c>
      <c r="E603" s="36">
        <f t="shared" si="91"/>
        <v>22173.600000000002</v>
      </c>
      <c r="F603" s="8">
        <v>13322</v>
      </c>
      <c r="G603" s="2">
        <f t="shared" si="89"/>
        <v>75540.400000000009</v>
      </c>
      <c r="H603" s="3">
        <f t="shared" si="92"/>
        <v>0.31216143944167624</v>
      </c>
      <c r="I603" s="3">
        <f t="shared" si="93"/>
        <v>0.29353299691291018</v>
      </c>
      <c r="J603" s="3">
        <f t="shared" si="94"/>
        <v>0.21794960047868422</v>
      </c>
      <c r="K603" s="3">
        <f t="shared" si="95"/>
        <v>0.1763559631667293</v>
      </c>
      <c r="L603" s="3">
        <f t="shared" si="96"/>
        <v>0.60569443635458642</v>
      </c>
      <c r="M603" s="56">
        <f t="shared" si="97"/>
        <v>0.39430556364541353</v>
      </c>
      <c r="O603" s="8">
        <v>33809</v>
      </c>
      <c r="R603" s="8">
        <v>58461</v>
      </c>
      <c r="S603" s="36"/>
    </row>
    <row r="604" spans="1:19" hidden="1" x14ac:dyDescent="0.25">
      <c r="A604" s="55" t="s">
        <v>7</v>
      </c>
      <c r="B604" s="7">
        <v>45527</v>
      </c>
      <c r="C604" s="36">
        <f t="shared" si="90"/>
        <v>35717.599999999999</v>
      </c>
      <c r="D604" s="8">
        <v>17289</v>
      </c>
      <c r="E604" s="36">
        <f t="shared" si="91"/>
        <v>25630.400000000001</v>
      </c>
      <c r="F604" s="8">
        <v>16440</v>
      </c>
      <c r="G604" s="2">
        <f t="shared" si="89"/>
        <v>95077</v>
      </c>
      <c r="H604" s="3">
        <f t="shared" si="92"/>
        <v>0.37567024622148365</v>
      </c>
      <c r="I604" s="3">
        <f t="shared" si="93"/>
        <v>0.26957518642784273</v>
      </c>
      <c r="J604" s="3">
        <f t="shared" si="94"/>
        <v>0.18184208588828002</v>
      </c>
      <c r="K604" s="3">
        <f t="shared" si="95"/>
        <v>0.17291248146239363</v>
      </c>
      <c r="L604" s="3">
        <f t="shared" si="96"/>
        <v>0.64524543264932632</v>
      </c>
      <c r="M604" s="56">
        <f t="shared" si="97"/>
        <v>0.35475456735067368</v>
      </c>
      <c r="O604" s="8">
        <v>40277</v>
      </c>
      <c r="R604" s="8">
        <v>49350</v>
      </c>
      <c r="S604" s="36"/>
    </row>
    <row r="605" spans="1:19" hidden="1" x14ac:dyDescent="0.25">
      <c r="A605" s="55" t="s">
        <v>30</v>
      </c>
      <c r="B605" s="7">
        <v>45528</v>
      </c>
      <c r="C605" s="36">
        <f t="shared" si="90"/>
        <v>23799.200000000001</v>
      </c>
      <c r="D605" s="8">
        <v>21743</v>
      </c>
      <c r="E605" s="36">
        <f t="shared" si="91"/>
        <v>46960.800000000003</v>
      </c>
      <c r="F605" s="8">
        <v>24636</v>
      </c>
      <c r="G605" s="2">
        <f t="shared" si="89"/>
        <v>117139</v>
      </c>
      <c r="H605" s="3">
        <f t="shared" si="92"/>
        <v>0.20317059220242617</v>
      </c>
      <c r="I605" s="3">
        <f t="shared" si="93"/>
        <v>0.40089807835136038</v>
      </c>
      <c r="J605" s="3">
        <f t="shared" si="94"/>
        <v>0.18561708739190194</v>
      </c>
      <c r="K605" s="3">
        <f t="shared" si="95"/>
        <v>0.21031424205431154</v>
      </c>
      <c r="L605" s="3">
        <f t="shared" si="96"/>
        <v>0.60406867055378655</v>
      </c>
      <c r="M605" s="56">
        <f t="shared" si="97"/>
        <v>0.39593132944621345</v>
      </c>
      <c r="O605" s="8">
        <v>54774</v>
      </c>
      <c r="R605" s="8">
        <v>31222</v>
      </c>
      <c r="S605" s="36"/>
    </row>
    <row r="606" spans="1:19" hidden="1" x14ac:dyDescent="0.25">
      <c r="A606" s="55" t="s">
        <v>31</v>
      </c>
      <c r="B606" s="1">
        <v>45529</v>
      </c>
      <c r="C606" s="36">
        <f t="shared" si="90"/>
        <v>37471.200000000004</v>
      </c>
      <c r="D606" s="2">
        <v>23320</v>
      </c>
      <c r="E606" s="36">
        <f t="shared" si="91"/>
        <v>43968.800000000003</v>
      </c>
      <c r="F606" s="2">
        <v>19235</v>
      </c>
      <c r="G606" s="2">
        <f t="shared" si="89"/>
        <v>123995</v>
      </c>
      <c r="H606" s="3">
        <f t="shared" si="92"/>
        <v>0.30219928222912218</v>
      </c>
      <c r="I606" s="3">
        <f t="shared" si="93"/>
        <v>0.35460139521754913</v>
      </c>
      <c r="J606" s="3">
        <f t="shared" si="94"/>
        <v>0.18807209968143876</v>
      </c>
      <c r="K606" s="3">
        <f t="shared" si="95"/>
        <v>0.15512722287188999</v>
      </c>
      <c r="L606" s="3">
        <f t="shared" si="96"/>
        <v>0.65680067744667125</v>
      </c>
      <c r="M606" s="56">
        <f t="shared" si="97"/>
        <v>0.34319932255332875</v>
      </c>
      <c r="O606" s="8">
        <v>40926</v>
      </c>
      <c r="R606" s="8">
        <v>21198</v>
      </c>
      <c r="S606" s="36"/>
    </row>
    <row r="607" spans="1:19" hidden="1" x14ac:dyDescent="0.25">
      <c r="A607" s="55" t="s">
        <v>129</v>
      </c>
      <c r="B607" s="1">
        <v>45530</v>
      </c>
      <c r="C607" s="36">
        <f t="shared" si="90"/>
        <v>45452</v>
      </c>
      <c r="D607" s="2">
        <v>26604</v>
      </c>
      <c r="E607" s="36">
        <f t="shared" si="91"/>
        <v>48960</v>
      </c>
      <c r="F607" s="2">
        <v>12370</v>
      </c>
      <c r="G607" s="2">
        <f t="shared" si="89"/>
        <v>133386</v>
      </c>
      <c r="H607" s="3">
        <f t="shared" si="92"/>
        <v>0.34075540161636153</v>
      </c>
      <c r="I607" s="3">
        <f t="shared" si="93"/>
        <v>0.36705501326975842</v>
      </c>
      <c r="J607" s="3">
        <f t="shared" si="94"/>
        <v>0.19945121676937611</v>
      </c>
      <c r="K607" s="3">
        <f t="shared" si="95"/>
        <v>9.2738368344503927E-2</v>
      </c>
      <c r="L607" s="3">
        <f t="shared" si="96"/>
        <v>0.70781041488611995</v>
      </c>
      <c r="M607" s="56">
        <f t="shared" si="97"/>
        <v>0.29218958511387999</v>
      </c>
      <c r="O607" s="8">
        <v>29118</v>
      </c>
      <c r="R607" s="8">
        <v>25021</v>
      </c>
      <c r="S607" s="36"/>
    </row>
    <row r="608" spans="1:19" hidden="1" x14ac:dyDescent="0.25">
      <c r="A608" s="55" t="s">
        <v>14</v>
      </c>
      <c r="B608" s="1">
        <v>45531</v>
      </c>
      <c r="C608" s="36">
        <f t="shared" si="90"/>
        <v>35582.400000000001</v>
      </c>
      <c r="D608" s="2">
        <v>26294</v>
      </c>
      <c r="E608" s="36">
        <f t="shared" si="91"/>
        <v>25741.600000000002</v>
      </c>
      <c r="F608" s="2">
        <v>17556</v>
      </c>
      <c r="G608" s="2">
        <f t="shared" si="89"/>
        <v>105174</v>
      </c>
      <c r="H608" s="3">
        <f t="shared" si="92"/>
        <v>0.33831935649495126</v>
      </c>
      <c r="I608" s="3">
        <f t="shared" si="93"/>
        <v>0.24475250537205015</v>
      </c>
      <c r="J608" s="3">
        <f t="shared" si="94"/>
        <v>0.25000475402666056</v>
      </c>
      <c r="K608" s="3">
        <f t="shared" si="95"/>
        <v>0.16692338410633806</v>
      </c>
      <c r="L608" s="3">
        <f t="shared" si="96"/>
        <v>0.58307186186700133</v>
      </c>
      <c r="M608" s="56">
        <f t="shared" si="97"/>
        <v>0.41692813813299867</v>
      </c>
      <c r="O608" s="8">
        <v>23986</v>
      </c>
      <c r="R608" s="8">
        <v>37921</v>
      </c>
      <c r="S608" s="36"/>
    </row>
    <row r="609" spans="1:19" hidden="1" x14ac:dyDescent="0.25">
      <c r="A609" s="55" t="s">
        <v>21</v>
      </c>
      <c r="B609" s="1">
        <v>45532</v>
      </c>
      <c r="C609" s="36">
        <f t="shared" si="90"/>
        <v>28058.400000000001</v>
      </c>
      <c r="D609" s="2">
        <v>14935</v>
      </c>
      <c r="E609" s="36">
        <f t="shared" si="91"/>
        <v>16633.600000000002</v>
      </c>
      <c r="F609" s="2">
        <v>13844</v>
      </c>
      <c r="G609" s="2">
        <f t="shared" si="89"/>
        <v>73471</v>
      </c>
      <c r="H609" s="3">
        <f t="shared" si="92"/>
        <v>0.3818976194689061</v>
      </c>
      <c r="I609" s="3">
        <f t="shared" si="93"/>
        <v>0.22639680962556658</v>
      </c>
      <c r="J609" s="3">
        <f t="shared" si="94"/>
        <v>0.20327748363299805</v>
      </c>
      <c r="K609" s="3">
        <f t="shared" si="95"/>
        <v>0.1884280872725293</v>
      </c>
      <c r="L609" s="3">
        <f t="shared" si="96"/>
        <v>0.60829442909447262</v>
      </c>
      <c r="M609" s="56">
        <f t="shared" si="97"/>
        <v>0.39170557090552738</v>
      </c>
      <c r="O609" s="8">
        <v>45480</v>
      </c>
      <c r="R609" s="8">
        <v>41660</v>
      </c>
      <c r="S609" s="36"/>
    </row>
    <row r="610" spans="1:19" x14ac:dyDescent="0.25">
      <c r="A610" s="55" t="s">
        <v>26</v>
      </c>
      <c r="B610" s="1">
        <v>45533</v>
      </c>
      <c r="C610" s="36">
        <f t="shared" si="90"/>
        <v>25621.600000000002</v>
      </c>
      <c r="D610" s="2">
        <v>11670</v>
      </c>
      <c r="E610" s="36">
        <f t="shared" si="91"/>
        <v>15267.2</v>
      </c>
      <c r="F610" s="2">
        <v>13141</v>
      </c>
      <c r="G610" s="2">
        <f t="shared" si="89"/>
        <v>65699.8</v>
      </c>
      <c r="H610" s="3">
        <f t="shared" si="92"/>
        <v>0.38997987817314517</v>
      </c>
      <c r="I610" s="3">
        <f t="shared" si="93"/>
        <v>0.23237818075549696</v>
      </c>
      <c r="J610" s="3">
        <f t="shared" si="94"/>
        <v>0.17762611149501215</v>
      </c>
      <c r="K610" s="3">
        <f t="shared" si="95"/>
        <v>0.20001582957634573</v>
      </c>
      <c r="L610" s="3">
        <f t="shared" si="96"/>
        <v>0.62235805892864215</v>
      </c>
      <c r="M610" s="56">
        <f t="shared" si="97"/>
        <v>0.3776419410713579</v>
      </c>
      <c r="O610" s="8">
        <v>27985</v>
      </c>
      <c r="R610" s="8">
        <v>56398</v>
      </c>
      <c r="S610" s="36"/>
    </row>
    <row r="611" spans="1:19" hidden="1" x14ac:dyDescent="0.25">
      <c r="A611" s="55" t="s">
        <v>7</v>
      </c>
      <c r="B611" s="1">
        <v>45534</v>
      </c>
      <c r="C611" s="36">
        <f t="shared" si="90"/>
        <v>33228.800000000003</v>
      </c>
      <c r="D611" s="2">
        <v>20782</v>
      </c>
      <c r="E611" s="36">
        <f t="shared" si="91"/>
        <v>32140</v>
      </c>
      <c r="F611" s="2">
        <v>10866</v>
      </c>
      <c r="G611" s="2">
        <f t="shared" si="89"/>
        <v>97016.8</v>
      </c>
      <c r="H611" s="3">
        <f t="shared" si="92"/>
        <v>0.34250562789125183</v>
      </c>
      <c r="I611" s="3">
        <f t="shared" si="93"/>
        <v>0.33128282936563563</v>
      </c>
      <c r="J611" s="3">
        <f t="shared" si="94"/>
        <v>0.21421032233592532</v>
      </c>
      <c r="K611" s="3">
        <f t="shared" si="95"/>
        <v>0.1120012204071872</v>
      </c>
      <c r="L611" s="3">
        <f t="shared" si="96"/>
        <v>0.67378845725688752</v>
      </c>
      <c r="M611" s="56">
        <f t="shared" si="97"/>
        <v>0.32621154274311254</v>
      </c>
      <c r="O611" s="8">
        <v>33804</v>
      </c>
      <c r="R611" s="8">
        <v>50901</v>
      </c>
      <c r="S611" s="36"/>
    </row>
    <row r="612" spans="1:19" hidden="1" x14ac:dyDescent="0.25">
      <c r="A612" s="55" t="s">
        <v>30</v>
      </c>
      <c r="B612" s="1">
        <v>45535</v>
      </c>
      <c r="C612" s="36">
        <f t="shared" si="90"/>
        <v>35051.200000000004</v>
      </c>
      <c r="D612" s="2">
        <v>21585</v>
      </c>
      <c r="E612" s="36">
        <f t="shared" si="91"/>
        <v>32908</v>
      </c>
      <c r="F612" s="2">
        <v>14643</v>
      </c>
      <c r="G612" s="2">
        <f t="shared" si="89"/>
        <v>104187.20000000001</v>
      </c>
      <c r="H612" s="3">
        <f t="shared" si="92"/>
        <v>0.33642520386381436</v>
      </c>
      <c r="I612" s="3">
        <f t="shared" si="93"/>
        <v>0.31585453875332092</v>
      </c>
      <c r="J612" s="3">
        <f t="shared" si="94"/>
        <v>0.20717516163213906</v>
      </c>
      <c r="K612" s="3">
        <f t="shared" si="95"/>
        <v>0.1405450957507256</v>
      </c>
      <c r="L612" s="3">
        <f t="shared" si="96"/>
        <v>0.65227974261713539</v>
      </c>
      <c r="M612" s="56">
        <f t="shared" si="97"/>
        <v>0.34772025738286466</v>
      </c>
      <c r="O612" s="8">
        <v>48377</v>
      </c>
      <c r="R612" s="8">
        <v>27682</v>
      </c>
      <c r="S612" s="36"/>
    </row>
    <row r="613" spans="1:19" hidden="1" x14ac:dyDescent="0.25">
      <c r="A613" s="55" t="s">
        <v>31</v>
      </c>
      <c r="B613" s="1">
        <v>45536</v>
      </c>
      <c r="C613" s="36">
        <f t="shared" si="90"/>
        <v>21912</v>
      </c>
      <c r="D613" s="2">
        <v>27133</v>
      </c>
      <c r="E613" s="36">
        <f t="shared" si="91"/>
        <v>32264</v>
      </c>
      <c r="F613" s="2">
        <v>23191</v>
      </c>
      <c r="G613" s="2">
        <f t="shared" si="89"/>
        <v>104500</v>
      </c>
      <c r="H613" s="3">
        <f t="shared" si="92"/>
        <v>0.20968421052631578</v>
      </c>
      <c r="I613" s="3">
        <f t="shared" si="93"/>
        <v>0.3087464114832536</v>
      </c>
      <c r="J613" s="3">
        <f t="shared" si="94"/>
        <v>0.25964593301435407</v>
      </c>
      <c r="K613" s="3">
        <f t="shared" si="95"/>
        <v>0.22192344497607655</v>
      </c>
      <c r="L613" s="3">
        <f t="shared" si="96"/>
        <v>0.51843062200956935</v>
      </c>
      <c r="M613" s="56">
        <f t="shared" si="97"/>
        <v>0.48156937799043065</v>
      </c>
      <c r="O613" s="8">
        <v>39936</v>
      </c>
      <c r="R613" s="8">
        <v>38587</v>
      </c>
      <c r="S613" s="36"/>
    </row>
    <row r="614" spans="1:19" hidden="1" x14ac:dyDescent="0.25">
      <c r="A614" s="55" t="s">
        <v>129</v>
      </c>
      <c r="B614" s="1">
        <v>45537</v>
      </c>
      <c r="C614" s="36">
        <f t="shared" si="90"/>
        <v>31532</v>
      </c>
      <c r="D614" s="2">
        <v>23020</v>
      </c>
      <c r="E614" s="36">
        <f t="shared" si="91"/>
        <v>37543.200000000004</v>
      </c>
      <c r="F614" s="2">
        <v>19165</v>
      </c>
      <c r="G614" s="2">
        <f t="shared" si="89"/>
        <v>111260.20000000001</v>
      </c>
      <c r="H614" s="3">
        <f t="shared" si="92"/>
        <v>0.28340772351658544</v>
      </c>
      <c r="I614" s="3">
        <f t="shared" si="93"/>
        <v>0.33743602833717717</v>
      </c>
      <c r="J614" s="3">
        <f t="shared" si="94"/>
        <v>0.20690237838867806</v>
      </c>
      <c r="K614" s="3">
        <f t="shared" si="95"/>
        <v>0.1722538697575593</v>
      </c>
      <c r="L614" s="3">
        <f t="shared" si="96"/>
        <v>0.62084375185376262</v>
      </c>
      <c r="M614" s="56">
        <f t="shared" si="97"/>
        <v>0.37915624814623733</v>
      </c>
      <c r="O614" s="8">
        <v>38304</v>
      </c>
      <c r="R614" s="8">
        <v>32227</v>
      </c>
      <c r="S614" s="36"/>
    </row>
    <row r="615" spans="1:19" hidden="1" x14ac:dyDescent="0.25">
      <c r="A615" s="55" t="s">
        <v>14</v>
      </c>
      <c r="B615" s="1">
        <v>45538</v>
      </c>
      <c r="C615" s="36">
        <f t="shared" si="90"/>
        <v>37740.800000000003</v>
      </c>
      <c r="D615" s="2">
        <v>24461</v>
      </c>
      <c r="E615" s="36">
        <f t="shared" si="91"/>
        <v>24367.200000000001</v>
      </c>
      <c r="F615" s="2">
        <v>12920</v>
      </c>
      <c r="G615" s="2">
        <f t="shared" si="89"/>
        <v>99489</v>
      </c>
      <c r="H615" s="3">
        <f t="shared" si="92"/>
        <v>0.37934646041270897</v>
      </c>
      <c r="I615" s="3">
        <f t="shared" si="93"/>
        <v>0.24492355938847513</v>
      </c>
      <c r="J615" s="3">
        <f t="shared" si="94"/>
        <v>0.24586637718742776</v>
      </c>
      <c r="K615" s="3">
        <f t="shared" si="95"/>
        <v>0.12986360301138819</v>
      </c>
      <c r="L615" s="3">
        <f t="shared" si="96"/>
        <v>0.62427001980118402</v>
      </c>
      <c r="M615" s="56">
        <f t="shared" si="97"/>
        <v>0.37572998019881593</v>
      </c>
      <c r="O615" s="8">
        <v>51376</v>
      </c>
      <c r="R615" s="8">
        <v>32382</v>
      </c>
      <c r="S615" s="36"/>
    </row>
    <row r="616" spans="1:19" hidden="1" x14ac:dyDescent="0.25">
      <c r="A616" s="55" t="s">
        <v>21</v>
      </c>
      <c r="B616" s="1">
        <v>45539</v>
      </c>
      <c r="C616" s="36">
        <f t="shared" si="90"/>
        <v>24960.800000000003</v>
      </c>
      <c r="D616" s="2">
        <v>1159</v>
      </c>
      <c r="E616" s="36">
        <f t="shared" si="91"/>
        <v>28586.400000000001</v>
      </c>
      <c r="F616" s="2">
        <v>10693</v>
      </c>
      <c r="G616" s="2">
        <f t="shared" si="89"/>
        <v>65399.200000000004</v>
      </c>
      <c r="H616" s="3">
        <f t="shared" si="92"/>
        <v>0.38166827728779557</v>
      </c>
      <c r="I616" s="3">
        <f t="shared" si="93"/>
        <v>0.43710626429681099</v>
      </c>
      <c r="J616" s="3">
        <f t="shared" si="94"/>
        <v>1.7721929320236331E-2</v>
      </c>
      <c r="K616" s="3">
        <f t="shared" si="95"/>
        <v>0.16350352909515711</v>
      </c>
      <c r="L616" s="3">
        <f t="shared" si="96"/>
        <v>0.8187745415846065</v>
      </c>
      <c r="M616" s="56">
        <f t="shared" si="97"/>
        <v>0.18122545841539345</v>
      </c>
      <c r="O616" s="8">
        <v>47477</v>
      </c>
      <c r="R616" s="8">
        <v>44539</v>
      </c>
      <c r="S616" s="36"/>
    </row>
    <row r="617" spans="1:19" x14ac:dyDescent="0.25">
      <c r="A617" s="55" t="s">
        <v>26</v>
      </c>
      <c r="B617" s="1">
        <v>45540</v>
      </c>
      <c r="C617" s="36">
        <f t="shared" si="90"/>
        <v>15805.6</v>
      </c>
      <c r="D617" s="2">
        <v>12738</v>
      </c>
      <c r="E617" s="36">
        <f t="shared" si="91"/>
        <v>26514.400000000001</v>
      </c>
      <c r="F617" s="2">
        <v>12637</v>
      </c>
      <c r="G617" s="2">
        <f t="shared" si="89"/>
        <v>67695</v>
      </c>
      <c r="H617" s="3">
        <f t="shared" si="92"/>
        <v>0.23348253194475221</v>
      </c>
      <c r="I617" s="3">
        <f t="shared" si="93"/>
        <v>0.3916744220400325</v>
      </c>
      <c r="J617" s="3">
        <f t="shared" si="94"/>
        <v>0.18816751606470197</v>
      </c>
      <c r="K617" s="3">
        <f t="shared" si="95"/>
        <v>0.18667552995051334</v>
      </c>
      <c r="L617" s="3">
        <f t="shared" si="96"/>
        <v>0.62515695398478466</v>
      </c>
      <c r="M617" s="56">
        <f t="shared" si="97"/>
        <v>0.37484304601521529</v>
      </c>
      <c r="O617" s="8">
        <v>41442</v>
      </c>
      <c r="R617" s="8">
        <v>45930</v>
      </c>
      <c r="S617" s="36"/>
    </row>
    <row r="618" spans="1:19" hidden="1" x14ac:dyDescent="0.25">
      <c r="A618" s="55" t="s">
        <v>7</v>
      </c>
      <c r="B618" s="1">
        <v>45541</v>
      </c>
      <c r="C618" s="36">
        <f t="shared" si="90"/>
        <v>31393.600000000002</v>
      </c>
      <c r="D618" s="2">
        <v>18424</v>
      </c>
      <c r="E618" s="36">
        <f t="shared" si="91"/>
        <v>29870.400000000001</v>
      </c>
      <c r="F618" s="2">
        <v>14054</v>
      </c>
      <c r="G618" s="2">
        <f t="shared" si="89"/>
        <v>93742</v>
      </c>
      <c r="H618" s="3">
        <f t="shared" si="92"/>
        <v>0.33489364425764334</v>
      </c>
      <c r="I618" s="3">
        <f t="shared" si="93"/>
        <v>0.31864479102216725</v>
      </c>
      <c r="J618" s="3">
        <f t="shared" si="94"/>
        <v>0.1965394380320454</v>
      </c>
      <c r="K618" s="3">
        <f t="shared" si="95"/>
        <v>0.14992212668814406</v>
      </c>
      <c r="L618" s="3">
        <f t="shared" si="96"/>
        <v>0.65353843527981059</v>
      </c>
      <c r="M618" s="56">
        <f t="shared" si="97"/>
        <v>0.34646156472018946</v>
      </c>
      <c r="O618" s="8">
        <v>54528</v>
      </c>
      <c r="R618" s="8">
        <v>58560</v>
      </c>
      <c r="S618" s="36"/>
    </row>
    <row r="619" spans="1:19" hidden="1" x14ac:dyDescent="0.25">
      <c r="A619" s="55" t="s">
        <v>30</v>
      </c>
      <c r="B619" s="1">
        <v>45542</v>
      </c>
      <c r="C619" s="36">
        <f t="shared" si="90"/>
        <v>38597.599999999999</v>
      </c>
      <c r="D619" s="2">
        <v>22635</v>
      </c>
      <c r="E619" s="36">
        <f t="shared" si="91"/>
        <v>26455.200000000001</v>
      </c>
      <c r="F619" s="2">
        <v>18682</v>
      </c>
      <c r="G619" s="2">
        <f t="shared" si="89"/>
        <v>106369.8</v>
      </c>
      <c r="H619" s="3">
        <f t="shared" si="92"/>
        <v>0.36286239139304577</v>
      </c>
      <c r="I619" s="3">
        <f t="shared" si="93"/>
        <v>0.24870969015641659</v>
      </c>
      <c r="J619" s="3">
        <f t="shared" si="94"/>
        <v>0.21279536108933175</v>
      </c>
      <c r="K619" s="3">
        <f t="shared" si="95"/>
        <v>0.17563255736120589</v>
      </c>
      <c r="L619" s="3">
        <f t="shared" si="96"/>
        <v>0.61157208154946241</v>
      </c>
      <c r="M619" s="56">
        <f t="shared" si="97"/>
        <v>0.38842791845053765</v>
      </c>
      <c r="O619" s="8">
        <v>58459</v>
      </c>
      <c r="R619" s="8">
        <v>36364</v>
      </c>
      <c r="S619" s="36"/>
    </row>
    <row r="620" spans="1:19" hidden="1" x14ac:dyDescent="0.25">
      <c r="A620" s="55" t="s">
        <v>31</v>
      </c>
      <c r="B620" s="1">
        <v>45543</v>
      </c>
      <c r="C620" s="36">
        <f t="shared" si="90"/>
        <v>32051.200000000001</v>
      </c>
      <c r="D620" s="2">
        <v>24344</v>
      </c>
      <c r="E620" s="36">
        <f t="shared" si="91"/>
        <v>25150.400000000001</v>
      </c>
      <c r="F620" s="2">
        <v>23736</v>
      </c>
      <c r="G620" s="2">
        <f t="shared" si="89"/>
        <v>105281.60000000001</v>
      </c>
      <c r="H620" s="3">
        <f t="shared" si="92"/>
        <v>0.30443306332730502</v>
      </c>
      <c r="I620" s="3">
        <f t="shared" si="93"/>
        <v>0.2388869470068844</v>
      </c>
      <c r="J620" s="3">
        <f t="shared" si="94"/>
        <v>0.23122748894393702</v>
      </c>
      <c r="K620" s="3">
        <f t="shared" si="95"/>
        <v>0.22545250072187351</v>
      </c>
      <c r="L620" s="3">
        <f t="shared" si="96"/>
        <v>0.54332001033418953</v>
      </c>
      <c r="M620" s="56">
        <f t="shared" si="97"/>
        <v>0.45667998966581053</v>
      </c>
      <c r="O620" s="8">
        <v>57545</v>
      </c>
      <c r="R620" s="8">
        <v>40526</v>
      </c>
      <c r="S620" s="36"/>
    </row>
    <row r="621" spans="1:19" hidden="1" x14ac:dyDescent="0.25">
      <c r="A621" s="55" t="s">
        <v>129</v>
      </c>
      <c r="B621" s="1">
        <v>45544</v>
      </c>
      <c r="C621" s="36">
        <f t="shared" si="90"/>
        <v>34453.599999999999</v>
      </c>
      <c r="D621" s="2">
        <v>21236</v>
      </c>
      <c r="E621" s="36">
        <f t="shared" si="91"/>
        <v>41961.600000000006</v>
      </c>
      <c r="F621" s="2">
        <v>13438</v>
      </c>
      <c r="G621" s="2">
        <f t="shared" si="89"/>
        <v>111089.20000000001</v>
      </c>
      <c r="H621" s="3">
        <f t="shared" si="92"/>
        <v>0.3101435603100931</v>
      </c>
      <c r="I621" s="3">
        <f t="shared" si="93"/>
        <v>0.3777288881367406</v>
      </c>
      <c r="J621" s="3">
        <f t="shared" si="94"/>
        <v>0.19116169708666547</v>
      </c>
      <c r="K621" s="3">
        <f t="shared" si="95"/>
        <v>0.12096585446650078</v>
      </c>
      <c r="L621" s="3">
        <f t="shared" si="96"/>
        <v>0.68787244844683371</v>
      </c>
      <c r="M621" s="56">
        <f t="shared" si="97"/>
        <v>0.31212755155316624</v>
      </c>
      <c r="O621" s="8">
        <v>42694</v>
      </c>
      <c r="R621" s="8">
        <v>28980</v>
      </c>
      <c r="S621" s="36"/>
    </row>
    <row r="622" spans="1:19" hidden="1" x14ac:dyDescent="0.25">
      <c r="A622" s="55" t="s">
        <v>14</v>
      </c>
      <c r="B622" s="1">
        <v>45545</v>
      </c>
      <c r="C622" s="36">
        <f t="shared" si="90"/>
        <v>40410.400000000001</v>
      </c>
      <c r="D622" s="2">
        <v>20984</v>
      </c>
      <c r="E622" s="36">
        <f t="shared" si="91"/>
        <v>17465.600000000002</v>
      </c>
      <c r="F622" s="2">
        <v>15591</v>
      </c>
      <c r="G622" s="2">
        <f t="shared" si="89"/>
        <v>94451</v>
      </c>
      <c r="H622" s="3">
        <f t="shared" si="92"/>
        <v>0.42784512604419223</v>
      </c>
      <c r="I622" s="3">
        <f t="shared" si="93"/>
        <v>0.18491704693438929</v>
      </c>
      <c r="J622" s="3">
        <f t="shared" si="94"/>
        <v>0.22216810833130407</v>
      </c>
      <c r="K622" s="3">
        <f t="shared" si="95"/>
        <v>0.16506971869011444</v>
      </c>
      <c r="L622" s="3">
        <f t="shared" si="96"/>
        <v>0.61276217297858149</v>
      </c>
      <c r="M622" s="56">
        <f t="shared" si="97"/>
        <v>0.38723782702141851</v>
      </c>
      <c r="O622" s="8">
        <v>43638</v>
      </c>
      <c r="R622" s="8">
        <v>34294</v>
      </c>
      <c r="S622" s="36"/>
    </row>
    <row r="623" spans="1:19" hidden="1" x14ac:dyDescent="0.25">
      <c r="A623" s="55" t="s">
        <v>21</v>
      </c>
      <c r="B623" s="1">
        <v>45546</v>
      </c>
      <c r="C623" s="36">
        <f t="shared" si="90"/>
        <v>23224</v>
      </c>
      <c r="D623" s="2">
        <v>13264</v>
      </c>
      <c r="E623" s="36">
        <f t="shared" si="91"/>
        <v>27666.400000000001</v>
      </c>
      <c r="F623" s="2">
        <v>11044</v>
      </c>
      <c r="G623" s="2">
        <f t="shared" si="89"/>
        <v>75198.399999999994</v>
      </c>
      <c r="H623" s="3">
        <f t="shared" si="92"/>
        <v>0.30883635822038769</v>
      </c>
      <c r="I623" s="3">
        <f t="shared" si="93"/>
        <v>0.36791208323581359</v>
      </c>
      <c r="J623" s="3">
        <f t="shared" si="94"/>
        <v>0.17638673163258795</v>
      </c>
      <c r="K623" s="3">
        <f t="shared" si="95"/>
        <v>0.14686482691121089</v>
      </c>
      <c r="L623" s="3">
        <f t="shared" si="96"/>
        <v>0.67674844145620128</v>
      </c>
      <c r="M623" s="56">
        <f t="shared" si="97"/>
        <v>0.32325155854379883</v>
      </c>
      <c r="O623" s="8">
        <v>34446</v>
      </c>
      <c r="R623" s="8">
        <v>57181</v>
      </c>
      <c r="S623" s="36"/>
    </row>
    <row r="624" spans="1:19" x14ac:dyDescent="0.25">
      <c r="A624" s="55" t="s">
        <v>26</v>
      </c>
      <c r="B624" s="1">
        <v>45547</v>
      </c>
      <c r="C624" s="36">
        <f t="shared" si="90"/>
        <v>26773.600000000002</v>
      </c>
      <c r="D624" s="2">
        <v>13335</v>
      </c>
      <c r="E624" s="36">
        <f t="shared" si="91"/>
        <v>23487.200000000001</v>
      </c>
      <c r="F624" s="2">
        <v>6200</v>
      </c>
      <c r="G624" s="2">
        <f t="shared" si="89"/>
        <v>69795.8</v>
      </c>
      <c r="H624" s="3">
        <f t="shared" si="92"/>
        <v>0.38359901312113337</v>
      </c>
      <c r="I624" s="3">
        <f t="shared" si="93"/>
        <v>0.33651308531458912</v>
      </c>
      <c r="J624" s="3">
        <f t="shared" si="94"/>
        <v>0.19105734155923421</v>
      </c>
      <c r="K624" s="3">
        <f t="shared" si="95"/>
        <v>8.8830560005043274E-2</v>
      </c>
      <c r="L624" s="3">
        <f t="shared" si="96"/>
        <v>0.72011209843572255</v>
      </c>
      <c r="M624" s="56">
        <f t="shared" si="97"/>
        <v>0.27988790156427751</v>
      </c>
      <c r="O624" s="8">
        <v>52150</v>
      </c>
      <c r="R624" s="8">
        <v>44214</v>
      </c>
      <c r="S624" s="36"/>
    </row>
    <row r="625" spans="1:19" hidden="1" x14ac:dyDescent="0.25">
      <c r="A625" s="55" t="s">
        <v>7</v>
      </c>
      <c r="B625" s="1">
        <v>45548</v>
      </c>
      <c r="C625" s="36">
        <f t="shared" si="90"/>
        <v>26960</v>
      </c>
      <c r="D625" s="2">
        <v>22431</v>
      </c>
      <c r="E625" s="36">
        <f t="shared" si="91"/>
        <v>32060</v>
      </c>
      <c r="F625" s="2">
        <v>14092</v>
      </c>
      <c r="G625" s="2">
        <f t="shared" si="89"/>
        <v>95543</v>
      </c>
      <c r="H625" s="3">
        <f t="shared" si="92"/>
        <v>0.28217661157803292</v>
      </c>
      <c r="I625" s="3">
        <f t="shared" si="93"/>
        <v>0.33555571836764597</v>
      </c>
      <c r="J625" s="3">
        <f t="shared" si="94"/>
        <v>0.23477387145055106</v>
      </c>
      <c r="K625" s="3">
        <f t="shared" si="95"/>
        <v>0.14749379860377004</v>
      </c>
      <c r="L625" s="3">
        <f t="shared" si="96"/>
        <v>0.61773232994567895</v>
      </c>
      <c r="M625" s="56">
        <f t="shared" si="97"/>
        <v>0.38226767005432111</v>
      </c>
      <c r="O625" s="8">
        <v>59776</v>
      </c>
      <c r="R625" s="8">
        <v>45795</v>
      </c>
      <c r="S625" s="36"/>
    </row>
    <row r="626" spans="1:19" hidden="1" x14ac:dyDescent="0.25">
      <c r="A626" s="55" t="s">
        <v>30</v>
      </c>
      <c r="B626" s="1">
        <v>45549</v>
      </c>
      <c r="C626" s="36">
        <f t="shared" si="90"/>
        <v>34338.400000000001</v>
      </c>
      <c r="D626" s="2">
        <v>24605</v>
      </c>
      <c r="E626" s="36">
        <f t="shared" si="91"/>
        <v>37947.200000000004</v>
      </c>
      <c r="F626" s="2">
        <v>18985</v>
      </c>
      <c r="G626" s="2">
        <f t="shared" si="89"/>
        <v>115875.6</v>
      </c>
      <c r="H626" s="3">
        <f t="shared" si="92"/>
        <v>0.2963384871362047</v>
      </c>
      <c r="I626" s="3">
        <f t="shared" si="93"/>
        <v>0.32748223094421952</v>
      </c>
      <c r="J626" s="3">
        <f t="shared" si="94"/>
        <v>0.21233978507986151</v>
      </c>
      <c r="K626" s="3">
        <f t="shared" si="95"/>
        <v>0.1638394968397143</v>
      </c>
      <c r="L626" s="3">
        <f t="shared" si="96"/>
        <v>0.62382071808042416</v>
      </c>
      <c r="M626" s="56">
        <f t="shared" si="97"/>
        <v>0.37617928191957578</v>
      </c>
      <c r="O626" s="8">
        <v>49984</v>
      </c>
      <c r="R626" s="8">
        <v>29029</v>
      </c>
      <c r="S626" s="36"/>
    </row>
    <row r="627" spans="1:19" hidden="1" x14ac:dyDescent="0.25">
      <c r="A627" s="55" t="s">
        <v>31</v>
      </c>
      <c r="B627" s="1">
        <v>45550</v>
      </c>
      <c r="C627" s="36">
        <f t="shared" si="90"/>
        <v>30090.400000000001</v>
      </c>
      <c r="D627" s="2">
        <v>23523</v>
      </c>
      <c r="E627" s="36">
        <f t="shared" si="91"/>
        <v>40578.400000000001</v>
      </c>
      <c r="F627" s="2">
        <v>16854</v>
      </c>
      <c r="G627" s="2">
        <f t="shared" si="89"/>
        <v>111045.8</v>
      </c>
      <c r="H627" s="3">
        <f t="shared" si="92"/>
        <v>0.27097287785760471</v>
      </c>
      <c r="I627" s="3">
        <f t="shared" si="93"/>
        <v>0.36542039410765648</v>
      </c>
      <c r="J627" s="3">
        <f t="shared" si="94"/>
        <v>0.21183151456426086</v>
      </c>
      <c r="K627" s="3">
        <f t="shared" si="95"/>
        <v>0.15177521347047795</v>
      </c>
      <c r="L627" s="3">
        <f t="shared" si="96"/>
        <v>0.63639327196526119</v>
      </c>
      <c r="M627" s="56">
        <f t="shared" si="97"/>
        <v>0.36360672803473881</v>
      </c>
      <c r="O627" s="8">
        <v>40817</v>
      </c>
      <c r="R627" s="8">
        <v>20756</v>
      </c>
      <c r="S627" s="36"/>
    </row>
    <row r="628" spans="1:19" hidden="1" x14ac:dyDescent="0.25">
      <c r="A628" s="55" t="s">
        <v>129</v>
      </c>
      <c r="B628" s="1">
        <v>45551</v>
      </c>
      <c r="C628" s="36">
        <f t="shared" si="90"/>
        <v>35375.200000000004</v>
      </c>
      <c r="D628" s="2">
        <v>25397</v>
      </c>
      <c r="E628" s="36">
        <f t="shared" si="91"/>
        <v>47072.800000000003</v>
      </c>
      <c r="F628" s="2">
        <v>16374</v>
      </c>
      <c r="G628" s="2">
        <f t="shared" si="89"/>
        <v>124219</v>
      </c>
      <c r="H628" s="3">
        <f t="shared" si="92"/>
        <v>0.2847809111327575</v>
      </c>
      <c r="I628" s="3">
        <f t="shared" si="93"/>
        <v>0.37895008010046777</v>
      </c>
      <c r="J628" s="3">
        <f t="shared" si="94"/>
        <v>0.20445342499939623</v>
      </c>
      <c r="K628" s="3">
        <f t="shared" si="95"/>
        <v>0.13181558376737859</v>
      </c>
      <c r="L628" s="3">
        <f t="shared" si="96"/>
        <v>0.66373099123322521</v>
      </c>
      <c r="M628" s="56">
        <f t="shared" si="97"/>
        <v>0.33626900876677479</v>
      </c>
      <c r="O628" s="8">
        <v>29476</v>
      </c>
      <c r="R628" s="8">
        <v>27717</v>
      </c>
      <c r="S628" s="36"/>
    </row>
    <row r="629" spans="1:19" hidden="1" x14ac:dyDescent="0.25">
      <c r="A629" s="55" t="s">
        <v>14</v>
      </c>
      <c r="B629" s="1">
        <v>45552</v>
      </c>
      <c r="C629" s="36">
        <f t="shared" si="90"/>
        <v>45327.200000000004</v>
      </c>
      <c r="D629" s="2">
        <v>26283</v>
      </c>
      <c r="E629" s="36">
        <f t="shared" si="91"/>
        <v>23772.800000000003</v>
      </c>
      <c r="F629" s="2">
        <v>14207</v>
      </c>
      <c r="G629" s="2">
        <f t="shared" si="89"/>
        <v>109590.00000000001</v>
      </c>
      <c r="H629" s="3">
        <f t="shared" si="92"/>
        <v>0.41360708093804177</v>
      </c>
      <c r="I629" s="3">
        <f t="shared" si="93"/>
        <v>0.21692490190710831</v>
      </c>
      <c r="J629" s="3">
        <f t="shared" si="94"/>
        <v>0.23983027648508073</v>
      </c>
      <c r="K629" s="3">
        <f t="shared" si="95"/>
        <v>0.12963774066976913</v>
      </c>
      <c r="L629" s="3">
        <f t="shared" si="96"/>
        <v>0.63053198284515</v>
      </c>
      <c r="M629" s="56">
        <f t="shared" si="97"/>
        <v>0.36946801715484984</v>
      </c>
      <c r="O629" s="8">
        <v>44647</v>
      </c>
      <c r="R629" s="8">
        <v>32038</v>
      </c>
      <c r="S629" s="36"/>
    </row>
    <row r="630" spans="1:19" hidden="1" x14ac:dyDescent="0.25">
      <c r="A630" s="55" t="s">
        <v>21</v>
      </c>
      <c r="B630" s="1">
        <v>45553</v>
      </c>
      <c r="C630" s="36">
        <f t="shared" si="90"/>
        <v>37182.400000000001</v>
      </c>
      <c r="D630" s="2">
        <v>15351</v>
      </c>
      <c r="E630" s="36">
        <f t="shared" si="91"/>
        <v>21973.600000000002</v>
      </c>
      <c r="F630" s="2">
        <v>16800</v>
      </c>
      <c r="G630" s="2">
        <f t="shared" si="89"/>
        <v>91307</v>
      </c>
      <c r="H630" s="3">
        <f t="shared" si="92"/>
        <v>0.40722398063675297</v>
      </c>
      <c r="I630" s="3">
        <f t="shared" si="93"/>
        <v>0.24065624760423629</v>
      </c>
      <c r="J630" s="3">
        <f t="shared" si="94"/>
        <v>0.16812511636566746</v>
      </c>
      <c r="K630" s="3">
        <f t="shared" si="95"/>
        <v>0.18399465539334334</v>
      </c>
      <c r="L630" s="3">
        <f t="shared" si="96"/>
        <v>0.64788022824098923</v>
      </c>
      <c r="M630" s="56">
        <f t="shared" si="97"/>
        <v>0.35211977175901082</v>
      </c>
      <c r="O630" s="8">
        <v>29749</v>
      </c>
      <c r="R630" s="8">
        <v>58701</v>
      </c>
      <c r="S630" s="36"/>
    </row>
    <row r="631" spans="1:19" x14ac:dyDescent="0.25">
      <c r="A631" s="55" t="s">
        <v>26</v>
      </c>
      <c r="B631" s="1">
        <v>45554</v>
      </c>
      <c r="C631" s="36">
        <f t="shared" si="90"/>
        <v>34217.599999999999</v>
      </c>
      <c r="D631" s="2">
        <v>13265</v>
      </c>
      <c r="E631" s="36">
        <f t="shared" si="91"/>
        <v>17096.8</v>
      </c>
      <c r="F631" s="2">
        <v>11513</v>
      </c>
      <c r="G631" s="2">
        <f t="shared" si="89"/>
        <v>76092.399999999994</v>
      </c>
      <c r="H631" s="3">
        <f t="shared" si="92"/>
        <v>0.44968485683195697</v>
      </c>
      <c r="I631" s="3">
        <f t="shared" si="93"/>
        <v>0.22468472541278761</v>
      </c>
      <c r="J631" s="3">
        <f t="shared" si="94"/>
        <v>0.17432752811056032</v>
      </c>
      <c r="K631" s="3">
        <f t="shared" si="95"/>
        <v>0.15130288964469515</v>
      </c>
      <c r="L631" s="3">
        <f t="shared" si="96"/>
        <v>0.67436958224474453</v>
      </c>
      <c r="M631" s="56">
        <f t="shared" si="97"/>
        <v>0.32563041775525547</v>
      </c>
      <c r="O631" s="2">
        <v>46839</v>
      </c>
      <c r="R631" s="2">
        <v>54961</v>
      </c>
      <c r="S631" s="36"/>
    </row>
    <row r="632" spans="1:19" hidden="1" x14ac:dyDescent="0.25">
      <c r="A632" s="55" t="s">
        <v>7</v>
      </c>
      <c r="B632" s="1">
        <v>45555</v>
      </c>
      <c r="C632" s="36">
        <f t="shared" si="90"/>
        <v>30905.600000000002</v>
      </c>
      <c r="D632" s="2">
        <v>22966</v>
      </c>
      <c r="E632" s="36">
        <f t="shared" si="91"/>
        <v>31753.600000000002</v>
      </c>
      <c r="F632" s="2">
        <v>13088</v>
      </c>
      <c r="G632" s="2">
        <f t="shared" si="89"/>
        <v>98713.200000000012</v>
      </c>
      <c r="H632" s="3">
        <f t="shared" si="92"/>
        <v>0.31308477488319697</v>
      </c>
      <c r="I632" s="3">
        <f t="shared" si="93"/>
        <v>0.32167531799192001</v>
      </c>
      <c r="J632" s="3">
        <f t="shared" si="94"/>
        <v>0.23265378895628952</v>
      </c>
      <c r="K632" s="3">
        <f t="shared" si="95"/>
        <v>0.13258611816859345</v>
      </c>
      <c r="L632" s="3">
        <f t="shared" si="96"/>
        <v>0.63476009287511692</v>
      </c>
      <c r="M632" s="56">
        <f t="shared" si="97"/>
        <v>0.36523990712488297</v>
      </c>
      <c r="O632" s="2">
        <v>56815</v>
      </c>
      <c r="R632" s="2">
        <v>61200</v>
      </c>
      <c r="S632" s="36"/>
    </row>
    <row r="633" spans="1:19" hidden="1" x14ac:dyDescent="0.25">
      <c r="A633" s="55" t="s">
        <v>30</v>
      </c>
      <c r="B633" s="1">
        <v>45556</v>
      </c>
      <c r="C633" s="36">
        <f t="shared" si="90"/>
        <v>28604</v>
      </c>
      <c r="D633" s="2">
        <v>20493</v>
      </c>
      <c r="E633" s="36">
        <f t="shared" si="91"/>
        <v>32232.800000000003</v>
      </c>
      <c r="F633" s="2">
        <v>21718</v>
      </c>
      <c r="G633" s="2">
        <f t="shared" si="89"/>
        <v>103047.8</v>
      </c>
      <c r="H633" s="3">
        <f t="shared" si="92"/>
        <v>0.2775799192219533</v>
      </c>
      <c r="I633" s="3">
        <f t="shared" si="93"/>
        <v>0.31279464481531871</v>
      </c>
      <c r="J633" s="3">
        <f t="shared" si="94"/>
        <v>0.19886887444467519</v>
      </c>
      <c r="K633" s="3">
        <f t="shared" si="95"/>
        <v>0.21075656151805278</v>
      </c>
      <c r="L633" s="3">
        <f t="shared" si="96"/>
        <v>0.59037456403727206</v>
      </c>
      <c r="M633" s="56">
        <f t="shared" si="97"/>
        <v>0.40962543596272799</v>
      </c>
      <c r="O633" s="2">
        <v>44478</v>
      </c>
      <c r="R633" s="2">
        <v>32177</v>
      </c>
      <c r="S633" s="36"/>
    </row>
    <row r="634" spans="1:19" hidden="1" x14ac:dyDescent="0.25">
      <c r="A634" s="55" t="s">
        <v>31</v>
      </c>
      <c r="B634" s="1">
        <v>45557</v>
      </c>
      <c r="C634" s="36">
        <f t="shared" si="90"/>
        <v>26267.200000000001</v>
      </c>
      <c r="D634" s="2">
        <v>25549</v>
      </c>
      <c r="E634" s="36">
        <f t="shared" si="91"/>
        <v>40395.200000000004</v>
      </c>
      <c r="F634" s="2">
        <v>17283</v>
      </c>
      <c r="G634" s="2">
        <f t="shared" si="89"/>
        <v>109494.39999999999</v>
      </c>
      <c r="H634" s="3">
        <f t="shared" si="92"/>
        <v>0.23989537364467955</v>
      </c>
      <c r="I634" s="3">
        <f t="shared" si="93"/>
        <v>0.36892480346026835</v>
      </c>
      <c r="J634" s="3">
        <f t="shared" si="94"/>
        <v>0.23333613408539616</v>
      </c>
      <c r="K634" s="3">
        <f t="shared" si="95"/>
        <v>0.15784368880965602</v>
      </c>
      <c r="L634" s="3">
        <f t="shared" si="96"/>
        <v>0.60882017710494796</v>
      </c>
      <c r="M634" s="56">
        <f t="shared" si="97"/>
        <v>0.39117982289505221</v>
      </c>
      <c r="O634" s="2">
        <v>35073</v>
      </c>
      <c r="R634" s="2">
        <v>20792</v>
      </c>
      <c r="S634" s="36"/>
    </row>
    <row r="635" spans="1:19" hidden="1" x14ac:dyDescent="0.25">
      <c r="A635" s="55" t="s">
        <v>129</v>
      </c>
      <c r="B635" s="1">
        <v>45558</v>
      </c>
      <c r="C635" s="36">
        <f t="shared" si="90"/>
        <v>37805.599999999999</v>
      </c>
      <c r="D635" s="2">
        <v>21375</v>
      </c>
      <c r="E635" s="36">
        <f t="shared" si="91"/>
        <v>51323.200000000004</v>
      </c>
      <c r="F635" s="2">
        <v>16207</v>
      </c>
      <c r="G635" s="2">
        <f t="shared" si="89"/>
        <v>126710.8</v>
      </c>
      <c r="H635" s="3">
        <f t="shared" si="92"/>
        <v>0.29836130779696757</v>
      </c>
      <c r="I635" s="3">
        <f t="shared" si="93"/>
        <v>0.40504203272333539</v>
      </c>
      <c r="J635" s="3">
        <f t="shared" si="94"/>
        <v>0.16869122442601578</v>
      </c>
      <c r="K635" s="3">
        <f t="shared" si="95"/>
        <v>0.12790543505368129</v>
      </c>
      <c r="L635" s="3">
        <f t="shared" si="96"/>
        <v>0.70340334052030296</v>
      </c>
      <c r="M635" s="56">
        <f t="shared" si="97"/>
        <v>0.29659665947969704</v>
      </c>
      <c r="O635" s="2">
        <v>32027</v>
      </c>
      <c r="R635" s="2">
        <v>19084</v>
      </c>
      <c r="S635" s="36"/>
    </row>
    <row r="636" spans="1:19" hidden="1" x14ac:dyDescent="0.25">
      <c r="A636" s="55" t="s">
        <v>14</v>
      </c>
      <c r="B636" s="1">
        <v>45559</v>
      </c>
      <c r="C636" s="36">
        <f t="shared" si="90"/>
        <v>42887.200000000004</v>
      </c>
      <c r="D636" s="2">
        <v>18316</v>
      </c>
      <c r="E636" s="36">
        <f t="shared" si="91"/>
        <v>22436.800000000003</v>
      </c>
      <c r="F636" s="2">
        <v>12610</v>
      </c>
      <c r="G636" s="2">
        <f t="shared" si="89"/>
        <v>96250</v>
      </c>
      <c r="H636" s="3">
        <f t="shared" si="92"/>
        <v>0.44558129870129876</v>
      </c>
      <c r="I636" s="3">
        <f t="shared" si="93"/>
        <v>0.23310961038961042</v>
      </c>
      <c r="J636" s="3">
        <f t="shared" si="94"/>
        <v>0.19029610389610391</v>
      </c>
      <c r="K636" s="3">
        <f t="shared" si="95"/>
        <v>0.13101298701298703</v>
      </c>
      <c r="L636" s="3">
        <f t="shared" si="96"/>
        <v>0.67869090909090912</v>
      </c>
      <c r="M636" s="56">
        <f t="shared" si="97"/>
        <v>0.32130909090909093</v>
      </c>
      <c r="O636" s="2">
        <v>41536</v>
      </c>
      <c r="R636" s="2">
        <v>40175</v>
      </c>
      <c r="S636" s="36"/>
    </row>
    <row r="637" spans="1:19" hidden="1" x14ac:dyDescent="0.25">
      <c r="A637" s="55" t="s">
        <v>21</v>
      </c>
      <c r="B637" s="1">
        <v>45560</v>
      </c>
      <c r="C637" s="36">
        <f t="shared" si="90"/>
        <v>26313.600000000002</v>
      </c>
      <c r="D637" s="2">
        <v>16033</v>
      </c>
      <c r="E637" s="36">
        <f t="shared" si="91"/>
        <v>24324</v>
      </c>
      <c r="F637" s="2">
        <v>12760</v>
      </c>
      <c r="G637" s="2">
        <f t="shared" si="89"/>
        <v>79430.600000000006</v>
      </c>
      <c r="H637" s="3">
        <f t="shared" si="92"/>
        <v>0.33127787024144345</v>
      </c>
      <c r="I637" s="3">
        <f t="shared" si="93"/>
        <v>0.30622958910042225</v>
      </c>
      <c r="J637" s="3">
        <f t="shared" si="94"/>
        <v>0.2018491614063094</v>
      </c>
      <c r="K637" s="3">
        <f t="shared" si="95"/>
        <v>0.16064337925182484</v>
      </c>
      <c r="L637" s="3">
        <f t="shared" si="96"/>
        <v>0.6375074593418657</v>
      </c>
      <c r="M637" s="56">
        <f t="shared" si="97"/>
        <v>0.36249254065813424</v>
      </c>
      <c r="O637" s="2">
        <v>43814</v>
      </c>
      <c r="R637" s="2">
        <v>41135</v>
      </c>
      <c r="S637" s="36"/>
    </row>
    <row r="638" spans="1:19" x14ac:dyDescent="0.25">
      <c r="A638" s="55" t="s">
        <v>26</v>
      </c>
      <c r="B638" s="1">
        <v>45561</v>
      </c>
      <c r="C638" s="36">
        <f t="shared" si="90"/>
        <v>17972</v>
      </c>
      <c r="D638" s="2">
        <v>14172</v>
      </c>
      <c r="E638" s="36">
        <f t="shared" si="91"/>
        <v>17082.400000000001</v>
      </c>
      <c r="F638" s="2">
        <v>11071</v>
      </c>
      <c r="G638" s="2">
        <f t="shared" si="89"/>
        <v>60297.4</v>
      </c>
      <c r="H638" s="3">
        <f t="shared" si="92"/>
        <v>0.29805596924577177</v>
      </c>
      <c r="I638" s="3">
        <f t="shared" si="93"/>
        <v>0.28330243095058827</v>
      </c>
      <c r="J638" s="3">
        <f t="shared" si="94"/>
        <v>0.23503500980141764</v>
      </c>
      <c r="K638" s="3">
        <f t="shared" si="95"/>
        <v>0.18360659000222232</v>
      </c>
      <c r="L638" s="3">
        <f t="shared" si="96"/>
        <v>0.58135840019636009</v>
      </c>
      <c r="M638" s="56">
        <f t="shared" si="97"/>
        <v>0.41864159980363996</v>
      </c>
      <c r="O638" s="2">
        <v>27390</v>
      </c>
      <c r="R638" s="2">
        <v>40330</v>
      </c>
      <c r="S638" s="36"/>
    </row>
    <row r="639" spans="1:19" hidden="1" x14ac:dyDescent="0.25">
      <c r="A639" s="55" t="s">
        <v>7</v>
      </c>
      <c r="B639" s="1">
        <v>45562</v>
      </c>
      <c r="C639" s="36">
        <f t="shared" si="90"/>
        <v>35096</v>
      </c>
      <c r="D639" s="2">
        <v>16582</v>
      </c>
      <c r="E639" s="36">
        <f t="shared" si="91"/>
        <v>28909.600000000002</v>
      </c>
      <c r="F639" s="2">
        <v>13808</v>
      </c>
      <c r="G639" s="2">
        <f t="shared" si="89"/>
        <v>94395.6</v>
      </c>
      <c r="H639" s="3">
        <f t="shared" si="92"/>
        <v>0.37179699053769455</v>
      </c>
      <c r="I639" s="3">
        <f t="shared" si="93"/>
        <v>0.30626003754412284</v>
      </c>
      <c r="J639" s="3">
        <f t="shared" si="94"/>
        <v>0.1756649674349228</v>
      </c>
      <c r="K639" s="3">
        <f t="shared" si="95"/>
        <v>0.14627800448325981</v>
      </c>
      <c r="L639" s="3">
        <f t="shared" si="96"/>
        <v>0.67805702808181745</v>
      </c>
      <c r="M639" s="56">
        <f t="shared" si="97"/>
        <v>0.32194297191818261</v>
      </c>
      <c r="O639" s="2">
        <v>39415</v>
      </c>
      <c r="R639" s="2">
        <v>46929</v>
      </c>
      <c r="S639" s="36"/>
    </row>
    <row r="640" spans="1:19" hidden="1" x14ac:dyDescent="0.25">
      <c r="A640" s="55" t="s">
        <v>30</v>
      </c>
      <c r="B640" s="1">
        <v>45563</v>
      </c>
      <c r="C640" s="36">
        <f t="shared" si="90"/>
        <v>42744.800000000003</v>
      </c>
      <c r="D640" s="2">
        <v>26652</v>
      </c>
      <c r="E640" s="36">
        <f t="shared" si="91"/>
        <v>39721.600000000006</v>
      </c>
      <c r="F640" s="2">
        <v>18582</v>
      </c>
      <c r="G640" s="2">
        <f t="shared" si="89"/>
        <v>127700.40000000001</v>
      </c>
      <c r="H640" s="3">
        <f t="shared" si="92"/>
        <v>0.33472722090142237</v>
      </c>
      <c r="I640" s="3">
        <f t="shared" si="93"/>
        <v>0.31105305856520421</v>
      </c>
      <c r="J640" s="3">
        <f t="shared" si="94"/>
        <v>0.20870725541971677</v>
      </c>
      <c r="K640" s="3">
        <f t="shared" si="95"/>
        <v>0.14551246511365665</v>
      </c>
      <c r="L640" s="3">
        <f t="shared" si="96"/>
        <v>0.64578027946662664</v>
      </c>
      <c r="M640" s="56">
        <f t="shared" si="97"/>
        <v>0.35421972053337342</v>
      </c>
      <c r="O640" s="2">
        <v>47176</v>
      </c>
      <c r="R640" s="2">
        <v>30459</v>
      </c>
      <c r="S640" s="36"/>
    </row>
    <row r="641" spans="1:19" hidden="1" x14ac:dyDescent="0.25">
      <c r="A641" s="55" t="s">
        <v>31</v>
      </c>
      <c r="B641" s="1">
        <v>45564</v>
      </c>
      <c r="C641" s="36">
        <f t="shared" si="90"/>
        <v>40068.800000000003</v>
      </c>
      <c r="D641" s="2">
        <v>26806</v>
      </c>
      <c r="E641" s="36">
        <f t="shared" si="91"/>
        <v>35017.599999999999</v>
      </c>
      <c r="F641" s="2">
        <v>22580</v>
      </c>
      <c r="G641" s="2">
        <f t="shared" si="89"/>
        <v>124472.4</v>
      </c>
      <c r="H641" s="3">
        <f t="shared" si="92"/>
        <v>0.32190911398832195</v>
      </c>
      <c r="I641" s="3">
        <f t="shared" si="93"/>
        <v>0.28132823019400283</v>
      </c>
      <c r="J641" s="3">
        <f t="shared" si="94"/>
        <v>0.21535697873584828</v>
      </c>
      <c r="K641" s="3">
        <f t="shared" si="95"/>
        <v>0.18140567708182698</v>
      </c>
      <c r="L641" s="3">
        <f t="shared" si="96"/>
        <v>0.60323734418232478</v>
      </c>
      <c r="M641" s="56">
        <f t="shared" si="97"/>
        <v>0.39676265581767528</v>
      </c>
      <c r="O641" s="2">
        <v>31201</v>
      </c>
      <c r="R641" s="2">
        <v>35733</v>
      </c>
      <c r="S641" s="36"/>
    </row>
    <row r="642" spans="1:19" hidden="1" x14ac:dyDescent="0.25">
      <c r="A642" s="55" t="s">
        <v>129</v>
      </c>
      <c r="B642" s="9">
        <v>45565</v>
      </c>
      <c r="C642" s="36">
        <f t="shared" si="90"/>
        <v>40353.600000000006</v>
      </c>
      <c r="D642" s="2">
        <v>26419</v>
      </c>
      <c r="E642" s="36">
        <f t="shared" si="91"/>
        <v>41694.400000000001</v>
      </c>
      <c r="F642" s="2">
        <v>20213</v>
      </c>
      <c r="G642" s="2">
        <f t="shared" si="89"/>
        <v>128680</v>
      </c>
      <c r="H642" s="3">
        <f t="shared" si="92"/>
        <v>0.31359651849549275</v>
      </c>
      <c r="I642" s="3">
        <f t="shared" si="93"/>
        <v>0.32401616412806966</v>
      </c>
      <c r="J642" s="3">
        <f t="shared" si="94"/>
        <v>0.20530774013055642</v>
      </c>
      <c r="K642" s="3">
        <f t="shared" si="95"/>
        <v>0.15707957724588126</v>
      </c>
      <c r="L642" s="3">
        <f t="shared" si="96"/>
        <v>0.6376126826235623</v>
      </c>
      <c r="M642" s="56">
        <f t="shared" si="97"/>
        <v>0.3623873173764377</v>
      </c>
      <c r="O642" s="2">
        <v>19757</v>
      </c>
      <c r="R642" s="2">
        <v>33143</v>
      </c>
      <c r="S642" s="36"/>
    </row>
    <row r="643" spans="1:19" hidden="1" x14ac:dyDescent="0.25">
      <c r="A643" s="55" t="s">
        <v>14</v>
      </c>
      <c r="B643" s="1">
        <v>45566</v>
      </c>
      <c r="C643" s="36">
        <f t="shared" si="90"/>
        <v>40876</v>
      </c>
      <c r="D643" s="2">
        <v>18726</v>
      </c>
      <c r="E643" s="36">
        <f t="shared" si="91"/>
        <v>17998.400000000001</v>
      </c>
      <c r="F643" s="2">
        <v>12281</v>
      </c>
      <c r="G643" s="2">
        <f t="shared" si="89"/>
        <v>89881.4</v>
      </c>
      <c r="H643" s="3">
        <f t="shared" si="92"/>
        <v>0.45477707289828601</v>
      </c>
      <c r="I643" s="3">
        <f t="shared" si="93"/>
        <v>0.20024610208563731</v>
      </c>
      <c r="J643" s="3">
        <f t="shared" si="94"/>
        <v>0.20834121408878814</v>
      </c>
      <c r="K643" s="3">
        <f t="shared" si="95"/>
        <v>0.13663561092728863</v>
      </c>
      <c r="L643" s="3">
        <f t="shared" si="96"/>
        <v>0.65502317498392326</v>
      </c>
      <c r="M643" s="56">
        <f t="shared" si="97"/>
        <v>0.34497682501607674</v>
      </c>
      <c r="O643" s="2">
        <v>39242</v>
      </c>
      <c r="R643" s="2">
        <v>37338</v>
      </c>
      <c r="S643" s="36"/>
    </row>
    <row r="644" spans="1:19" hidden="1" x14ac:dyDescent="0.25">
      <c r="A644" s="55" t="s">
        <v>21</v>
      </c>
      <c r="B644" s="1">
        <v>45567</v>
      </c>
      <c r="C644" s="36">
        <f t="shared" si="90"/>
        <v>30648</v>
      </c>
      <c r="D644" s="2">
        <v>14477</v>
      </c>
      <c r="E644" s="36">
        <f t="shared" si="91"/>
        <v>25382.400000000001</v>
      </c>
      <c r="F644" s="2">
        <v>15973</v>
      </c>
      <c r="G644" s="2">
        <f t="shared" ref="G644:G707" si="98">SUM(C644:F644)</f>
        <v>86480.4</v>
      </c>
      <c r="H644" s="3">
        <f t="shared" si="92"/>
        <v>0.35439244036799095</v>
      </c>
      <c r="I644" s="3">
        <f t="shared" si="93"/>
        <v>0.2935046553901231</v>
      </c>
      <c r="J644" s="3">
        <f t="shared" si="94"/>
        <v>0.16740209342232459</v>
      </c>
      <c r="K644" s="3">
        <f t="shared" si="95"/>
        <v>0.18470081081956144</v>
      </c>
      <c r="L644" s="3">
        <f t="shared" si="96"/>
        <v>0.64789709575811405</v>
      </c>
      <c r="M644" s="56">
        <f t="shared" si="97"/>
        <v>0.35210290424188606</v>
      </c>
      <c r="O644" s="2">
        <v>48247</v>
      </c>
      <c r="R644" s="2">
        <v>33069</v>
      </c>
      <c r="S644" s="36"/>
    </row>
    <row r="645" spans="1:19" x14ac:dyDescent="0.25">
      <c r="A645" s="55" t="s">
        <v>26</v>
      </c>
      <c r="B645" s="1">
        <v>45568</v>
      </c>
      <c r="C645" s="36">
        <f t="shared" ref="C645:C708" si="99">O670*$P$27</f>
        <v>25959.200000000001</v>
      </c>
      <c r="D645" s="2">
        <v>18462</v>
      </c>
      <c r="E645" s="36">
        <f t="shared" ref="E645:E708" si="100">R670*$P$27</f>
        <v>17915.2</v>
      </c>
      <c r="F645" s="2">
        <v>11361</v>
      </c>
      <c r="G645" s="2">
        <f t="shared" si="98"/>
        <v>73697.399999999994</v>
      </c>
      <c r="H645" s="3">
        <f t="shared" ref="H645:H708" si="101">IFERROR(C645/G645,0)</f>
        <v>0.35224037754384824</v>
      </c>
      <c r="I645" s="3">
        <f t="shared" ref="I645:I708" si="102">IFERROR(E645/G645,0)</f>
        <v>0.24309134379231834</v>
      </c>
      <c r="J645" s="3">
        <f t="shared" ref="J645:J708" si="103">IFERROR(D645/G645,0)</f>
        <v>0.25051087283947604</v>
      </c>
      <c r="K645" s="3">
        <f t="shared" ref="K645:K708" si="104">IFERROR(F645/G645,0)</f>
        <v>0.15415740582435744</v>
      </c>
      <c r="L645" s="3">
        <f t="shared" ref="L645:L708" si="105">IFERROR((C645+E645)/G645, 0)</f>
        <v>0.59533172133616663</v>
      </c>
      <c r="M645" s="56">
        <f t="shared" ref="M645:M708" si="106">IFERROR((D645+F645)/G645, 0)</f>
        <v>0.40466827866383348</v>
      </c>
      <c r="O645" s="2">
        <v>40064</v>
      </c>
      <c r="R645" s="2">
        <v>31438</v>
      </c>
      <c r="S645" s="36"/>
    </row>
    <row r="646" spans="1:19" hidden="1" x14ac:dyDescent="0.25">
      <c r="A646" s="55" t="s">
        <v>7</v>
      </c>
      <c r="B646" s="1">
        <v>45569</v>
      </c>
      <c r="C646" s="36">
        <f t="shared" si="99"/>
        <v>36978.400000000001</v>
      </c>
      <c r="D646" s="2">
        <v>21580</v>
      </c>
      <c r="E646" s="36">
        <f t="shared" si="100"/>
        <v>34764.800000000003</v>
      </c>
      <c r="F646" s="2">
        <v>15777</v>
      </c>
      <c r="G646" s="2">
        <f t="shared" si="98"/>
        <v>109100.20000000001</v>
      </c>
      <c r="H646" s="3">
        <f t="shared" si="101"/>
        <v>0.33893980029367499</v>
      </c>
      <c r="I646" s="3">
        <f t="shared" si="102"/>
        <v>0.31865019495839603</v>
      </c>
      <c r="J646" s="3">
        <f t="shared" si="103"/>
        <v>0.19779982071526905</v>
      </c>
      <c r="K646" s="3">
        <f t="shared" si="104"/>
        <v>0.14461018403265988</v>
      </c>
      <c r="L646" s="3">
        <f t="shared" si="105"/>
        <v>0.65758999525207107</v>
      </c>
      <c r="M646" s="56">
        <f t="shared" si="106"/>
        <v>0.34241000474792893</v>
      </c>
      <c r="O646" s="2">
        <v>43067</v>
      </c>
      <c r="R646" s="2">
        <v>52452</v>
      </c>
      <c r="S646" s="36"/>
    </row>
    <row r="647" spans="1:19" hidden="1" x14ac:dyDescent="0.25">
      <c r="A647" s="55" t="s">
        <v>30</v>
      </c>
      <c r="B647" s="1">
        <v>45570</v>
      </c>
      <c r="C647" s="36">
        <f t="shared" si="99"/>
        <v>31382.400000000001</v>
      </c>
      <c r="D647" s="2">
        <v>27797</v>
      </c>
      <c r="E647" s="36">
        <f t="shared" si="100"/>
        <v>43045.600000000006</v>
      </c>
      <c r="F647" s="2">
        <v>22017</v>
      </c>
      <c r="G647" s="2">
        <f t="shared" si="98"/>
        <v>124242</v>
      </c>
      <c r="H647" s="3">
        <f t="shared" si="101"/>
        <v>0.25259091128603856</v>
      </c>
      <c r="I647" s="3">
        <f t="shared" si="102"/>
        <v>0.34646576841969706</v>
      </c>
      <c r="J647" s="3">
        <f t="shared" si="103"/>
        <v>0.22373271518488111</v>
      </c>
      <c r="K647" s="3">
        <f t="shared" si="104"/>
        <v>0.1772106051093833</v>
      </c>
      <c r="L647" s="3">
        <f t="shared" si="105"/>
        <v>0.59905667970573562</v>
      </c>
      <c r="M647" s="56">
        <f t="shared" si="106"/>
        <v>0.40094332029426444</v>
      </c>
      <c r="O647" s="2">
        <v>50513</v>
      </c>
      <c r="R647" s="2">
        <v>21832</v>
      </c>
      <c r="S647" s="36"/>
    </row>
    <row r="648" spans="1:19" hidden="1" x14ac:dyDescent="0.25">
      <c r="A648" s="55" t="s">
        <v>31</v>
      </c>
      <c r="B648" s="1">
        <v>45571</v>
      </c>
      <c r="C648" s="36">
        <f t="shared" si="99"/>
        <v>40603.200000000004</v>
      </c>
      <c r="D648" s="2">
        <v>30439</v>
      </c>
      <c r="E648" s="36">
        <f t="shared" si="100"/>
        <v>31470.400000000001</v>
      </c>
      <c r="F648" s="2">
        <v>26011</v>
      </c>
      <c r="G648" s="2">
        <f t="shared" si="98"/>
        <v>128523.6</v>
      </c>
      <c r="H648" s="3">
        <f t="shared" si="101"/>
        <v>0.31592018897696611</v>
      </c>
      <c r="I648" s="3">
        <f t="shared" si="102"/>
        <v>0.2448608660199372</v>
      </c>
      <c r="J648" s="3">
        <f t="shared" si="103"/>
        <v>0.23683588072540762</v>
      </c>
      <c r="K648" s="3">
        <f t="shared" si="104"/>
        <v>0.20238306427768907</v>
      </c>
      <c r="L648" s="3">
        <f t="shared" si="105"/>
        <v>0.56078105499690334</v>
      </c>
      <c r="M648" s="56">
        <f t="shared" si="106"/>
        <v>0.43921894500309666</v>
      </c>
      <c r="O648" s="2">
        <v>29030</v>
      </c>
      <c r="R648" s="2">
        <v>34583</v>
      </c>
      <c r="S648" s="36"/>
    </row>
    <row r="649" spans="1:19" hidden="1" x14ac:dyDescent="0.25">
      <c r="A649" s="55" t="s">
        <v>129</v>
      </c>
      <c r="B649" s="1">
        <v>45572</v>
      </c>
      <c r="C649" s="36">
        <f t="shared" si="99"/>
        <v>40966.400000000001</v>
      </c>
      <c r="D649" s="2">
        <v>23928</v>
      </c>
      <c r="E649" s="36">
        <f t="shared" si="100"/>
        <v>43848</v>
      </c>
      <c r="F649" s="2">
        <v>8752</v>
      </c>
      <c r="G649" s="2">
        <f t="shared" si="98"/>
        <v>117494.39999999999</v>
      </c>
      <c r="H649" s="3">
        <f t="shared" si="101"/>
        <v>0.34866683007871019</v>
      </c>
      <c r="I649" s="3">
        <f t="shared" si="102"/>
        <v>0.37319225426913966</v>
      </c>
      <c r="J649" s="3">
        <f t="shared" si="103"/>
        <v>0.20365225917150095</v>
      </c>
      <c r="K649" s="3">
        <f t="shared" si="104"/>
        <v>7.4488656480649298E-2</v>
      </c>
      <c r="L649" s="3">
        <f t="shared" si="105"/>
        <v>0.72185908434784973</v>
      </c>
      <c r="M649" s="56">
        <f t="shared" si="106"/>
        <v>0.27814091565215027</v>
      </c>
      <c r="O649" s="2">
        <v>33467</v>
      </c>
      <c r="R649" s="2">
        <v>29359</v>
      </c>
      <c r="S649" s="36"/>
    </row>
    <row r="650" spans="1:19" hidden="1" x14ac:dyDescent="0.25">
      <c r="A650" s="55" t="s">
        <v>14</v>
      </c>
      <c r="B650" s="1">
        <v>45573</v>
      </c>
      <c r="C650" s="36">
        <f t="shared" si="99"/>
        <v>29152</v>
      </c>
      <c r="D650" s="2">
        <v>17865</v>
      </c>
      <c r="E650" s="36">
        <f t="shared" si="100"/>
        <v>22408.800000000003</v>
      </c>
      <c r="F650" s="2">
        <v>10099</v>
      </c>
      <c r="G650" s="2">
        <f t="shared" si="98"/>
        <v>79524.800000000003</v>
      </c>
      <c r="H650" s="3">
        <f t="shared" si="101"/>
        <v>0.3665774701728266</v>
      </c>
      <c r="I650" s="3">
        <f t="shared" si="102"/>
        <v>0.28178379574673562</v>
      </c>
      <c r="J650" s="3">
        <f t="shared" si="103"/>
        <v>0.22464690260145262</v>
      </c>
      <c r="K650" s="3">
        <f t="shared" si="104"/>
        <v>0.12699183147898516</v>
      </c>
      <c r="L650" s="3">
        <f t="shared" si="105"/>
        <v>0.64836126591956222</v>
      </c>
      <c r="M650" s="56">
        <f t="shared" si="106"/>
        <v>0.35163873408043778</v>
      </c>
      <c r="O650" s="2">
        <v>33700</v>
      </c>
      <c r="R650" s="2">
        <v>40075</v>
      </c>
      <c r="S650" s="36"/>
    </row>
    <row r="651" spans="1:19" hidden="1" x14ac:dyDescent="0.25">
      <c r="A651" s="55" t="s">
        <v>21</v>
      </c>
      <c r="B651" s="1">
        <v>45574</v>
      </c>
      <c r="C651" s="36">
        <f t="shared" si="99"/>
        <v>22964</v>
      </c>
      <c r="D651" s="2">
        <v>13614</v>
      </c>
      <c r="E651" s="36">
        <f t="shared" si="100"/>
        <v>19964</v>
      </c>
      <c r="F651" s="2">
        <v>11244</v>
      </c>
      <c r="G651" s="2">
        <f t="shared" si="98"/>
        <v>67786</v>
      </c>
      <c r="H651" s="3">
        <f t="shared" si="101"/>
        <v>0.33877201782078897</v>
      </c>
      <c r="I651" s="3">
        <f t="shared" si="102"/>
        <v>0.29451509161183725</v>
      </c>
      <c r="J651" s="3">
        <f t="shared" si="103"/>
        <v>0.20083793113622281</v>
      </c>
      <c r="K651" s="3">
        <f t="shared" si="104"/>
        <v>0.16587495943115096</v>
      </c>
      <c r="L651" s="3">
        <f t="shared" si="105"/>
        <v>0.63328710943262623</v>
      </c>
      <c r="M651" s="56">
        <f t="shared" si="106"/>
        <v>0.36671289056737377</v>
      </c>
      <c r="O651" s="2">
        <v>42923</v>
      </c>
      <c r="R651" s="2">
        <v>47434</v>
      </c>
      <c r="S651" s="36"/>
    </row>
    <row r="652" spans="1:19" x14ac:dyDescent="0.25">
      <c r="A652" s="55" t="s">
        <v>26</v>
      </c>
      <c r="B652" s="1">
        <v>45575</v>
      </c>
      <c r="C652" s="36">
        <f t="shared" si="99"/>
        <v>22768</v>
      </c>
      <c r="D652" s="2">
        <v>10579</v>
      </c>
      <c r="E652" s="36">
        <f t="shared" si="100"/>
        <v>26459.200000000001</v>
      </c>
      <c r="F652" s="2">
        <v>11623</v>
      </c>
      <c r="G652" s="2">
        <f t="shared" si="98"/>
        <v>71429.2</v>
      </c>
      <c r="H652" s="3">
        <f t="shared" si="101"/>
        <v>0.31874919500708393</v>
      </c>
      <c r="I652" s="3">
        <f t="shared" si="102"/>
        <v>0.37042554025524577</v>
      </c>
      <c r="J652" s="3">
        <f t="shared" si="103"/>
        <v>0.14810469667866924</v>
      </c>
      <c r="K652" s="3">
        <f t="shared" si="104"/>
        <v>0.16272056805900109</v>
      </c>
      <c r="L652" s="3">
        <f t="shared" si="105"/>
        <v>0.68917473526232964</v>
      </c>
      <c r="M652" s="56">
        <f t="shared" si="106"/>
        <v>0.3108252647376703</v>
      </c>
      <c r="O652" s="2">
        <v>37613</v>
      </c>
      <c r="R652" s="2">
        <v>50723</v>
      </c>
      <c r="S652" s="36"/>
    </row>
    <row r="653" spans="1:19" hidden="1" x14ac:dyDescent="0.25">
      <c r="A653" s="55" t="s">
        <v>7</v>
      </c>
      <c r="B653" s="1">
        <v>45576</v>
      </c>
      <c r="C653" s="36">
        <f t="shared" si="99"/>
        <v>22357.600000000002</v>
      </c>
      <c r="D653" s="2">
        <v>19450</v>
      </c>
      <c r="E653" s="36">
        <f t="shared" si="100"/>
        <v>35928.800000000003</v>
      </c>
      <c r="F653" s="2">
        <v>14753</v>
      </c>
      <c r="G653" s="2">
        <f t="shared" si="98"/>
        <v>92489.400000000009</v>
      </c>
      <c r="H653" s="3">
        <f t="shared" si="101"/>
        <v>0.24173148490529725</v>
      </c>
      <c r="I653" s="3">
        <f t="shared" si="102"/>
        <v>0.38846397533122712</v>
      </c>
      <c r="J653" s="3">
        <f t="shared" si="103"/>
        <v>0.21029436886821623</v>
      </c>
      <c r="K653" s="3">
        <f t="shared" si="104"/>
        <v>0.15951017089525935</v>
      </c>
      <c r="L653" s="3">
        <f t="shared" si="105"/>
        <v>0.6301954602365244</v>
      </c>
      <c r="M653" s="56">
        <f t="shared" si="106"/>
        <v>0.36980453976347555</v>
      </c>
      <c r="O653" s="2">
        <v>44219</v>
      </c>
      <c r="R653" s="2">
        <v>58841</v>
      </c>
      <c r="S653" s="36"/>
    </row>
    <row r="654" spans="1:19" hidden="1" x14ac:dyDescent="0.25">
      <c r="A654" s="55" t="s">
        <v>30</v>
      </c>
      <c r="B654" s="1">
        <v>45577</v>
      </c>
      <c r="C654" s="36">
        <f t="shared" si="99"/>
        <v>31804.800000000003</v>
      </c>
      <c r="D654" s="2">
        <v>22728</v>
      </c>
      <c r="E654" s="36">
        <f t="shared" si="100"/>
        <v>33898.400000000001</v>
      </c>
      <c r="F654" s="2">
        <v>19284</v>
      </c>
      <c r="G654" s="2">
        <f t="shared" si="98"/>
        <v>107715.20000000001</v>
      </c>
      <c r="H654" s="3">
        <f t="shared" si="101"/>
        <v>0.29526752027568998</v>
      </c>
      <c r="I654" s="3">
        <f t="shared" si="102"/>
        <v>0.31470396007248741</v>
      </c>
      <c r="J654" s="3">
        <f t="shared" si="103"/>
        <v>0.21100086153114878</v>
      </c>
      <c r="K654" s="3">
        <f t="shared" si="104"/>
        <v>0.17902765812067375</v>
      </c>
      <c r="L654" s="3">
        <f t="shared" si="105"/>
        <v>0.6099714803481775</v>
      </c>
      <c r="M654" s="56">
        <f t="shared" si="106"/>
        <v>0.39002851965182256</v>
      </c>
      <c r="O654" s="2">
        <v>56659</v>
      </c>
      <c r="R654" s="2">
        <v>29716</v>
      </c>
      <c r="S654" s="36"/>
    </row>
    <row r="655" spans="1:19" hidden="1" x14ac:dyDescent="0.25">
      <c r="A655" s="55" t="s">
        <v>31</v>
      </c>
      <c r="B655" s="1">
        <v>45578</v>
      </c>
      <c r="C655" s="36">
        <f t="shared" si="99"/>
        <v>29864</v>
      </c>
      <c r="D655" s="2">
        <v>29355</v>
      </c>
      <c r="E655" s="36">
        <f t="shared" si="100"/>
        <v>33104.800000000003</v>
      </c>
      <c r="F655" s="2">
        <v>26189</v>
      </c>
      <c r="G655" s="2">
        <f t="shared" si="98"/>
        <v>118512.8</v>
      </c>
      <c r="H655" s="3">
        <f t="shared" si="101"/>
        <v>0.25198965850102267</v>
      </c>
      <c r="I655" s="3">
        <f t="shared" si="102"/>
        <v>0.27933522792474741</v>
      </c>
      <c r="J655" s="3">
        <f t="shared" si="103"/>
        <v>0.247694763772352</v>
      </c>
      <c r="K655" s="3">
        <f t="shared" si="104"/>
        <v>0.22098034980187795</v>
      </c>
      <c r="L655" s="3">
        <f t="shared" si="105"/>
        <v>0.53132488642577003</v>
      </c>
      <c r="M655" s="56">
        <f t="shared" si="106"/>
        <v>0.46867511357422992</v>
      </c>
      <c r="O655" s="2">
        <v>46478</v>
      </c>
      <c r="R655" s="2">
        <v>27467</v>
      </c>
      <c r="S655" s="36"/>
    </row>
    <row r="656" spans="1:19" hidden="1" x14ac:dyDescent="0.25">
      <c r="A656" s="55" t="s">
        <v>129</v>
      </c>
      <c r="B656" s="1">
        <v>45579</v>
      </c>
      <c r="C656" s="36">
        <f t="shared" si="99"/>
        <v>39184</v>
      </c>
      <c r="D656" s="2">
        <v>23468</v>
      </c>
      <c r="E656" s="36">
        <f t="shared" si="100"/>
        <v>34097.599999999999</v>
      </c>
      <c r="F656" s="2">
        <v>19842</v>
      </c>
      <c r="G656" s="2">
        <f t="shared" si="98"/>
        <v>116591.6</v>
      </c>
      <c r="H656" s="3">
        <f t="shared" si="101"/>
        <v>0.33607910003808161</v>
      </c>
      <c r="I656" s="3">
        <f t="shared" si="102"/>
        <v>0.29245331567625793</v>
      </c>
      <c r="J656" s="3">
        <f t="shared" si="103"/>
        <v>0.20128379746053746</v>
      </c>
      <c r="K656" s="3">
        <f t="shared" si="104"/>
        <v>0.17018378682512289</v>
      </c>
      <c r="L656" s="3">
        <f t="shared" si="105"/>
        <v>0.6285324157143396</v>
      </c>
      <c r="M656" s="56">
        <f t="shared" si="106"/>
        <v>0.37146758428566035</v>
      </c>
      <c r="O656" s="2">
        <v>42772</v>
      </c>
      <c r="R656" s="2">
        <v>21371</v>
      </c>
      <c r="S656" s="36"/>
    </row>
    <row r="657" spans="1:19" hidden="1" x14ac:dyDescent="0.25">
      <c r="A657" s="55" t="s">
        <v>14</v>
      </c>
      <c r="B657" s="1">
        <v>45580</v>
      </c>
      <c r="C657" s="36">
        <f t="shared" si="99"/>
        <v>42830.400000000001</v>
      </c>
      <c r="D657" s="2">
        <v>14136</v>
      </c>
      <c r="E657" s="36">
        <f t="shared" si="100"/>
        <v>19486.400000000001</v>
      </c>
      <c r="F657" s="2">
        <v>16624</v>
      </c>
      <c r="G657" s="2">
        <f t="shared" si="98"/>
        <v>93076.800000000003</v>
      </c>
      <c r="H657" s="3">
        <f t="shared" si="101"/>
        <v>0.46016193079263579</v>
      </c>
      <c r="I657" s="3">
        <f t="shared" si="102"/>
        <v>0.20935829336633835</v>
      </c>
      <c r="J657" s="3">
        <f t="shared" si="103"/>
        <v>0.15187458099118148</v>
      </c>
      <c r="K657" s="3">
        <f t="shared" si="104"/>
        <v>0.17860519484984441</v>
      </c>
      <c r="L657" s="3">
        <f t="shared" si="105"/>
        <v>0.66952022415897405</v>
      </c>
      <c r="M657" s="56">
        <f t="shared" si="106"/>
        <v>0.33047977584102589</v>
      </c>
      <c r="O657" s="2">
        <v>38632</v>
      </c>
      <c r="R657" s="2">
        <v>39692</v>
      </c>
      <c r="S657" s="36"/>
    </row>
    <row r="658" spans="1:19" hidden="1" x14ac:dyDescent="0.25">
      <c r="A658" s="55" t="s">
        <v>21</v>
      </c>
      <c r="B658" s="1">
        <v>45581</v>
      </c>
      <c r="C658" s="36">
        <f t="shared" si="99"/>
        <v>39708.800000000003</v>
      </c>
      <c r="D658" s="2">
        <v>16367</v>
      </c>
      <c r="E658" s="36">
        <f t="shared" si="100"/>
        <v>25727.200000000001</v>
      </c>
      <c r="F658" s="2">
        <v>14556</v>
      </c>
      <c r="G658" s="2">
        <f t="shared" si="98"/>
        <v>96359</v>
      </c>
      <c r="H658" s="3">
        <f t="shared" si="101"/>
        <v>0.41209227991158071</v>
      </c>
      <c r="I658" s="3">
        <f t="shared" si="102"/>
        <v>0.26699322325885494</v>
      </c>
      <c r="J658" s="3">
        <f t="shared" si="103"/>
        <v>0.16985439865502963</v>
      </c>
      <c r="K658" s="3">
        <f t="shared" si="104"/>
        <v>0.15106009817453481</v>
      </c>
      <c r="L658" s="3">
        <f t="shared" si="105"/>
        <v>0.67908550317043559</v>
      </c>
      <c r="M658" s="56">
        <f t="shared" si="106"/>
        <v>0.32091449682956447</v>
      </c>
      <c r="O658" s="2">
        <v>35755</v>
      </c>
      <c r="R658" s="2">
        <v>40291</v>
      </c>
      <c r="S658" s="36"/>
    </row>
    <row r="659" spans="1:19" x14ac:dyDescent="0.25">
      <c r="A659" s="55" t="s">
        <v>26</v>
      </c>
      <c r="B659" s="1">
        <v>45582</v>
      </c>
      <c r="C659" s="36">
        <f t="shared" si="99"/>
        <v>23900.800000000003</v>
      </c>
      <c r="D659" s="2">
        <v>11480</v>
      </c>
      <c r="E659" s="36">
        <f t="shared" si="100"/>
        <v>19632</v>
      </c>
      <c r="F659" s="2">
        <v>9267</v>
      </c>
      <c r="G659" s="2">
        <f t="shared" si="98"/>
        <v>64279.8</v>
      </c>
      <c r="H659" s="3">
        <f t="shared" si="101"/>
        <v>0.37182443006978866</v>
      </c>
      <c r="I659" s="3">
        <f t="shared" si="102"/>
        <v>0.30541476482503055</v>
      </c>
      <c r="J659" s="3">
        <f t="shared" si="103"/>
        <v>0.17859420844495472</v>
      </c>
      <c r="K659" s="3">
        <f t="shared" si="104"/>
        <v>0.14416659666022608</v>
      </c>
      <c r="L659" s="3">
        <f t="shared" si="105"/>
        <v>0.67723919489481921</v>
      </c>
      <c r="M659" s="56">
        <f t="shared" si="106"/>
        <v>0.32276080510518079</v>
      </c>
      <c r="O659" s="2">
        <v>32834</v>
      </c>
      <c r="R659" s="2">
        <v>50494</v>
      </c>
      <c r="S659" s="36"/>
    </row>
    <row r="660" spans="1:19" hidden="1" x14ac:dyDescent="0.25">
      <c r="A660" s="55" t="s">
        <v>7</v>
      </c>
      <c r="B660" s="1">
        <v>45583</v>
      </c>
      <c r="C660" s="36">
        <f t="shared" si="99"/>
        <v>30635.200000000001</v>
      </c>
      <c r="D660" s="2">
        <v>18670</v>
      </c>
      <c r="E660" s="36">
        <f t="shared" si="100"/>
        <v>38821.599999999999</v>
      </c>
      <c r="F660" s="2">
        <v>16469</v>
      </c>
      <c r="G660" s="2">
        <f t="shared" si="98"/>
        <v>104595.79999999999</v>
      </c>
      <c r="H660" s="3">
        <f t="shared" si="101"/>
        <v>0.29289130156277787</v>
      </c>
      <c r="I660" s="3">
        <f t="shared" si="102"/>
        <v>0.37115830654768167</v>
      </c>
      <c r="J660" s="3">
        <f t="shared" si="103"/>
        <v>0.17849665091714967</v>
      </c>
      <c r="K660" s="3">
        <f t="shared" si="104"/>
        <v>0.15745374097239087</v>
      </c>
      <c r="L660" s="3">
        <f t="shared" si="105"/>
        <v>0.66404960811045965</v>
      </c>
      <c r="M660" s="56">
        <f t="shared" si="106"/>
        <v>0.33595039188954051</v>
      </c>
      <c r="O660" s="2">
        <v>47257</v>
      </c>
      <c r="R660" s="2">
        <v>64154</v>
      </c>
      <c r="S660" s="36"/>
    </row>
    <row r="661" spans="1:19" hidden="1" x14ac:dyDescent="0.25">
      <c r="A661" s="55" t="s">
        <v>30</v>
      </c>
      <c r="B661" s="1">
        <v>45584</v>
      </c>
      <c r="C661" s="36">
        <f t="shared" si="99"/>
        <v>31232</v>
      </c>
      <c r="D661" s="2">
        <v>27793</v>
      </c>
      <c r="E661" s="36">
        <f t="shared" si="100"/>
        <v>35664</v>
      </c>
      <c r="F661" s="2">
        <v>22205</v>
      </c>
      <c r="G661" s="2">
        <f t="shared" si="98"/>
        <v>116894</v>
      </c>
      <c r="H661" s="3">
        <f t="shared" si="101"/>
        <v>0.26718223347648296</v>
      </c>
      <c r="I661" s="3">
        <f t="shared" si="102"/>
        <v>0.30509692541961092</v>
      </c>
      <c r="J661" s="3">
        <f t="shared" si="103"/>
        <v>0.23776241723270655</v>
      </c>
      <c r="K661" s="3">
        <f t="shared" si="104"/>
        <v>0.18995842387119954</v>
      </c>
      <c r="L661" s="3">
        <f t="shared" si="105"/>
        <v>0.57227915889609393</v>
      </c>
      <c r="M661" s="56">
        <f t="shared" si="106"/>
        <v>0.42772084110390612</v>
      </c>
      <c r="O661" s="2">
        <v>53609</v>
      </c>
      <c r="R661" s="2">
        <v>28046</v>
      </c>
      <c r="S661" s="36"/>
    </row>
    <row r="662" spans="1:19" hidden="1" x14ac:dyDescent="0.25">
      <c r="A662" s="55" t="s">
        <v>31</v>
      </c>
      <c r="B662" s="1">
        <v>45585</v>
      </c>
      <c r="C662" s="36">
        <f t="shared" si="99"/>
        <v>29216.800000000003</v>
      </c>
      <c r="D662" s="2">
        <v>25272</v>
      </c>
      <c r="E662" s="36">
        <f t="shared" si="100"/>
        <v>44661.600000000006</v>
      </c>
      <c r="F662" s="2">
        <v>26169</v>
      </c>
      <c r="G662" s="2">
        <f t="shared" si="98"/>
        <v>125319.40000000001</v>
      </c>
      <c r="H662" s="3">
        <f t="shared" si="101"/>
        <v>0.2331386840345549</v>
      </c>
      <c r="I662" s="3">
        <f t="shared" si="102"/>
        <v>0.35638217227340702</v>
      </c>
      <c r="J662" s="3">
        <f t="shared" si="103"/>
        <v>0.20166071653710438</v>
      </c>
      <c r="K662" s="3">
        <f t="shared" si="104"/>
        <v>0.20881842715493371</v>
      </c>
      <c r="L662" s="3">
        <f t="shared" si="105"/>
        <v>0.58952085630796192</v>
      </c>
      <c r="M662" s="56">
        <f t="shared" si="106"/>
        <v>0.41047914369203808</v>
      </c>
      <c r="O662" s="2">
        <v>32892</v>
      </c>
      <c r="R662" s="2">
        <v>30405</v>
      </c>
      <c r="S662" s="36"/>
    </row>
    <row r="663" spans="1:19" hidden="1" x14ac:dyDescent="0.25">
      <c r="A663" s="55" t="s">
        <v>129</v>
      </c>
      <c r="B663" s="1">
        <v>45586</v>
      </c>
      <c r="C663" s="36">
        <f t="shared" si="99"/>
        <v>38322.400000000001</v>
      </c>
      <c r="D663" s="2">
        <v>23055</v>
      </c>
      <c r="E663" s="36">
        <f t="shared" si="100"/>
        <v>50793.600000000006</v>
      </c>
      <c r="F663" s="2">
        <v>22676</v>
      </c>
      <c r="G663" s="2">
        <f t="shared" si="98"/>
        <v>134847</v>
      </c>
      <c r="H663" s="3">
        <f t="shared" si="101"/>
        <v>0.28419171357167755</v>
      </c>
      <c r="I663" s="3">
        <f t="shared" si="102"/>
        <v>0.37667578811541974</v>
      </c>
      <c r="J663" s="3">
        <f t="shared" si="103"/>
        <v>0.17097154552937774</v>
      </c>
      <c r="K663" s="3">
        <f t="shared" si="104"/>
        <v>0.16816095278352503</v>
      </c>
      <c r="L663" s="3">
        <f t="shared" si="105"/>
        <v>0.66086750168709718</v>
      </c>
      <c r="M663" s="56">
        <f t="shared" si="106"/>
        <v>0.33913249831290276</v>
      </c>
      <c r="O663" s="2">
        <v>22465</v>
      </c>
      <c r="R663" s="2">
        <v>21353</v>
      </c>
      <c r="S663" s="36"/>
    </row>
    <row r="664" spans="1:19" hidden="1" x14ac:dyDescent="0.25">
      <c r="A664" s="55" t="s">
        <v>14</v>
      </c>
      <c r="B664" s="1">
        <v>45587</v>
      </c>
      <c r="C664" s="36">
        <f t="shared" si="99"/>
        <v>44592.800000000003</v>
      </c>
      <c r="D664" s="2">
        <v>17261</v>
      </c>
      <c r="E664" s="36">
        <f t="shared" si="100"/>
        <v>26660.800000000003</v>
      </c>
      <c r="F664" s="2">
        <v>14329</v>
      </c>
      <c r="G664" s="2">
        <f t="shared" si="98"/>
        <v>102843.6</v>
      </c>
      <c r="H664" s="3">
        <f t="shared" si="101"/>
        <v>0.43359820154098067</v>
      </c>
      <c r="I664" s="3">
        <f t="shared" si="102"/>
        <v>0.25923635500896508</v>
      </c>
      <c r="J664" s="3">
        <f t="shared" si="103"/>
        <v>0.16783737636566592</v>
      </c>
      <c r="K664" s="3">
        <f t="shared" si="104"/>
        <v>0.13932806708438833</v>
      </c>
      <c r="L664" s="3">
        <f t="shared" si="105"/>
        <v>0.69283455654994575</v>
      </c>
      <c r="M664" s="56">
        <f t="shared" si="106"/>
        <v>0.30716544345005425</v>
      </c>
      <c r="O664" s="2">
        <v>43870</v>
      </c>
      <c r="R664" s="2">
        <v>36137</v>
      </c>
      <c r="S664" s="36"/>
    </row>
    <row r="665" spans="1:19" hidden="1" x14ac:dyDescent="0.25">
      <c r="A665" s="55" t="s">
        <v>21</v>
      </c>
      <c r="B665" s="1">
        <v>45588</v>
      </c>
      <c r="C665" s="36">
        <f t="shared" si="99"/>
        <v>32053.600000000002</v>
      </c>
      <c r="D665" s="2">
        <v>17516</v>
      </c>
      <c r="E665" s="36">
        <f t="shared" si="100"/>
        <v>26315.200000000001</v>
      </c>
      <c r="F665" s="2">
        <v>12703</v>
      </c>
      <c r="G665" s="2">
        <f t="shared" si="98"/>
        <v>88587.8</v>
      </c>
      <c r="H665" s="3">
        <f t="shared" si="101"/>
        <v>0.36182860393869132</v>
      </c>
      <c r="I665" s="3">
        <f t="shared" si="102"/>
        <v>0.29705219003068145</v>
      </c>
      <c r="J665" s="3">
        <f t="shared" si="103"/>
        <v>0.19772474313618804</v>
      </c>
      <c r="K665" s="3">
        <f t="shared" si="104"/>
        <v>0.14339446289443919</v>
      </c>
      <c r="L665" s="3">
        <f t="shared" si="105"/>
        <v>0.65888079396937282</v>
      </c>
      <c r="M665" s="56">
        <f t="shared" si="106"/>
        <v>0.34111920603062723</v>
      </c>
      <c r="O665" s="2">
        <v>53431</v>
      </c>
      <c r="R665" s="2">
        <v>49652</v>
      </c>
      <c r="S665" s="36"/>
    </row>
    <row r="666" spans="1:19" x14ac:dyDescent="0.25">
      <c r="A666" s="55" t="s">
        <v>26</v>
      </c>
      <c r="B666" s="1">
        <v>45589</v>
      </c>
      <c r="C666" s="36">
        <f t="shared" si="99"/>
        <v>20307.2</v>
      </c>
      <c r="D666" s="2">
        <v>12438</v>
      </c>
      <c r="E666" s="36">
        <f t="shared" si="100"/>
        <v>24853.600000000002</v>
      </c>
      <c r="F666" s="2">
        <v>12942</v>
      </c>
      <c r="G666" s="2">
        <f t="shared" si="98"/>
        <v>70540.800000000003</v>
      </c>
      <c r="H666" s="3">
        <f t="shared" si="101"/>
        <v>0.2878787878787879</v>
      </c>
      <c r="I666" s="3">
        <f t="shared" si="102"/>
        <v>0.35232943204500095</v>
      </c>
      <c r="J666" s="3">
        <f t="shared" si="103"/>
        <v>0.17632348938486661</v>
      </c>
      <c r="K666" s="3">
        <f t="shared" si="104"/>
        <v>0.18346829069134457</v>
      </c>
      <c r="L666" s="3">
        <f t="shared" si="105"/>
        <v>0.64020821992378885</v>
      </c>
      <c r="M666" s="56">
        <f t="shared" si="106"/>
        <v>0.35979178007621121</v>
      </c>
      <c r="O666" s="2">
        <v>50086</v>
      </c>
      <c r="R666" s="2">
        <v>43772</v>
      </c>
      <c r="S666" s="36"/>
    </row>
    <row r="667" spans="1:19" hidden="1" x14ac:dyDescent="0.25">
      <c r="A667" s="55" t="s">
        <v>7</v>
      </c>
      <c r="B667" s="1">
        <v>45590</v>
      </c>
      <c r="C667" s="36">
        <f t="shared" si="99"/>
        <v>43776</v>
      </c>
      <c r="D667" s="2">
        <v>22128</v>
      </c>
      <c r="E667" s="36">
        <f t="shared" si="100"/>
        <v>24105.600000000002</v>
      </c>
      <c r="F667" s="2">
        <v>22572</v>
      </c>
      <c r="G667" s="2">
        <f t="shared" si="98"/>
        <v>112581.6</v>
      </c>
      <c r="H667" s="3">
        <f t="shared" si="101"/>
        <v>0.38883796286426908</v>
      </c>
      <c r="I667" s="3">
        <f t="shared" si="102"/>
        <v>0.21411669402460082</v>
      </c>
      <c r="J667" s="3">
        <f t="shared" si="103"/>
        <v>0.19655076850924127</v>
      </c>
      <c r="K667" s="3">
        <f t="shared" si="104"/>
        <v>0.20049457460188874</v>
      </c>
      <c r="L667" s="3">
        <f t="shared" si="105"/>
        <v>0.60295465688886996</v>
      </c>
      <c r="M667" s="56">
        <f t="shared" si="106"/>
        <v>0.39704534311113004</v>
      </c>
      <c r="O667" s="2">
        <v>50442</v>
      </c>
      <c r="R667" s="2">
        <v>52118</v>
      </c>
      <c r="S667" s="36"/>
    </row>
    <row r="668" spans="1:19" hidden="1" x14ac:dyDescent="0.25">
      <c r="A668" s="55" t="s">
        <v>30</v>
      </c>
      <c r="B668" s="1">
        <v>45591</v>
      </c>
      <c r="C668" s="36">
        <f t="shared" si="99"/>
        <v>36160</v>
      </c>
      <c r="D668" s="2">
        <v>21828</v>
      </c>
      <c r="E668" s="36">
        <f t="shared" si="100"/>
        <v>41866.400000000001</v>
      </c>
      <c r="F668" s="2">
        <v>23833</v>
      </c>
      <c r="G668" s="2">
        <f t="shared" si="98"/>
        <v>123687.4</v>
      </c>
      <c r="H668" s="3">
        <f t="shared" si="101"/>
        <v>0.29234990791301296</v>
      </c>
      <c r="I668" s="3">
        <f t="shared" si="102"/>
        <v>0.33848556926574574</v>
      </c>
      <c r="J668" s="3">
        <f t="shared" si="103"/>
        <v>0.17647715127005661</v>
      </c>
      <c r="K668" s="3">
        <f t="shared" si="104"/>
        <v>0.19268737155118468</v>
      </c>
      <c r="L668" s="3">
        <f t="shared" si="105"/>
        <v>0.63083547717875865</v>
      </c>
      <c r="M668" s="56">
        <f t="shared" si="106"/>
        <v>0.36916452282124129</v>
      </c>
      <c r="O668" s="2">
        <v>51095</v>
      </c>
      <c r="R668" s="2">
        <v>22498</v>
      </c>
      <c r="S668" s="36"/>
    </row>
    <row r="669" spans="1:19" hidden="1" x14ac:dyDescent="0.25">
      <c r="A669" s="55" t="s">
        <v>31</v>
      </c>
      <c r="B669" s="1">
        <v>45592</v>
      </c>
      <c r="C669" s="36">
        <f t="shared" si="99"/>
        <v>36160</v>
      </c>
      <c r="D669" s="2">
        <v>21828</v>
      </c>
      <c r="E669" s="36">
        <f t="shared" si="100"/>
        <v>41866.400000000001</v>
      </c>
      <c r="F669" s="2">
        <v>23833</v>
      </c>
      <c r="G669" s="2">
        <f t="shared" si="98"/>
        <v>123687.4</v>
      </c>
      <c r="H669" s="3">
        <f t="shared" si="101"/>
        <v>0.29234990791301296</v>
      </c>
      <c r="I669" s="3">
        <f t="shared" si="102"/>
        <v>0.33848556926574574</v>
      </c>
      <c r="J669" s="3">
        <f t="shared" si="103"/>
        <v>0.17647715127005661</v>
      </c>
      <c r="K669" s="3">
        <f t="shared" si="104"/>
        <v>0.19268737155118468</v>
      </c>
      <c r="L669" s="3">
        <f t="shared" si="105"/>
        <v>0.63083547717875865</v>
      </c>
      <c r="M669" s="56">
        <f t="shared" si="106"/>
        <v>0.36916452282124129</v>
      </c>
      <c r="O669" s="2">
        <v>38310</v>
      </c>
      <c r="R669" s="2">
        <v>31728</v>
      </c>
      <c r="S669" s="36"/>
    </row>
    <row r="670" spans="1:19" hidden="1" x14ac:dyDescent="0.25">
      <c r="A670" s="55" t="s">
        <v>129</v>
      </c>
      <c r="B670" s="1">
        <v>45593</v>
      </c>
      <c r="C670" s="36">
        <f t="shared" si="99"/>
        <v>46410.400000000001</v>
      </c>
      <c r="D670" s="2">
        <v>23112</v>
      </c>
      <c r="E670" s="36">
        <f t="shared" si="100"/>
        <v>51162.400000000001</v>
      </c>
      <c r="F670" s="2">
        <v>20110</v>
      </c>
      <c r="G670" s="2">
        <f t="shared" si="98"/>
        <v>140794.79999999999</v>
      </c>
      <c r="H670" s="3">
        <f t="shared" si="101"/>
        <v>0.32963149207215042</v>
      </c>
      <c r="I670" s="3">
        <f t="shared" si="102"/>
        <v>0.36338273856704939</v>
      </c>
      <c r="J670" s="3">
        <f t="shared" si="103"/>
        <v>0.16415378977064496</v>
      </c>
      <c r="K670" s="3">
        <f t="shared" si="104"/>
        <v>0.14283197959015534</v>
      </c>
      <c r="L670" s="3">
        <f t="shared" si="105"/>
        <v>0.69301423063919987</v>
      </c>
      <c r="M670" s="56">
        <f t="shared" si="106"/>
        <v>0.3069857693608003</v>
      </c>
      <c r="O670" s="2">
        <v>32449</v>
      </c>
      <c r="R670" s="2">
        <v>22394</v>
      </c>
      <c r="S670" s="36"/>
    </row>
    <row r="671" spans="1:19" hidden="1" x14ac:dyDescent="0.25">
      <c r="A671" s="55" t="s">
        <v>14</v>
      </c>
      <c r="B671" s="1">
        <v>45594</v>
      </c>
      <c r="C671" s="36">
        <f t="shared" si="99"/>
        <v>46912.800000000003</v>
      </c>
      <c r="D671" s="2">
        <v>18162</v>
      </c>
      <c r="E671" s="36">
        <f t="shared" si="100"/>
        <v>36912.800000000003</v>
      </c>
      <c r="F671" s="2">
        <v>15442</v>
      </c>
      <c r="G671" s="2">
        <f t="shared" si="98"/>
        <v>117429.6</v>
      </c>
      <c r="H671" s="3">
        <f t="shared" si="101"/>
        <v>0.39949723068119114</v>
      </c>
      <c r="I671" s="3">
        <f t="shared" si="102"/>
        <v>0.31433982573388652</v>
      </c>
      <c r="J671" s="3">
        <f t="shared" si="103"/>
        <v>0.15466287886529459</v>
      </c>
      <c r="K671" s="3">
        <f t="shared" si="104"/>
        <v>0.13150006471962775</v>
      </c>
      <c r="L671" s="3">
        <f t="shared" si="105"/>
        <v>0.71383705641507766</v>
      </c>
      <c r="M671" s="56">
        <f t="shared" si="106"/>
        <v>0.28616294358492234</v>
      </c>
      <c r="O671" s="2">
        <v>46223</v>
      </c>
      <c r="R671" s="2">
        <v>43456</v>
      </c>
      <c r="S671" s="36"/>
    </row>
    <row r="672" spans="1:19" hidden="1" x14ac:dyDescent="0.25">
      <c r="A672" s="55" t="s">
        <v>21</v>
      </c>
      <c r="B672" s="1">
        <v>45595</v>
      </c>
      <c r="C672" s="36">
        <f t="shared" si="99"/>
        <v>23987.200000000001</v>
      </c>
      <c r="D672" s="2">
        <v>17064</v>
      </c>
      <c r="E672" s="36">
        <f t="shared" si="100"/>
        <v>29866.400000000001</v>
      </c>
      <c r="F672" s="2">
        <v>15998</v>
      </c>
      <c r="G672" s="2">
        <f t="shared" si="98"/>
        <v>86915.6</v>
      </c>
      <c r="H672" s="3">
        <f t="shared" si="101"/>
        <v>0.27598267744800703</v>
      </c>
      <c r="I672" s="3">
        <f t="shared" si="102"/>
        <v>0.34362531007091934</v>
      </c>
      <c r="J672" s="3">
        <f t="shared" si="103"/>
        <v>0.19632839214134171</v>
      </c>
      <c r="K672" s="3">
        <f t="shared" si="104"/>
        <v>0.18406362033973186</v>
      </c>
      <c r="L672" s="3">
        <f t="shared" si="105"/>
        <v>0.61960798751892643</v>
      </c>
      <c r="M672" s="56">
        <f t="shared" si="106"/>
        <v>0.38039201248107357</v>
      </c>
      <c r="O672" s="2">
        <v>39228</v>
      </c>
      <c r="R672" s="2">
        <v>53807</v>
      </c>
      <c r="S672" s="36"/>
    </row>
    <row r="673" spans="1:19" x14ac:dyDescent="0.25">
      <c r="A673" s="55" t="s">
        <v>26</v>
      </c>
      <c r="B673" s="1">
        <v>45596</v>
      </c>
      <c r="C673" s="36">
        <f t="shared" si="99"/>
        <v>25525.600000000002</v>
      </c>
      <c r="D673" s="2">
        <v>15095</v>
      </c>
      <c r="E673" s="36">
        <f t="shared" si="100"/>
        <v>27224.800000000003</v>
      </c>
      <c r="F673" s="2">
        <v>14617</v>
      </c>
      <c r="G673" s="2">
        <f t="shared" si="98"/>
        <v>82462.400000000009</v>
      </c>
      <c r="H673" s="3">
        <f t="shared" si="101"/>
        <v>0.30954228836415143</v>
      </c>
      <c r="I673" s="3">
        <f t="shared" si="102"/>
        <v>0.33014804322939911</v>
      </c>
      <c r="J673" s="3">
        <f t="shared" si="103"/>
        <v>0.18305312481809891</v>
      </c>
      <c r="K673" s="3">
        <f t="shared" si="104"/>
        <v>0.17725654358835055</v>
      </c>
      <c r="L673" s="3">
        <f t="shared" si="105"/>
        <v>0.6396903315935506</v>
      </c>
      <c r="M673" s="56">
        <f t="shared" si="106"/>
        <v>0.36030966840644946</v>
      </c>
      <c r="O673" s="2">
        <v>50754</v>
      </c>
      <c r="R673" s="2">
        <v>39338</v>
      </c>
      <c r="S673" s="36"/>
    </row>
    <row r="674" spans="1:19" hidden="1" x14ac:dyDescent="0.25">
      <c r="A674" s="55" t="s">
        <v>7</v>
      </c>
      <c r="B674" s="1">
        <v>45597</v>
      </c>
      <c r="C674" s="36">
        <f t="shared" si="99"/>
        <v>41924</v>
      </c>
      <c r="D674" s="2">
        <v>16400</v>
      </c>
      <c r="E674" s="36">
        <f t="shared" si="100"/>
        <v>34534.400000000001</v>
      </c>
      <c r="F674" s="2">
        <v>12616</v>
      </c>
      <c r="G674" s="2">
        <f t="shared" si="98"/>
        <v>105474.4</v>
      </c>
      <c r="H674" s="3">
        <f t="shared" si="101"/>
        <v>0.39748033646079051</v>
      </c>
      <c r="I674" s="3">
        <f t="shared" si="102"/>
        <v>0.32741973407765301</v>
      </c>
      <c r="J674" s="3">
        <f t="shared" si="103"/>
        <v>0.15548796674832946</v>
      </c>
      <c r="K674" s="3">
        <f t="shared" si="104"/>
        <v>0.1196119627132271</v>
      </c>
      <c r="L674" s="3">
        <f t="shared" si="105"/>
        <v>0.72490007053844341</v>
      </c>
      <c r="M674" s="56">
        <f t="shared" si="106"/>
        <v>0.27509992946155654</v>
      </c>
      <c r="O674" s="2">
        <v>51208</v>
      </c>
      <c r="R674" s="2">
        <v>54810</v>
      </c>
      <c r="S674" s="36"/>
    </row>
    <row r="675" spans="1:19" hidden="1" x14ac:dyDescent="0.25">
      <c r="A675" s="55" t="s">
        <v>30</v>
      </c>
      <c r="B675" s="1">
        <v>45598</v>
      </c>
      <c r="C675" s="36">
        <f t="shared" si="99"/>
        <v>52050.400000000001</v>
      </c>
      <c r="D675" s="2">
        <v>26515</v>
      </c>
      <c r="E675" s="36">
        <f t="shared" si="100"/>
        <v>44534.400000000001</v>
      </c>
      <c r="F675" s="2">
        <v>20684</v>
      </c>
      <c r="G675" s="2">
        <f t="shared" si="98"/>
        <v>143783.79999999999</v>
      </c>
      <c r="H675" s="3">
        <f t="shared" si="101"/>
        <v>0.36200462082654655</v>
      </c>
      <c r="I675" s="3">
        <f t="shared" si="102"/>
        <v>0.30973169439116233</v>
      </c>
      <c r="J675" s="3">
        <f t="shared" si="103"/>
        <v>0.18440881378847968</v>
      </c>
      <c r="K675" s="3">
        <f t="shared" si="104"/>
        <v>0.14385487099381156</v>
      </c>
      <c r="L675" s="3">
        <f t="shared" si="105"/>
        <v>0.67173631521770893</v>
      </c>
      <c r="M675" s="56">
        <f t="shared" si="106"/>
        <v>0.32826368478229123</v>
      </c>
      <c r="O675" s="2">
        <v>36440</v>
      </c>
      <c r="R675" s="2">
        <v>28011</v>
      </c>
      <c r="S675" s="36"/>
    </row>
    <row r="676" spans="1:19" hidden="1" x14ac:dyDescent="0.25">
      <c r="A676" s="55" t="s">
        <v>31</v>
      </c>
      <c r="B676" s="1">
        <v>45599</v>
      </c>
      <c r="C676" s="36">
        <f t="shared" si="99"/>
        <v>46312.800000000003</v>
      </c>
      <c r="D676" s="2">
        <v>25417</v>
      </c>
      <c r="E676" s="36">
        <f t="shared" si="100"/>
        <v>50600</v>
      </c>
      <c r="F676" s="2">
        <v>28129</v>
      </c>
      <c r="G676" s="2">
        <f t="shared" si="98"/>
        <v>150458.79999999999</v>
      </c>
      <c r="H676" s="3">
        <f t="shared" si="101"/>
        <v>0.30781051025264061</v>
      </c>
      <c r="I676" s="3">
        <f t="shared" si="102"/>
        <v>0.33630468939005231</v>
      </c>
      <c r="J676" s="3">
        <f t="shared" si="103"/>
        <v>0.16892996621001896</v>
      </c>
      <c r="K676" s="3">
        <f t="shared" si="104"/>
        <v>0.18695483414728817</v>
      </c>
      <c r="L676" s="3">
        <f t="shared" si="105"/>
        <v>0.64411519964269293</v>
      </c>
      <c r="M676" s="56">
        <f t="shared" si="106"/>
        <v>0.35588480035730713</v>
      </c>
      <c r="O676" s="2">
        <v>28705</v>
      </c>
      <c r="R676" s="2">
        <v>24955</v>
      </c>
      <c r="S676" s="36"/>
    </row>
    <row r="677" spans="1:19" hidden="1" x14ac:dyDescent="0.25">
      <c r="A677" s="55" t="s">
        <v>129</v>
      </c>
      <c r="B677" s="1">
        <v>45600</v>
      </c>
      <c r="C677" s="36">
        <f t="shared" si="99"/>
        <v>46254.400000000001</v>
      </c>
      <c r="D677" s="2">
        <v>22847</v>
      </c>
      <c r="E677" s="36">
        <f t="shared" si="100"/>
        <v>50493.600000000006</v>
      </c>
      <c r="F677" s="2">
        <v>18123</v>
      </c>
      <c r="G677" s="2">
        <f t="shared" si="98"/>
        <v>137718</v>
      </c>
      <c r="H677" s="3">
        <f t="shared" si="101"/>
        <v>0.33586314062068867</v>
      </c>
      <c r="I677" s="3">
        <f t="shared" si="102"/>
        <v>0.36664488302182724</v>
      </c>
      <c r="J677" s="3">
        <f t="shared" si="103"/>
        <v>0.16589697788233929</v>
      </c>
      <c r="K677" s="3">
        <f t="shared" si="104"/>
        <v>0.13159499847514486</v>
      </c>
      <c r="L677" s="3">
        <f t="shared" si="105"/>
        <v>0.70250802364251586</v>
      </c>
      <c r="M677" s="56">
        <f t="shared" si="106"/>
        <v>0.29749197635748414</v>
      </c>
      <c r="O677" s="2">
        <v>28460</v>
      </c>
      <c r="R677" s="2">
        <v>33074</v>
      </c>
      <c r="S677" s="36"/>
    </row>
    <row r="678" spans="1:19" hidden="1" x14ac:dyDescent="0.25">
      <c r="A678" s="55" t="s">
        <v>14</v>
      </c>
      <c r="B678" s="1">
        <v>45601</v>
      </c>
      <c r="C678" s="36">
        <f t="shared" si="99"/>
        <v>51090.400000000001</v>
      </c>
      <c r="D678" s="2">
        <v>22835</v>
      </c>
      <c r="E678" s="36">
        <f t="shared" si="100"/>
        <v>41791.200000000004</v>
      </c>
      <c r="F678" s="2">
        <v>15192</v>
      </c>
      <c r="G678" s="2">
        <f t="shared" si="98"/>
        <v>130908.6</v>
      </c>
      <c r="H678" s="3">
        <f t="shared" si="101"/>
        <v>0.39027535242146044</v>
      </c>
      <c r="I678" s="3">
        <f t="shared" si="102"/>
        <v>0.31923953048157266</v>
      </c>
      <c r="J678" s="3">
        <f t="shared" si="103"/>
        <v>0.17443468190783493</v>
      </c>
      <c r="K678" s="3">
        <f t="shared" si="104"/>
        <v>0.11605043518913195</v>
      </c>
      <c r="L678" s="3">
        <f t="shared" si="105"/>
        <v>0.70951488290303311</v>
      </c>
      <c r="M678" s="56">
        <f t="shared" si="106"/>
        <v>0.29048511709696689</v>
      </c>
      <c r="O678" s="2">
        <v>27947</v>
      </c>
      <c r="R678" s="2">
        <v>44911</v>
      </c>
      <c r="S678" s="36"/>
    </row>
    <row r="679" spans="1:19" hidden="1" x14ac:dyDescent="0.25">
      <c r="A679" s="55" t="s">
        <v>21</v>
      </c>
      <c r="B679" s="1">
        <v>45602</v>
      </c>
      <c r="C679" s="36">
        <f t="shared" si="99"/>
        <v>36652.800000000003</v>
      </c>
      <c r="D679" s="2">
        <v>19514</v>
      </c>
      <c r="E679" s="36">
        <f t="shared" si="100"/>
        <v>28800.800000000003</v>
      </c>
      <c r="F679" s="2">
        <v>17461</v>
      </c>
      <c r="G679" s="2">
        <f t="shared" si="98"/>
        <v>102428.6</v>
      </c>
      <c r="H679" s="3">
        <f t="shared" si="101"/>
        <v>0.35783755708854753</v>
      </c>
      <c r="I679" s="3">
        <f t="shared" si="102"/>
        <v>0.28117928000577963</v>
      </c>
      <c r="J679" s="3">
        <f t="shared" si="103"/>
        <v>0.19051319650956861</v>
      </c>
      <c r="K679" s="3">
        <f t="shared" si="104"/>
        <v>0.17046996639610421</v>
      </c>
      <c r="L679" s="3">
        <f t="shared" si="105"/>
        <v>0.63901683709432722</v>
      </c>
      <c r="M679" s="56">
        <f t="shared" si="106"/>
        <v>0.36098316290567278</v>
      </c>
      <c r="O679" s="2">
        <v>39756</v>
      </c>
      <c r="R679" s="2">
        <v>42373</v>
      </c>
      <c r="S679" s="36"/>
    </row>
    <row r="680" spans="1:19" x14ac:dyDescent="0.25">
      <c r="A680" s="55" t="s">
        <v>26</v>
      </c>
      <c r="B680" s="1">
        <v>45603</v>
      </c>
      <c r="C680" s="36">
        <f t="shared" si="99"/>
        <v>41341.600000000006</v>
      </c>
      <c r="D680" s="2">
        <v>15595</v>
      </c>
      <c r="E680" s="36">
        <f t="shared" si="100"/>
        <v>22515.200000000001</v>
      </c>
      <c r="F680" s="2">
        <v>12522</v>
      </c>
      <c r="G680" s="2">
        <f t="shared" si="98"/>
        <v>91973.8</v>
      </c>
      <c r="H680" s="3">
        <f t="shared" si="101"/>
        <v>0.44949322524458057</v>
      </c>
      <c r="I680" s="3">
        <f t="shared" si="102"/>
        <v>0.24480014960782309</v>
      </c>
      <c r="J680" s="3">
        <f t="shared" si="103"/>
        <v>0.16955915706429439</v>
      </c>
      <c r="K680" s="3">
        <f t="shared" si="104"/>
        <v>0.13614746808330197</v>
      </c>
      <c r="L680" s="3">
        <f t="shared" si="105"/>
        <v>0.69429337485240361</v>
      </c>
      <c r="M680" s="56">
        <f t="shared" si="106"/>
        <v>0.30570662514759639</v>
      </c>
      <c r="O680" s="2">
        <v>37330</v>
      </c>
      <c r="R680" s="2">
        <v>41381</v>
      </c>
      <c r="S680" s="36"/>
    </row>
    <row r="681" spans="1:19" hidden="1" x14ac:dyDescent="0.25">
      <c r="A681" s="55" t="s">
        <v>7</v>
      </c>
      <c r="B681" s="1">
        <v>45604</v>
      </c>
      <c r="C681" s="36">
        <f t="shared" si="99"/>
        <v>41132.800000000003</v>
      </c>
      <c r="D681" s="2">
        <v>22591</v>
      </c>
      <c r="E681" s="36">
        <f t="shared" si="100"/>
        <v>50548.800000000003</v>
      </c>
      <c r="F681" s="2">
        <v>14339</v>
      </c>
      <c r="G681" s="2">
        <f t="shared" si="98"/>
        <v>128611.6</v>
      </c>
      <c r="H681" s="3">
        <f t="shared" si="101"/>
        <v>0.31982185121715306</v>
      </c>
      <c r="I681" s="3">
        <f t="shared" si="102"/>
        <v>0.39303453187737342</v>
      </c>
      <c r="J681" s="3">
        <f t="shared" si="103"/>
        <v>0.17565289600627004</v>
      </c>
      <c r="K681" s="3">
        <f t="shared" si="104"/>
        <v>0.11149072089920349</v>
      </c>
      <c r="L681" s="3">
        <f t="shared" si="105"/>
        <v>0.71285638309452648</v>
      </c>
      <c r="M681" s="56">
        <f t="shared" si="106"/>
        <v>0.28714361690547352</v>
      </c>
      <c r="O681" s="2">
        <v>48980</v>
      </c>
      <c r="R681" s="2">
        <v>42622</v>
      </c>
      <c r="S681" s="36"/>
    </row>
    <row r="682" spans="1:19" hidden="1" x14ac:dyDescent="0.25">
      <c r="A682" s="55" t="s">
        <v>30</v>
      </c>
      <c r="B682" s="1">
        <v>45605</v>
      </c>
      <c r="C682" s="36">
        <f t="shared" si="99"/>
        <v>48115.200000000004</v>
      </c>
      <c r="D682" s="2">
        <v>36293</v>
      </c>
      <c r="E682" s="36">
        <f t="shared" si="100"/>
        <v>44852</v>
      </c>
      <c r="F682" s="2">
        <v>21696</v>
      </c>
      <c r="G682" s="2">
        <f t="shared" si="98"/>
        <v>150956.20000000001</v>
      </c>
      <c r="H682" s="3">
        <f t="shared" si="101"/>
        <v>0.31873616320495612</v>
      </c>
      <c r="I682" s="3">
        <f t="shared" si="102"/>
        <v>0.2971192968556442</v>
      </c>
      <c r="J682" s="3">
        <f t="shared" si="103"/>
        <v>0.24042073131146649</v>
      </c>
      <c r="K682" s="3">
        <f t="shared" si="104"/>
        <v>0.14372380862793313</v>
      </c>
      <c r="L682" s="3">
        <f t="shared" si="105"/>
        <v>0.61585546006060043</v>
      </c>
      <c r="M682" s="56">
        <f t="shared" si="106"/>
        <v>0.38414453993939962</v>
      </c>
      <c r="O682" s="2">
        <v>53538</v>
      </c>
      <c r="R682" s="2">
        <v>24358</v>
      </c>
      <c r="S682" s="36"/>
    </row>
    <row r="683" spans="1:19" hidden="1" x14ac:dyDescent="0.25">
      <c r="A683" s="55" t="s">
        <v>31</v>
      </c>
      <c r="B683" s="1">
        <v>45606</v>
      </c>
      <c r="C683" s="36">
        <f t="shared" si="99"/>
        <v>39116.800000000003</v>
      </c>
      <c r="D683" s="2">
        <v>31380</v>
      </c>
      <c r="E683" s="36">
        <f t="shared" si="100"/>
        <v>41881.600000000006</v>
      </c>
      <c r="F683" s="2">
        <v>21019</v>
      </c>
      <c r="G683" s="2">
        <f t="shared" si="98"/>
        <v>133397.40000000002</v>
      </c>
      <c r="H683" s="3">
        <f t="shared" si="101"/>
        <v>0.29323510053419327</v>
      </c>
      <c r="I683" s="3">
        <f t="shared" si="102"/>
        <v>0.31396114167142686</v>
      </c>
      <c r="J683" s="3">
        <f t="shared" si="103"/>
        <v>0.23523696863657009</v>
      </c>
      <c r="K683" s="3">
        <f t="shared" si="104"/>
        <v>0.15756678915780964</v>
      </c>
      <c r="L683" s="3">
        <f t="shared" si="105"/>
        <v>0.60719624220562018</v>
      </c>
      <c r="M683" s="56">
        <f t="shared" si="106"/>
        <v>0.3928037577943797</v>
      </c>
      <c r="O683" s="2">
        <v>49636</v>
      </c>
      <c r="R683" s="2">
        <v>32159</v>
      </c>
      <c r="S683" s="36"/>
    </row>
    <row r="684" spans="1:19" hidden="1" x14ac:dyDescent="0.25">
      <c r="A684" s="55" t="s">
        <v>129</v>
      </c>
      <c r="B684" s="1">
        <v>45607</v>
      </c>
      <c r="C684" s="36">
        <f t="shared" si="99"/>
        <v>50260</v>
      </c>
      <c r="D684" s="2">
        <v>23308</v>
      </c>
      <c r="E684" s="36">
        <f t="shared" si="100"/>
        <v>42636.800000000003</v>
      </c>
      <c r="F684" s="2">
        <v>22742</v>
      </c>
      <c r="G684" s="2">
        <f t="shared" si="98"/>
        <v>138946.79999999999</v>
      </c>
      <c r="H684" s="3">
        <f t="shared" si="101"/>
        <v>0.3617211767381473</v>
      </c>
      <c r="I684" s="3">
        <f t="shared" si="102"/>
        <v>0.3068570128999013</v>
      </c>
      <c r="J684" s="3">
        <f t="shared" si="103"/>
        <v>0.16774765593738036</v>
      </c>
      <c r="K684" s="3">
        <f t="shared" si="104"/>
        <v>0.16367415442457114</v>
      </c>
      <c r="L684" s="3">
        <f t="shared" si="105"/>
        <v>0.6685781896380486</v>
      </c>
      <c r="M684" s="56">
        <f t="shared" si="106"/>
        <v>0.33142181036195151</v>
      </c>
      <c r="O684" s="2">
        <v>29876</v>
      </c>
      <c r="R684" s="2">
        <v>24540</v>
      </c>
      <c r="S684" s="36"/>
    </row>
    <row r="685" spans="1:19" hidden="1" x14ac:dyDescent="0.25">
      <c r="A685" s="55" t="s">
        <v>14</v>
      </c>
      <c r="B685" s="1">
        <v>45608</v>
      </c>
      <c r="C685" s="36">
        <f t="shared" si="99"/>
        <v>47395.200000000004</v>
      </c>
      <c r="D685" s="2">
        <v>18657</v>
      </c>
      <c r="E685" s="36">
        <f t="shared" si="100"/>
        <v>40397.600000000006</v>
      </c>
      <c r="F685" s="2">
        <v>15069</v>
      </c>
      <c r="G685" s="2">
        <f t="shared" si="98"/>
        <v>121518.80000000002</v>
      </c>
      <c r="H685" s="3">
        <f t="shared" si="101"/>
        <v>0.3900236012863853</v>
      </c>
      <c r="I685" s="3">
        <f t="shared" si="102"/>
        <v>0.33243909584360609</v>
      </c>
      <c r="J685" s="3">
        <f t="shared" si="103"/>
        <v>0.15353179919485707</v>
      </c>
      <c r="K685" s="3">
        <f t="shared" si="104"/>
        <v>0.12400550367515148</v>
      </c>
      <c r="L685" s="3">
        <f t="shared" si="105"/>
        <v>0.72246269712999145</v>
      </c>
      <c r="M685" s="56">
        <f t="shared" si="106"/>
        <v>0.27753730287000855</v>
      </c>
      <c r="O685" s="2">
        <v>38294</v>
      </c>
      <c r="R685" s="2">
        <v>48527</v>
      </c>
      <c r="S685" s="36"/>
    </row>
    <row r="686" spans="1:19" hidden="1" x14ac:dyDescent="0.25">
      <c r="A686" s="55" t="s">
        <v>21</v>
      </c>
      <c r="B686" s="1">
        <v>45609</v>
      </c>
      <c r="C686" s="36">
        <f t="shared" si="99"/>
        <v>37088.800000000003</v>
      </c>
      <c r="D686" s="2">
        <v>20951</v>
      </c>
      <c r="E686" s="36">
        <f t="shared" si="100"/>
        <v>29279.200000000001</v>
      </c>
      <c r="F686" s="2">
        <v>13133</v>
      </c>
      <c r="G686" s="2">
        <f t="shared" si="98"/>
        <v>100452</v>
      </c>
      <c r="H686" s="3">
        <f t="shared" si="101"/>
        <v>0.36921912953450409</v>
      </c>
      <c r="I686" s="3">
        <f t="shared" si="102"/>
        <v>0.29147453510134197</v>
      </c>
      <c r="J686" s="3">
        <f t="shared" si="103"/>
        <v>0.2085672759128738</v>
      </c>
      <c r="K686" s="3">
        <f t="shared" si="104"/>
        <v>0.13073905945128023</v>
      </c>
      <c r="L686" s="3">
        <f t="shared" si="105"/>
        <v>0.660693664635846</v>
      </c>
      <c r="M686" s="56">
        <f t="shared" si="106"/>
        <v>0.339306335364154</v>
      </c>
      <c r="O686" s="2">
        <v>39040</v>
      </c>
      <c r="R686" s="2">
        <v>44580</v>
      </c>
      <c r="S686" s="36"/>
    </row>
    <row r="687" spans="1:19" x14ac:dyDescent="0.25">
      <c r="A687" s="55" t="s">
        <v>26</v>
      </c>
      <c r="B687" s="1">
        <v>45610</v>
      </c>
      <c r="C687" s="36">
        <f t="shared" si="99"/>
        <v>33167.200000000004</v>
      </c>
      <c r="D687" s="2">
        <v>13100</v>
      </c>
      <c r="E687" s="36">
        <f t="shared" si="100"/>
        <v>23554.400000000001</v>
      </c>
      <c r="F687" s="2">
        <v>15048</v>
      </c>
      <c r="G687" s="2">
        <f t="shared" si="98"/>
        <v>84869.6</v>
      </c>
      <c r="H687" s="3">
        <f t="shared" si="101"/>
        <v>0.3908018890156193</v>
      </c>
      <c r="I687" s="3">
        <f t="shared" si="102"/>
        <v>0.27753636166542556</v>
      </c>
      <c r="J687" s="3">
        <f t="shared" si="103"/>
        <v>0.15435444493670289</v>
      </c>
      <c r="K687" s="3">
        <f t="shared" si="104"/>
        <v>0.17730730438225228</v>
      </c>
      <c r="L687" s="3">
        <f t="shared" si="105"/>
        <v>0.6683382506810448</v>
      </c>
      <c r="M687" s="56">
        <f t="shared" si="106"/>
        <v>0.3316617493189552</v>
      </c>
      <c r="O687" s="2">
        <v>36521</v>
      </c>
      <c r="R687" s="2">
        <v>55827</v>
      </c>
      <c r="S687" s="36"/>
    </row>
    <row r="688" spans="1:19" hidden="1" x14ac:dyDescent="0.25">
      <c r="A688" s="55" t="s">
        <v>7</v>
      </c>
      <c r="B688" s="1">
        <v>45611</v>
      </c>
      <c r="C688" s="36">
        <f t="shared" si="99"/>
        <v>37307.200000000004</v>
      </c>
      <c r="D688" s="2">
        <v>24048</v>
      </c>
      <c r="E688" s="36">
        <f t="shared" si="100"/>
        <v>43546.400000000001</v>
      </c>
      <c r="F688" s="2">
        <v>14606</v>
      </c>
      <c r="G688" s="2">
        <f t="shared" si="98"/>
        <v>119507.6</v>
      </c>
      <c r="H688" s="3">
        <f t="shared" si="101"/>
        <v>0.31217428849713325</v>
      </c>
      <c r="I688" s="3">
        <f t="shared" si="102"/>
        <v>0.36438184684488684</v>
      </c>
      <c r="J688" s="3">
        <f t="shared" si="103"/>
        <v>0.20122569610635641</v>
      </c>
      <c r="K688" s="3">
        <f t="shared" si="104"/>
        <v>0.12221816855162349</v>
      </c>
      <c r="L688" s="3">
        <f t="shared" si="105"/>
        <v>0.67655613534202008</v>
      </c>
      <c r="M688" s="56">
        <f t="shared" si="106"/>
        <v>0.32344386465797992</v>
      </c>
      <c r="O688" s="2">
        <v>47903</v>
      </c>
      <c r="R688" s="2">
        <v>63492</v>
      </c>
      <c r="S688" s="36"/>
    </row>
    <row r="689" spans="1:19" hidden="1" x14ac:dyDescent="0.25">
      <c r="A689" s="55" t="s">
        <v>30</v>
      </c>
      <c r="B689" s="1">
        <v>45612</v>
      </c>
      <c r="C689" s="36">
        <f t="shared" si="99"/>
        <v>35788.800000000003</v>
      </c>
      <c r="D689" s="2">
        <v>30935</v>
      </c>
      <c r="E689" s="36">
        <f t="shared" si="100"/>
        <v>46780.800000000003</v>
      </c>
      <c r="F689" s="2">
        <v>28295</v>
      </c>
      <c r="G689" s="2">
        <f t="shared" si="98"/>
        <v>141799.6</v>
      </c>
      <c r="H689" s="3">
        <f t="shared" si="101"/>
        <v>0.2523899926374969</v>
      </c>
      <c r="I689" s="3">
        <f t="shared" si="102"/>
        <v>0.3299078417710628</v>
      </c>
      <c r="J689" s="3">
        <f t="shared" si="103"/>
        <v>0.21815999480957632</v>
      </c>
      <c r="K689" s="3">
        <f t="shared" si="104"/>
        <v>0.19954217078186398</v>
      </c>
      <c r="L689" s="3">
        <f t="shared" si="105"/>
        <v>0.58229783440855976</v>
      </c>
      <c r="M689" s="56">
        <f t="shared" si="106"/>
        <v>0.4177021655914403</v>
      </c>
      <c r="O689" s="2">
        <v>55741</v>
      </c>
      <c r="R689" s="2">
        <v>33326</v>
      </c>
      <c r="S689" s="36"/>
    </row>
    <row r="690" spans="1:19" hidden="1" x14ac:dyDescent="0.25">
      <c r="A690" s="55" t="s">
        <v>31</v>
      </c>
      <c r="B690" s="1">
        <v>45613</v>
      </c>
      <c r="C690" s="36">
        <f t="shared" si="99"/>
        <v>44157.600000000006</v>
      </c>
      <c r="D690" s="2">
        <v>23646</v>
      </c>
      <c r="E690" s="36">
        <f t="shared" si="100"/>
        <v>39228.800000000003</v>
      </c>
      <c r="F690" s="2">
        <v>22371</v>
      </c>
      <c r="G690" s="2">
        <f t="shared" si="98"/>
        <v>129403.40000000001</v>
      </c>
      <c r="H690" s="3">
        <f t="shared" si="101"/>
        <v>0.34123987468644568</v>
      </c>
      <c r="I690" s="3">
        <f t="shared" si="102"/>
        <v>0.30315123095683733</v>
      </c>
      <c r="J690" s="3">
        <f t="shared" si="103"/>
        <v>0.18273090197011824</v>
      </c>
      <c r="K690" s="3">
        <f t="shared" si="104"/>
        <v>0.17287799238659879</v>
      </c>
      <c r="L690" s="3">
        <f t="shared" si="105"/>
        <v>0.64439110564328295</v>
      </c>
      <c r="M690" s="56">
        <f t="shared" si="106"/>
        <v>0.35560889435671705</v>
      </c>
      <c r="O690" s="2">
        <v>40067</v>
      </c>
      <c r="R690" s="2">
        <v>32894</v>
      </c>
      <c r="S690" s="36"/>
    </row>
    <row r="691" spans="1:19" hidden="1" x14ac:dyDescent="0.25">
      <c r="A691" s="55" t="s">
        <v>129</v>
      </c>
      <c r="B691" s="1">
        <v>45614</v>
      </c>
      <c r="C691" s="36">
        <f t="shared" si="99"/>
        <v>37138.400000000001</v>
      </c>
      <c r="D691" s="2">
        <v>20256</v>
      </c>
      <c r="E691" s="36">
        <f t="shared" si="100"/>
        <v>42320</v>
      </c>
      <c r="F691" s="2">
        <v>12684</v>
      </c>
      <c r="G691" s="2">
        <f t="shared" si="98"/>
        <v>112398.39999999999</v>
      </c>
      <c r="H691" s="3">
        <f t="shared" si="101"/>
        <v>0.33041751484006893</v>
      </c>
      <c r="I691" s="3">
        <f t="shared" si="102"/>
        <v>0.37651781520021638</v>
      </c>
      <c r="J691" s="3">
        <f t="shared" si="103"/>
        <v>0.18021608848524534</v>
      </c>
      <c r="K691" s="3">
        <f t="shared" si="104"/>
        <v>0.1128485814744694</v>
      </c>
      <c r="L691" s="3">
        <f t="shared" si="105"/>
        <v>0.7069353300402853</v>
      </c>
      <c r="M691" s="56">
        <f t="shared" si="106"/>
        <v>0.29306466995971475</v>
      </c>
      <c r="O691" s="2">
        <v>25384</v>
      </c>
      <c r="R691" s="2">
        <v>31067</v>
      </c>
      <c r="S691" s="36"/>
    </row>
    <row r="692" spans="1:19" hidden="1" x14ac:dyDescent="0.25">
      <c r="A692" s="55" t="s">
        <v>14</v>
      </c>
      <c r="B692" s="1">
        <v>45615</v>
      </c>
      <c r="C692" s="36">
        <f t="shared" si="99"/>
        <v>42324.800000000003</v>
      </c>
      <c r="D692" s="2">
        <v>22118</v>
      </c>
      <c r="E692" s="36">
        <f t="shared" si="100"/>
        <v>29510.400000000001</v>
      </c>
      <c r="F692" s="2">
        <v>11233</v>
      </c>
      <c r="G692" s="2">
        <f t="shared" si="98"/>
        <v>105186.20000000001</v>
      </c>
      <c r="H692" s="3">
        <f t="shared" si="101"/>
        <v>0.40237977985705348</v>
      </c>
      <c r="I692" s="3">
        <f t="shared" si="102"/>
        <v>0.28055391296576926</v>
      </c>
      <c r="J692" s="3">
        <f t="shared" si="103"/>
        <v>0.21027473185646023</v>
      </c>
      <c r="K692" s="3">
        <f t="shared" si="104"/>
        <v>0.10679157532071697</v>
      </c>
      <c r="L692" s="3">
        <f t="shared" si="105"/>
        <v>0.68293369282282279</v>
      </c>
      <c r="M692" s="56">
        <f t="shared" si="106"/>
        <v>0.31706630717717721</v>
      </c>
      <c r="O692" s="2">
        <v>54720</v>
      </c>
      <c r="R692" s="2">
        <v>30132</v>
      </c>
      <c r="S692" s="36"/>
    </row>
    <row r="693" spans="1:19" hidden="1" x14ac:dyDescent="0.25">
      <c r="A693" s="55" t="s">
        <v>21</v>
      </c>
      <c r="B693" s="1">
        <v>45616</v>
      </c>
      <c r="C693" s="36">
        <f t="shared" si="99"/>
        <v>29720</v>
      </c>
      <c r="D693" s="2">
        <v>16931</v>
      </c>
      <c r="E693" s="36">
        <f t="shared" si="100"/>
        <v>19958.400000000001</v>
      </c>
      <c r="F693" s="2">
        <v>15093</v>
      </c>
      <c r="G693" s="2">
        <f t="shared" si="98"/>
        <v>81702.399999999994</v>
      </c>
      <c r="H693" s="3">
        <f t="shared" si="101"/>
        <v>0.36375920413598622</v>
      </c>
      <c r="I693" s="3">
        <f t="shared" si="102"/>
        <v>0.24428168572771428</v>
      </c>
      <c r="J693" s="3">
        <f t="shared" si="103"/>
        <v>0.20722769465768448</v>
      </c>
      <c r="K693" s="3">
        <f t="shared" si="104"/>
        <v>0.18473141547861507</v>
      </c>
      <c r="L693" s="3">
        <f t="shared" si="105"/>
        <v>0.60804088986370053</v>
      </c>
      <c r="M693" s="56">
        <f t="shared" si="106"/>
        <v>0.39195911013629958</v>
      </c>
      <c r="O693" s="2">
        <v>45200</v>
      </c>
      <c r="R693" s="2">
        <v>52333</v>
      </c>
      <c r="S693" s="36"/>
    </row>
    <row r="694" spans="1:19" x14ac:dyDescent="0.25">
      <c r="A694" s="55" t="s">
        <v>26</v>
      </c>
      <c r="B694" s="1">
        <v>45617</v>
      </c>
      <c r="C694" s="36">
        <f t="shared" si="99"/>
        <v>25264</v>
      </c>
      <c r="D694" s="2">
        <v>11058</v>
      </c>
      <c r="E694" s="36">
        <f t="shared" si="100"/>
        <v>25336.800000000003</v>
      </c>
      <c r="F694" s="2">
        <v>14982</v>
      </c>
      <c r="G694" s="2">
        <f t="shared" si="98"/>
        <v>76640.800000000003</v>
      </c>
      <c r="H694" s="3">
        <f t="shared" si="101"/>
        <v>0.32964165300988507</v>
      </c>
      <c r="I694" s="3">
        <f t="shared" si="102"/>
        <v>0.33059153871045188</v>
      </c>
      <c r="J694" s="3">
        <f t="shared" si="103"/>
        <v>0.14428346259433616</v>
      </c>
      <c r="K694" s="3">
        <f t="shared" si="104"/>
        <v>0.19548334568532688</v>
      </c>
      <c r="L694" s="3">
        <f t="shared" si="105"/>
        <v>0.66023319172033701</v>
      </c>
      <c r="M694" s="56">
        <f t="shared" si="106"/>
        <v>0.33976680827966305</v>
      </c>
      <c r="O694" s="2">
        <v>45200</v>
      </c>
      <c r="R694" s="2">
        <v>52333</v>
      </c>
      <c r="S694" s="36"/>
    </row>
    <row r="695" spans="1:19" hidden="1" x14ac:dyDescent="0.25">
      <c r="A695" s="55" t="s">
        <v>7</v>
      </c>
      <c r="B695" s="1">
        <v>45618</v>
      </c>
      <c r="C695" s="36">
        <f t="shared" si="99"/>
        <v>38615.200000000004</v>
      </c>
      <c r="D695" s="2">
        <v>20193</v>
      </c>
      <c r="E695" s="36">
        <f t="shared" si="100"/>
        <v>39745.600000000006</v>
      </c>
      <c r="F695" s="2">
        <v>14562</v>
      </c>
      <c r="G695" s="2">
        <f t="shared" si="98"/>
        <v>113115.80000000002</v>
      </c>
      <c r="H695" s="3">
        <f t="shared" si="101"/>
        <v>0.34137759711729043</v>
      </c>
      <c r="I695" s="3">
        <f t="shared" si="102"/>
        <v>0.35137089601983101</v>
      </c>
      <c r="J695" s="3">
        <f t="shared" si="103"/>
        <v>0.17851617545913123</v>
      </c>
      <c r="K695" s="3">
        <f t="shared" si="104"/>
        <v>0.12873533140374729</v>
      </c>
      <c r="L695" s="3">
        <f t="shared" si="105"/>
        <v>0.6927484931371215</v>
      </c>
      <c r="M695" s="56">
        <f t="shared" si="106"/>
        <v>0.3072515068628785</v>
      </c>
      <c r="O695" s="2">
        <v>58013</v>
      </c>
      <c r="R695" s="2">
        <v>63953</v>
      </c>
      <c r="S695" s="36"/>
    </row>
    <row r="696" spans="1:19" hidden="1" x14ac:dyDescent="0.25">
      <c r="A696" s="55" t="s">
        <v>30</v>
      </c>
      <c r="B696" s="1">
        <v>45619</v>
      </c>
      <c r="C696" s="36">
        <f t="shared" si="99"/>
        <v>38709.599999999999</v>
      </c>
      <c r="D696" s="2">
        <v>25940</v>
      </c>
      <c r="E696" s="36">
        <f t="shared" si="100"/>
        <v>34484.800000000003</v>
      </c>
      <c r="F696" s="2">
        <v>23200</v>
      </c>
      <c r="G696" s="2">
        <f t="shared" si="98"/>
        <v>122334.39999999999</v>
      </c>
      <c r="H696" s="3">
        <f t="shared" si="101"/>
        <v>0.31642448894178582</v>
      </c>
      <c r="I696" s="3">
        <f t="shared" si="102"/>
        <v>0.28188964019932256</v>
      </c>
      <c r="J696" s="3">
        <f t="shared" si="103"/>
        <v>0.21204174786486876</v>
      </c>
      <c r="K696" s="3">
        <f t="shared" si="104"/>
        <v>0.18964412299402295</v>
      </c>
      <c r="L696" s="3">
        <f t="shared" si="105"/>
        <v>0.59831412914110826</v>
      </c>
      <c r="M696" s="56">
        <f t="shared" si="106"/>
        <v>0.40168587085889174</v>
      </c>
      <c r="O696" s="2">
        <v>58641</v>
      </c>
      <c r="R696" s="2">
        <v>46141</v>
      </c>
      <c r="S696" s="36"/>
    </row>
    <row r="697" spans="1:19" hidden="1" x14ac:dyDescent="0.25">
      <c r="A697" s="55" t="s">
        <v>31</v>
      </c>
      <c r="B697" s="1">
        <v>45620</v>
      </c>
      <c r="C697" s="36">
        <f t="shared" si="99"/>
        <v>33807.200000000004</v>
      </c>
      <c r="D697" s="2">
        <v>25472</v>
      </c>
      <c r="E697" s="36">
        <f t="shared" si="100"/>
        <v>45045.600000000006</v>
      </c>
      <c r="F697" s="2">
        <v>23083</v>
      </c>
      <c r="G697" s="2">
        <f t="shared" si="98"/>
        <v>127407.80000000002</v>
      </c>
      <c r="H697" s="3">
        <f t="shared" si="101"/>
        <v>0.26534639166518847</v>
      </c>
      <c r="I697" s="3">
        <f t="shared" si="102"/>
        <v>0.35355449195418176</v>
      </c>
      <c r="J697" s="3">
        <f t="shared" si="103"/>
        <v>0.19992496534749046</v>
      </c>
      <c r="K697" s="3">
        <f t="shared" si="104"/>
        <v>0.18117415103313925</v>
      </c>
      <c r="L697" s="3">
        <f t="shared" si="105"/>
        <v>0.61890088361937035</v>
      </c>
      <c r="M697" s="56">
        <f t="shared" si="106"/>
        <v>0.38109911638062971</v>
      </c>
      <c r="O697" s="2">
        <v>29984</v>
      </c>
      <c r="R697" s="2">
        <v>37333</v>
      </c>
      <c r="S697" s="36"/>
    </row>
    <row r="698" spans="1:19" hidden="1" x14ac:dyDescent="0.25">
      <c r="A698" s="55" t="s">
        <v>129</v>
      </c>
      <c r="B698" s="1">
        <v>45621</v>
      </c>
      <c r="C698" s="36">
        <f t="shared" si="99"/>
        <v>45775.200000000004</v>
      </c>
      <c r="D698" s="2">
        <v>24758</v>
      </c>
      <c r="E698" s="36">
        <f t="shared" si="100"/>
        <v>37556.800000000003</v>
      </c>
      <c r="F698" s="2">
        <v>20735</v>
      </c>
      <c r="G698" s="2">
        <f t="shared" si="98"/>
        <v>128825.00000000001</v>
      </c>
      <c r="H698" s="3">
        <f t="shared" si="101"/>
        <v>0.35532854647777995</v>
      </c>
      <c r="I698" s="3">
        <f t="shared" si="102"/>
        <v>0.29153347564525517</v>
      </c>
      <c r="J698" s="3">
        <f t="shared" si="103"/>
        <v>0.19218319425577332</v>
      </c>
      <c r="K698" s="3">
        <f t="shared" si="104"/>
        <v>0.16095478362119153</v>
      </c>
      <c r="L698" s="3">
        <f t="shared" si="105"/>
        <v>0.64686202212303501</v>
      </c>
      <c r="M698" s="56">
        <f t="shared" si="106"/>
        <v>0.35313797787696483</v>
      </c>
      <c r="O698" s="2">
        <v>31907</v>
      </c>
      <c r="R698" s="2">
        <v>34031</v>
      </c>
      <c r="S698" s="36"/>
    </row>
    <row r="699" spans="1:19" hidden="1" x14ac:dyDescent="0.25">
      <c r="A699" s="55" t="s">
        <v>14</v>
      </c>
      <c r="B699" s="1">
        <v>45622</v>
      </c>
      <c r="C699" s="36">
        <f t="shared" si="99"/>
        <v>35103.200000000004</v>
      </c>
      <c r="D699" s="2">
        <v>20778</v>
      </c>
      <c r="E699" s="36">
        <f t="shared" si="100"/>
        <v>24688.800000000003</v>
      </c>
      <c r="F699" s="2">
        <v>14483</v>
      </c>
      <c r="G699" s="2">
        <f t="shared" si="98"/>
        <v>95053</v>
      </c>
      <c r="H699" s="3">
        <f t="shared" si="101"/>
        <v>0.36930133714874863</v>
      </c>
      <c r="I699" s="3">
        <f t="shared" si="102"/>
        <v>0.25973719924673605</v>
      </c>
      <c r="J699" s="3">
        <f t="shared" si="103"/>
        <v>0.21859383712244748</v>
      </c>
      <c r="K699" s="3">
        <f t="shared" si="104"/>
        <v>0.15236762648206789</v>
      </c>
      <c r="L699" s="3">
        <f t="shared" si="105"/>
        <v>0.62903853639548468</v>
      </c>
      <c r="M699" s="56">
        <f t="shared" si="106"/>
        <v>0.37096146360451537</v>
      </c>
      <c r="O699" s="2">
        <v>52405</v>
      </c>
      <c r="R699" s="2">
        <v>43168</v>
      </c>
      <c r="S699" s="36"/>
    </row>
    <row r="700" spans="1:19" hidden="1" x14ac:dyDescent="0.25">
      <c r="A700" s="55" t="s">
        <v>21</v>
      </c>
      <c r="B700" s="1">
        <v>45623</v>
      </c>
      <c r="C700" s="36">
        <f t="shared" si="99"/>
        <v>29290.400000000001</v>
      </c>
      <c r="D700" s="2">
        <v>11419</v>
      </c>
      <c r="E700" s="36">
        <f t="shared" si="100"/>
        <v>24381.600000000002</v>
      </c>
      <c r="F700" s="2">
        <v>10579</v>
      </c>
      <c r="G700" s="2">
        <f t="shared" si="98"/>
        <v>75670</v>
      </c>
      <c r="H700" s="3">
        <f t="shared" si="101"/>
        <v>0.38708074534161491</v>
      </c>
      <c r="I700" s="3">
        <f t="shared" si="102"/>
        <v>0.32220959429100043</v>
      </c>
      <c r="J700" s="3">
        <f t="shared" si="103"/>
        <v>0.15090524646491343</v>
      </c>
      <c r="K700" s="3">
        <f t="shared" si="104"/>
        <v>0.13980441390247125</v>
      </c>
      <c r="L700" s="3">
        <f t="shared" si="105"/>
        <v>0.70929033963261534</v>
      </c>
      <c r="M700" s="56">
        <f t="shared" si="106"/>
        <v>0.29070966036738471</v>
      </c>
      <c r="O700" s="2">
        <v>65063</v>
      </c>
      <c r="R700" s="2">
        <v>55668</v>
      </c>
      <c r="S700" s="36"/>
    </row>
    <row r="701" spans="1:19" x14ac:dyDescent="0.25">
      <c r="A701" s="55" t="s">
        <v>26</v>
      </c>
      <c r="B701" s="1">
        <v>45624</v>
      </c>
      <c r="C701" s="36">
        <f t="shared" si="99"/>
        <v>0</v>
      </c>
      <c r="D701" s="2">
        <v>0</v>
      </c>
      <c r="E701" s="36">
        <f t="shared" si="100"/>
        <v>0</v>
      </c>
      <c r="F701" s="2">
        <v>0</v>
      </c>
      <c r="G701" s="2">
        <f t="shared" si="98"/>
        <v>0</v>
      </c>
      <c r="H701" s="3">
        <f t="shared" si="101"/>
        <v>0</v>
      </c>
      <c r="I701" s="3">
        <f t="shared" si="102"/>
        <v>0</v>
      </c>
      <c r="J701" s="3">
        <f t="shared" si="103"/>
        <v>0</v>
      </c>
      <c r="K701" s="3">
        <f t="shared" si="104"/>
        <v>0</v>
      </c>
      <c r="L701" s="3">
        <f t="shared" si="105"/>
        <v>0</v>
      </c>
      <c r="M701" s="56">
        <f t="shared" si="106"/>
        <v>0</v>
      </c>
      <c r="O701" s="2">
        <v>57891</v>
      </c>
      <c r="R701" s="2">
        <v>63250</v>
      </c>
      <c r="S701" s="36"/>
    </row>
    <row r="702" spans="1:19" hidden="1" x14ac:dyDescent="0.25">
      <c r="A702" s="55" t="s">
        <v>7</v>
      </c>
      <c r="B702" s="1">
        <v>45625</v>
      </c>
      <c r="C702" s="36">
        <f t="shared" si="99"/>
        <v>36404</v>
      </c>
      <c r="D702" s="2">
        <v>20868</v>
      </c>
      <c r="E702" s="36">
        <f t="shared" si="100"/>
        <v>49973.600000000006</v>
      </c>
      <c r="F702" s="2">
        <v>13784</v>
      </c>
      <c r="G702" s="2">
        <f t="shared" si="98"/>
        <v>121029.6</v>
      </c>
      <c r="H702" s="3">
        <f t="shared" si="101"/>
        <v>0.30078592344352123</v>
      </c>
      <c r="I702" s="3">
        <f t="shared" si="102"/>
        <v>0.41290395076906811</v>
      </c>
      <c r="J702" s="3">
        <f t="shared" si="103"/>
        <v>0.17242063098613891</v>
      </c>
      <c r="K702" s="3">
        <f t="shared" si="104"/>
        <v>0.11388949480127175</v>
      </c>
      <c r="L702" s="3">
        <f t="shared" si="105"/>
        <v>0.71368987421258934</v>
      </c>
      <c r="M702" s="56">
        <f t="shared" si="106"/>
        <v>0.28631012578741066</v>
      </c>
      <c r="O702" s="2">
        <v>57818</v>
      </c>
      <c r="R702" s="2">
        <v>63117</v>
      </c>
      <c r="S702" s="36"/>
    </row>
    <row r="703" spans="1:19" hidden="1" x14ac:dyDescent="0.25">
      <c r="A703" s="55" t="s">
        <v>30</v>
      </c>
      <c r="B703" s="1">
        <v>45626</v>
      </c>
      <c r="C703" s="36">
        <f t="shared" si="99"/>
        <v>32488.800000000003</v>
      </c>
      <c r="D703" s="2">
        <v>27548</v>
      </c>
      <c r="E703" s="36">
        <f t="shared" si="100"/>
        <v>54248</v>
      </c>
      <c r="F703" s="2">
        <v>21551</v>
      </c>
      <c r="G703" s="2">
        <f t="shared" si="98"/>
        <v>135835.79999999999</v>
      </c>
      <c r="H703" s="3">
        <f t="shared" si="101"/>
        <v>0.23917700635620365</v>
      </c>
      <c r="I703" s="3">
        <f t="shared" si="102"/>
        <v>0.39936452687730339</v>
      </c>
      <c r="J703" s="3">
        <f t="shared" si="103"/>
        <v>0.20280367914791242</v>
      </c>
      <c r="K703" s="3">
        <f t="shared" si="104"/>
        <v>0.15865478761858068</v>
      </c>
      <c r="L703" s="3">
        <f t="shared" si="105"/>
        <v>0.63854153323350704</v>
      </c>
      <c r="M703" s="56">
        <f t="shared" si="106"/>
        <v>0.36145846676649313</v>
      </c>
      <c r="O703" s="2">
        <v>63863</v>
      </c>
      <c r="R703" s="2">
        <v>52239</v>
      </c>
      <c r="S703" s="36"/>
    </row>
    <row r="704" spans="1:19" hidden="1" x14ac:dyDescent="0.25">
      <c r="A704" s="55" t="s">
        <v>31</v>
      </c>
      <c r="B704" s="1">
        <v>45627</v>
      </c>
      <c r="C704" s="36">
        <f t="shared" si="99"/>
        <v>28136</v>
      </c>
      <c r="D704" s="2">
        <v>27774</v>
      </c>
      <c r="E704" s="36">
        <f t="shared" si="100"/>
        <v>42404</v>
      </c>
      <c r="F704" s="2">
        <v>25451</v>
      </c>
      <c r="G704" s="2">
        <f t="shared" si="98"/>
        <v>123765</v>
      </c>
      <c r="H704" s="3">
        <f t="shared" si="101"/>
        <v>0.22733406051791702</v>
      </c>
      <c r="I704" s="3">
        <f t="shared" si="102"/>
        <v>0.3426170565184018</v>
      </c>
      <c r="J704" s="3">
        <f t="shared" si="103"/>
        <v>0.22440916252575446</v>
      </c>
      <c r="K704" s="3">
        <f t="shared" si="104"/>
        <v>0.20563972043792672</v>
      </c>
      <c r="L704" s="3">
        <f t="shared" si="105"/>
        <v>0.56995111703631884</v>
      </c>
      <c r="M704" s="56">
        <f t="shared" si="106"/>
        <v>0.43004888296368116</v>
      </c>
      <c r="O704" s="2">
        <v>45816</v>
      </c>
      <c r="R704" s="2">
        <v>36001</v>
      </c>
      <c r="S704" s="36"/>
    </row>
    <row r="705" spans="1:19" hidden="1" x14ac:dyDescent="0.25">
      <c r="A705" s="55" t="s">
        <v>129</v>
      </c>
      <c r="B705" s="1">
        <v>45628</v>
      </c>
      <c r="C705" s="36">
        <f t="shared" si="99"/>
        <v>46298.400000000001</v>
      </c>
      <c r="D705" s="2">
        <v>24831</v>
      </c>
      <c r="E705" s="36">
        <f t="shared" si="100"/>
        <v>53923.200000000004</v>
      </c>
      <c r="F705" s="2">
        <v>18587</v>
      </c>
      <c r="G705" s="2">
        <f t="shared" si="98"/>
        <v>143639.6</v>
      </c>
      <c r="H705" s="3">
        <f t="shared" si="101"/>
        <v>0.32232337043545095</v>
      </c>
      <c r="I705" s="3">
        <f t="shared" si="102"/>
        <v>0.37540622502429694</v>
      </c>
      <c r="J705" s="3">
        <f t="shared" si="103"/>
        <v>0.1728701555838362</v>
      </c>
      <c r="K705" s="3">
        <f t="shared" si="104"/>
        <v>0.12940024895641591</v>
      </c>
      <c r="L705" s="3">
        <f t="shared" si="105"/>
        <v>0.69772959545974789</v>
      </c>
      <c r="M705" s="56">
        <f t="shared" si="106"/>
        <v>0.30227040454025211</v>
      </c>
      <c r="O705" s="2">
        <v>51677</v>
      </c>
      <c r="R705" s="2">
        <v>28144</v>
      </c>
      <c r="S705" s="36"/>
    </row>
    <row r="706" spans="1:19" hidden="1" x14ac:dyDescent="0.25">
      <c r="A706" s="55" t="s">
        <v>14</v>
      </c>
      <c r="B706" s="1">
        <v>45629</v>
      </c>
      <c r="C706" s="36">
        <f t="shared" si="99"/>
        <v>37668</v>
      </c>
      <c r="D706" s="2">
        <v>21255</v>
      </c>
      <c r="E706" s="36">
        <f t="shared" si="100"/>
        <v>29384</v>
      </c>
      <c r="F706" s="2">
        <v>11726</v>
      </c>
      <c r="G706" s="2">
        <f t="shared" si="98"/>
        <v>100033</v>
      </c>
      <c r="H706" s="3">
        <f t="shared" si="101"/>
        <v>0.37655573660691971</v>
      </c>
      <c r="I706" s="3">
        <f t="shared" si="102"/>
        <v>0.29374306478861978</v>
      </c>
      <c r="J706" s="3">
        <f t="shared" si="103"/>
        <v>0.21247988163905912</v>
      </c>
      <c r="K706" s="3">
        <f t="shared" si="104"/>
        <v>0.11722131696540142</v>
      </c>
      <c r="L706" s="3">
        <f t="shared" si="105"/>
        <v>0.67029880139553943</v>
      </c>
      <c r="M706" s="56">
        <f t="shared" si="106"/>
        <v>0.32970119860446051</v>
      </c>
      <c r="O706" s="2">
        <v>51416</v>
      </c>
      <c r="R706" s="2">
        <v>63186</v>
      </c>
      <c r="S706" s="36"/>
    </row>
    <row r="707" spans="1:19" hidden="1" x14ac:dyDescent="0.25">
      <c r="A707" s="55" t="s">
        <v>21</v>
      </c>
      <c r="B707" s="1">
        <v>45630</v>
      </c>
      <c r="C707" s="36">
        <f t="shared" si="99"/>
        <v>29943.200000000001</v>
      </c>
      <c r="D707" s="2">
        <v>21164</v>
      </c>
      <c r="E707" s="36">
        <f t="shared" si="100"/>
        <v>28134.400000000001</v>
      </c>
      <c r="F707" s="2">
        <v>18768</v>
      </c>
      <c r="G707" s="2">
        <f t="shared" si="98"/>
        <v>98009.600000000006</v>
      </c>
      <c r="H707" s="3">
        <f t="shared" si="101"/>
        <v>0.30551292934569674</v>
      </c>
      <c r="I707" s="3">
        <f t="shared" si="102"/>
        <v>0.28705759435810368</v>
      </c>
      <c r="J707" s="3">
        <f t="shared" si="103"/>
        <v>0.21593803056027164</v>
      </c>
      <c r="K707" s="3">
        <f t="shared" si="104"/>
        <v>0.19149144573592788</v>
      </c>
      <c r="L707" s="3">
        <f t="shared" si="105"/>
        <v>0.59257052370380048</v>
      </c>
      <c r="M707" s="56">
        <f t="shared" si="106"/>
        <v>0.40742947629619952</v>
      </c>
      <c r="O707" s="2">
        <v>60144</v>
      </c>
      <c r="R707" s="2">
        <v>56065</v>
      </c>
      <c r="S707" s="36"/>
    </row>
    <row r="708" spans="1:19" x14ac:dyDescent="0.25">
      <c r="A708" s="55" t="s">
        <v>26</v>
      </c>
      <c r="B708" s="1">
        <v>45631</v>
      </c>
      <c r="C708" s="36">
        <f t="shared" si="99"/>
        <v>39900.800000000003</v>
      </c>
      <c r="D708" s="2">
        <v>15097</v>
      </c>
      <c r="E708" s="36">
        <f t="shared" si="100"/>
        <v>26144.800000000003</v>
      </c>
      <c r="F708" s="2">
        <v>16070</v>
      </c>
      <c r="G708" s="2">
        <f t="shared" ref="G708:G771" si="107">SUM(C708:F708)</f>
        <v>97212.6</v>
      </c>
      <c r="H708" s="3">
        <f t="shared" si="101"/>
        <v>0.41044885128059533</v>
      </c>
      <c r="I708" s="3">
        <f t="shared" si="102"/>
        <v>0.26894456068452033</v>
      </c>
      <c r="J708" s="3">
        <f t="shared" si="103"/>
        <v>0.15529879871539284</v>
      </c>
      <c r="K708" s="3">
        <f t="shared" si="104"/>
        <v>0.1653077893194915</v>
      </c>
      <c r="L708" s="3">
        <f t="shared" si="105"/>
        <v>0.6793934119651156</v>
      </c>
      <c r="M708" s="56">
        <f t="shared" si="106"/>
        <v>0.32060658803488434</v>
      </c>
      <c r="O708" s="2">
        <v>48896</v>
      </c>
      <c r="R708" s="2">
        <v>52352</v>
      </c>
      <c r="S708" s="36"/>
    </row>
    <row r="709" spans="1:19" hidden="1" x14ac:dyDescent="0.25">
      <c r="A709" s="55" t="s">
        <v>7</v>
      </c>
      <c r="B709" s="1">
        <v>45632</v>
      </c>
      <c r="C709" s="36">
        <f t="shared" ref="C709:C772" si="108">O734*$P$27</f>
        <v>25083.200000000001</v>
      </c>
      <c r="D709" s="2">
        <v>21032</v>
      </c>
      <c r="E709" s="36">
        <f t="shared" ref="E709:E772" si="109">R734*$P$27</f>
        <v>45184.800000000003</v>
      </c>
      <c r="F709" s="2">
        <v>14317</v>
      </c>
      <c r="G709" s="2">
        <f t="shared" si="107"/>
        <v>105617</v>
      </c>
      <c r="H709" s="3">
        <f t="shared" ref="H709:H772" si="110">IFERROR(C709/G709,0)</f>
        <v>0.23749207040533249</v>
      </c>
      <c r="I709" s="3">
        <f t="shared" ref="I709:I772" si="111">IFERROR(E709/G709,0)</f>
        <v>0.42781749150231502</v>
      </c>
      <c r="J709" s="3">
        <f t="shared" ref="J709:J772" si="112">IFERROR(D709/G709,0)</f>
        <v>0.19913460901180682</v>
      </c>
      <c r="K709" s="3">
        <f t="shared" ref="K709:K772" si="113">IFERROR(F709/G709,0)</f>
        <v>0.13555582908054575</v>
      </c>
      <c r="L709" s="3">
        <f t="shared" ref="L709:L772" si="114">IFERROR((C709+E709)/G709, 0)</f>
        <v>0.66530956190764745</v>
      </c>
      <c r="M709" s="56">
        <f t="shared" ref="M709:M772" si="115">IFERROR((D709+F709)/G709, 0)</f>
        <v>0.33469043809235255</v>
      </c>
      <c r="O709" s="2">
        <v>62825</v>
      </c>
      <c r="R709" s="2">
        <v>53296</v>
      </c>
      <c r="S709" s="36"/>
    </row>
    <row r="710" spans="1:19" hidden="1" x14ac:dyDescent="0.25">
      <c r="A710" s="55" t="s">
        <v>30</v>
      </c>
      <c r="B710" s="1">
        <v>45633</v>
      </c>
      <c r="C710" s="36">
        <f t="shared" si="108"/>
        <v>44817.600000000006</v>
      </c>
      <c r="D710" s="2">
        <v>30116</v>
      </c>
      <c r="E710" s="36">
        <f t="shared" si="109"/>
        <v>51819.200000000004</v>
      </c>
      <c r="F710" s="2">
        <v>21180</v>
      </c>
      <c r="G710" s="2">
        <f t="shared" si="107"/>
        <v>147932.80000000002</v>
      </c>
      <c r="H710" s="3">
        <f t="shared" si="110"/>
        <v>0.30295918146617923</v>
      </c>
      <c r="I710" s="3">
        <f t="shared" si="111"/>
        <v>0.35028877977027406</v>
      </c>
      <c r="J710" s="3">
        <f t="shared" si="112"/>
        <v>0.2035789223214865</v>
      </c>
      <c r="K710" s="3">
        <f t="shared" si="113"/>
        <v>0.14317311644206016</v>
      </c>
      <c r="L710" s="3">
        <f t="shared" si="114"/>
        <v>0.65324796123645335</v>
      </c>
      <c r="M710" s="56">
        <f t="shared" si="115"/>
        <v>0.34675203876354665</v>
      </c>
      <c r="O710" s="2">
        <v>59244</v>
      </c>
      <c r="R710" s="2">
        <v>50497</v>
      </c>
      <c r="S710" s="36"/>
    </row>
    <row r="711" spans="1:19" hidden="1" x14ac:dyDescent="0.25">
      <c r="A711" s="55" t="s">
        <v>31</v>
      </c>
      <c r="B711" s="1">
        <v>45634</v>
      </c>
      <c r="C711" s="36">
        <f t="shared" si="108"/>
        <v>36914.400000000001</v>
      </c>
      <c r="D711" s="2">
        <v>25834</v>
      </c>
      <c r="E711" s="36">
        <f t="shared" si="109"/>
        <v>50011.200000000004</v>
      </c>
      <c r="F711" s="2">
        <v>27342</v>
      </c>
      <c r="G711" s="2">
        <f t="shared" si="107"/>
        <v>140101.6</v>
      </c>
      <c r="H711" s="3">
        <f t="shared" si="110"/>
        <v>0.26348307228468482</v>
      </c>
      <c r="I711" s="3">
        <f t="shared" si="111"/>
        <v>0.35696380341123873</v>
      </c>
      <c r="J711" s="3">
        <f t="shared" si="112"/>
        <v>0.18439475352172993</v>
      </c>
      <c r="K711" s="3">
        <f t="shared" si="113"/>
        <v>0.19515837078234652</v>
      </c>
      <c r="L711" s="3">
        <f t="shared" si="114"/>
        <v>0.62044687569592349</v>
      </c>
      <c r="M711" s="56">
        <f t="shared" si="115"/>
        <v>0.37955312430407645</v>
      </c>
      <c r="O711" s="2">
        <v>46361</v>
      </c>
      <c r="R711" s="2">
        <v>36599</v>
      </c>
      <c r="S711" s="36"/>
    </row>
    <row r="712" spans="1:19" hidden="1" x14ac:dyDescent="0.25">
      <c r="A712" s="55" t="s">
        <v>129</v>
      </c>
      <c r="B712" s="1">
        <v>45635</v>
      </c>
      <c r="C712" s="36">
        <f t="shared" si="108"/>
        <v>41818.400000000001</v>
      </c>
      <c r="D712" s="2">
        <v>23369</v>
      </c>
      <c r="E712" s="36">
        <f t="shared" si="109"/>
        <v>51004</v>
      </c>
      <c r="F712" s="2">
        <v>16278</v>
      </c>
      <c r="G712" s="2">
        <f t="shared" si="107"/>
        <v>132469.4</v>
      </c>
      <c r="H712" s="3">
        <f t="shared" si="110"/>
        <v>0.31568347105067285</v>
      </c>
      <c r="I712" s="3">
        <f t="shared" si="111"/>
        <v>0.38502476798415336</v>
      </c>
      <c r="J712" s="3">
        <f t="shared" si="112"/>
        <v>0.17641055217280369</v>
      </c>
      <c r="K712" s="3">
        <f t="shared" si="113"/>
        <v>0.12288120879237016</v>
      </c>
      <c r="L712" s="3">
        <f t="shared" si="114"/>
        <v>0.70070823903482615</v>
      </c>
      <c r="M712" s="56">
        <f t="shared" si="115"/>
        <v>0.29929176096517385</v>
      </c>
      <c r="O712" s="2">
        <v>41459</v>
      </c>
      <c r="R712" s="2">
        <v>29443</v>
      </c>
      <c r="S712" s="36"/>
    </row>
    <row r="713" spans="1:19" hidden="1" x14ac:dyDescent="0.25">
      <c r="A713" s="55" t="s">
        <v>14</v>
      </c>
      <c r="B713" s="1">
        <v>45636</v>
      </c>
      <c r="C713" s="36">
        <f t="shared" si="108"/>
        <v>41914.400000000001</v>
      </c>
      <c r="D713" s="2">
        <v>17043</v>
      </c>
      <c r="E713" s="36">
        <f t="shared" si="109"/>
        <v>29432</v>
      </c>
      <c r="F713" s="2">
        <v>12098</v>
      </c>
      <c r="G713" s="2">
        <f t="shared" si="107"/>
        <v>100487.4</v>
      </c>
      <c r="H713" s="3">
        <f t="shared" si="110"/>
        <v>0.41711100098121756</v>
      </c>
      <c r="I713" s="3">
        <f t="shared" si="111"/>
        <v>0.29289244223653915</v>
      </c>
      <c r="J713" s="3">
        <f t="shared" si="112"/>
        <v>0.16960335325622916</v>
      </c>
      <c r="K713" s="3">
        <f t="shared" si="113"/>
        <v>0.12039320352601421</v>
      </c>
      <c r="L713" s="3">
        <f t="shared" si="114"/>
        <v>0.71000344321775666</v>
      </c>
      <c r="M713" s="56">
        <f t="shared" si="115"/>
        <v>0.28999655678224334</v>
      </c>
      <c r="O713" s="2">
        <v>46634</v>
      </c>
      <c r="R713" s="2">
        <v>54433</v>
      </c>
      <c r="S713" s="36"/>
    </row>
    <row r="714" spans="1:19" hidden="1" x14ac:dyDescent="0.25">
      <c r="A714" s="55" t="s">
        <v>21</v>
      </c>
      <c r="B714" s="1">
        <v>45637</v>
      </c>
      <c r="C714" s="36">
        <f t="shared" si="108"/>
        <v>26927.200000000001</v>
      </c>
      <c r="D714" s="2">
        <v>15085</v>
      </c>
      <c r="E714" s="36">
        <f t="shared" si="109"/>
        <v>24093.600000000002</v>
      </c>
      <c r="F714" s="2">
        <v>13023</v>
      </c>
      <c r="G714" s="2">
        <f t="shared" si="107"/>
        <v>79128.800000000003</v>
      </c>
      <c r="H714" s="3">
        <f t="shared" si="110"/>
        <v>0.34029582149609244</v>
      </c>
      <c r="I714" s="3">
        <f t="shared" si="111"/>
        <v>0.3044858509164805</v>
      </c>
      <c r="J714" s="3">
        <f t="shared" si="112"/>
        <v>0.19063855385144221</v>
      </c>
      <c r="K714" s="3">
        <f t="shared" si="113"/>
        <v>0.16457977373598487</v>
      </c>
      <c r="L714" s="3">
        <f t="shared" si="114"/>
        <v>0.64478167241257289</v>
      </c>
      <c r="M714" s="56">
        <f t="shared" si="115"/>
        <v>0.35521832758742705</v>
      </c>
      <c r="O714" s="2">
        <v>44736</v>
      </c>
      <c r="R714" s="2">
        <v>58476</v>
      </c>
      <c r="S714" s="36"/>
    </row>
    <row r="715" spans="1:19" x14ac:dyDescent="0.25">
      <c r="A715" s="55" t="s">
        <v>26</v>
      </c>
      <c r="B715" s="1">
        <v>45638</v>
      </c>
      <c r="C715" s="36">
        <f t="shared" si="108"/>
        <v>20220.800000000003</v>
      </c>
      <c r="D715" s="2">
        <v>12461</v>
      </c>
      <c r="E715" s="36">
        <f t="shared" si="109"/>
        <v>21813.600000000002</v>
      </c>
      <c r="F715" s="2">
        <v>12100</v>
      </c>
      <c r="G715" s="2">
        <f t="shared" si="107"/>
        <v>66595.400000000009</v>
      </c>
      <c r="H715" s="3">
        <f t="shared" si="110"/>
        <v>0.30363658751205036</v>
      </c>
      <c r="I715" s="3">
        <f t="shared" si="111"/>
        <v>0.32755415539211413</v>
      </c>
      <c r="J715" s="3">
        <f t="shared" si="112"/>
        <v>0.18711502596275417</v>
      </c>
      <c r="K715" s="3">
        <f t="shared" si="113"/>
        <v>0.18169423113308125</v>
      </c>
      <c r="L715" s="3">
        <f t="shared" si="114"/>
        <v>0.63119074290416455</v>
      </c>
      <c r="M715" s="56">
        <f t="shared" si="115"/>
        <v>0.3688092570958354</v>
      </c>
      <c r="O715" s="2">
        <v>55197</v>
      </c>
      <c r="R715" s="2">
        <v>49036</v>
      </c>
      <c r="S715" s="36"/>
    </row>
    <row r="716" spans="1:19" hidden="1" x14ac:dyDescent="0.25">
      <c r="A716" s="55" t="s">
        <v>7</v>
      </c>
      <c r="B716" s="1">
        <v>45639</v>
      </c>
      <c r="C716" s="36">
        <f t="shared" si="108"/>
        <v>25931.200000000001</v>
      </c>
      <c r="D716" s="2">
        <v>13986</v>
      </c>
      <c r="E716" s="36">
        <f t="shared" si="109"/>
        <v>45946.400000000001</v>
      </c>
      <c r="F716" s="2">
        <v>14331</v>
      </c>
      <c r="G716" s="2">
        <f t="shared" si="107"/>
        <v>100194.6</v>
      </c>
      <c r="H716" s="3">
        <f t="shared" si="110"/>
        <v>0.25880835893351539</v>
      </c>
      <c r="I716" s="3">
        <f t="shared" si="111"/>
        <v>0.45857161962820353</v>
      </c>
      <c r="J716" s="3">
        <f t="shared" si="112"/>
        <v>0.13958836104939787</v>
      </c>
      <c r="K716" s="3">
        <f t="shared" si="113"/>
        <v>0.14303166038888324</v>
      </c>
      <c r="L716" s="3">
        <f t="shared" si="114"/>
        <v>0.71737997856171887</v>
      </c>
      <c r="M716" s="56">
        <f t="shared" si="115"/>
        <v>0.28262002143828108</v>
      </c>
      <c r="O716" s="2">
        <v>46423</v>
      </c>
      <c r="R716" s="2">
        <v>52900</v>
      </c>
      <c r="S716" s="36"/>
    </row>
    <row r="717" spans="1:19" hidden="1" x14ac:dyDescent="0.25">
      <c r="A717" s="55" t="s">
        <v>30</v>
      </c>
      <c r="B717" s="1">
        <v>45640</v>
      </c>
      <c r="C717" s="36">
        <f t="shared" si="108"/>
        <v>34498.400000000001</v>
      </c>
      <c r="D717" s="2">
        <v>26395</v>
      </c>
      <c r="E717" s="36">
        <f t="shared" si="109"/>
        <v>48598.400000000001</v>
      </c>
      <c r="F717" s="2">
        <v>25822</v>
      </c>
      <c r="G717" s="2">
        <f t="shared" si="107"/>
        <v>135313.79999999999</v>
      </c>
      <c r="H717" s="3">
        <f t="shared" si="110"/>
        <v>0.25495108407272582</v>
      </c>
      <c r="I717" s="3">
        <f t="shared" si="111"/>
        <v>0.35915331621756247</v>
      </c>
      <c r="J717" s="3">
        <f t="shared" si="112"/>
        <v>0.19506510052928824</v>
      </c>
      <c r="K717" s="3">
        <f t="shared" si="113"/>
        <v>0.19083049918042361</v>
      </c>
      <c r="L717" s="3">
        <f t="shared" si="114"/>
        <v>0.61410440029028823</v>
      </c>
      <c r="M717" s="56">
        <f t="shared" si="115"/>
        <v>0.38589559970971182</v>
      </c>
      <c r="O717" s="2">
        <v>52906</v>
      </c>
      <c r="R717" s="2">
        <v>36888</v>
      </c>
      <c r="S717" s="36"/>
    </row>
    <row r="718" spans="1:19" hidden="1" x14ac:dyDescent="0.25">
      <c r="A718" s="55" t="s">
        <v>31</v>
      </c>
      <c r="B718" s="1">
        <v>45641</v>
      </c>
      <c r="C718" s="36">
        <f t="shared" si="108"/>
        <v>34702.400000000001</v>
      </c>
      <c r="D718" s="2">
        <v>26711</v>
      </c>
      <c r="E718" s="36">
        <f t="shared" si="109"/>
        <v>35088.800000000003</v>
      </c>
      <c r="F718" s="2">
        <v>18324</v>
      </c>
      <c r="G718" s="2">
        <f t="shared" si="107"/>
        <v>114826.20000000001</v>
      </c>
      <c r="H718" s="3">
        <f t="shared" si="110"/>
        <v>0.30221674147537753</v>
      </c>
      <c r="I718" s="3">
        <f t="shared" si="111"/>
        <v>0.30558182714397936</v>
      </c>
      <c r="J718" s="3">
        <f t="shared" si="112"/>
        <v>0.23262112653732334</v>
      </c>
      <c r="K718" s="3">
        <f t="shared" si="113"/>
        <v>0.15958030484331973</v>
      </c>
      <c r="L718" s="3">
        <f t="shared" si="114"/>
        <v>0.60779856861935699</v>
      </c>
      <c r="M718" s="56">
        <f t="shared" si="115"/>
        <v>0.39220143138064306</v>
      </c>
      <c r="O718" s="2">
        <v>37150</v>
      </c>
      <c r="R718" s="2">
        <v>24948</v>
      </c>
      <c r="S718" s="36"/>
    </row>
    <row r="719" spans="1:19" hidden="1" x14ac:dyDescent="0.25">
      <c r="A719" s="55" t="s">
        <v>129</v>
      </c>
      <c r="B719" s="1">
        <v>45642</v>
      </c>
      <c r="C719" s="36">
        <f t="shared" si="108"/>
        <v>30410.400000000001</v>
      </c>
      <c r="D719" s="2">
        <v>18126</v>
      </c>
      <c r="E719" s="36">
        <f t="shared" si="109"/>
        <v>35030.400000000001</v>
      </c>
      <c r="F719" s="2">
        <v>14216</v>
      </c>
      <c r="G719" s="2">
        <f t="shared" si="107"/>
        <v>97782.8</v>
      </c>
      <c r="H719" s="3">
        <f t="shared" si="110"/>
        <v>0.31099948048122983</v>
      </c>
      <c r="I719" s="3">
        <f t="shared" si="111"/>
        <v>0.35824705367406129</v>
      </c>
      <c r="J719" s="3">
        <f t="shared" si="112"/>
        <v>0.18537002417603096</v>
      </c>
      <c r="K719" s="3">
        <f t="shared" si="113"/>
        <v>0.14538344166867792</v>
      </c>
      <c r="L719" s="3">
        <f t="shared" si="114"/>
        <v>0.66924653415529112</v>
      </c>
      <c r="M719" s="56">
        <f t="shared" si="115"/>
        <v>0.33075346584470888</v>
      </c>
      <c r="O719" s="2">
        <v>31580</v>
      </c>
      <c r="R719" s="2">
        <v>31671</v>
      </c>
      <c r="S719" s="36"/>
    </row>
    <row r="720" spans="1:19" hidden="1" x14ac:dyDescent="0.25">
      <c r="A720" s="55" t="s">
        <v>14</v>
      </c>
      <c r="B720" s="1">
        <v>45643</v>
      </c>
      <c r="C720" s="36">
        <f t="shared" si="108"/>
        <v>27385.600000000002</v>
      </c>
      <c r="D720" s="2">
        <v>17047</v>
      </c>
      <c r="E720" s="36">
        <f t="shared" si="109"/>
        <v>29400.800000000003</v>
      </c>
      <c r="F720" s="2">
        <v>12436</v>
      </c>
      <c r="G720" s="2">
        <f t="shared" si="107"/>
        <v>86269.400000000009</v>
      </c>
      <c r="H720" s="3">
        <f t="shared" si="110"/>
        <v>0.3174428012713662</v>
      </c>
      <c r="I720" s="3">
        <f t="shared" si="111"/>
        <v>0.34080218478394425</v>
      </c>
      <c r="J720" s="3">
        <f t="shared" si="112"/>
        <v>0.19760193069616802</v>
      </c>
      <c r="K720" s="3">
        <f t="shared" si="113"/>
        <v>0.14415308324852147</v>
      </c>
      <c r="L720" s="3">
        <f t="shared" si="114"/>
        <v>0.65824498605531045</v>
      </c>
      <c r="M720" s="56">
        <f t="shared" si="115"/>
        <v>0.34175501394468949</v>
      </c>
      <c r="O720" s="2">
        <v>48269</v>
      </c>
      <c r="R720" s="2">
        <v>49682</v>
      </c>
      <c r="S720" s="36"/>
    </row>
    <row r="721" spans="1:19" hidden="1" x14ac:dyDescent="0.25">
      <c r="A721" s="55" t="s">
        <v>21</v>
      </c>
      <c r="B721" s="1">
        <v>45644</v>
      </c>
      <c r="C721" s="36">
        <f t="shared" si="108"/>
        <v>25630.400000000001</v>
      </c>
      <c r="D721" s="2">
        <v>14004</v>
      </c>
      <c r="E721" s="36">
        <f t="shared" si="109"/>
        <v>17279.2</v>
      </c>
      <c r="F721" s="2">
        <v>12852</v>
      </c>
      <c r="G721" s="2">
        <f t="shared" si="107"/>
        <v>69765.600000000006</v>
      </c>
      <c r="H721" s="3">
        <f t="shared" si="110"/>
        <v>0.36737876546607495</v>
      </c>
      <c r="I721" s="3">
        <f t="shared" si="111"/>
        <v>0.24767507195523294</v>
      </c>
      <c r="J721" s="3">
        <f t="shared" si="112"/>
        <v>0.20072929925350028</v>
      </c>
      <c r="K721" s="3">
        <f t="shared" si="113"/>
        <v>0.18421686332519177</v>
      </c>
      <c r="L721" s="3">
        <f t="shared" si="114"/>
        <v>0.61505383742130793</v>
      </c>
      <c r="M721" s="56">
        <f t="shared" si="115"/>
        <v>0.38494616257869202</v>
      </c>
      <c r="O721" s="2">
        <v>48387</v>
      </c>
      <c r="R721" s="2">
        <v>43106</v>
      </c>
      <c r="S721" s="36"/>
    </row>
    <row r="722" spans="1:19" x14ac:dyDescent="0.25">
      <c r="A722" s="55" t="s">
        <v>26</v>
      </c>
      <c r="B722" s="1">
        <v>45645</v>
      </c>
      <c r="C722" s="36">
        <f t="shared" si="108"/>
        <v>15837.6</v>
      </c>
      <c r="D722" s="2">
        <v>11916</v>
      </c>
      <c r="E722" s="36">
        <f t="shared" si="109"/>
        <v>15732</v>
      </c>
      <c r="F722" s="2">
        <v>13284</v>
      </c>
      <c r="G722" s="2">
        <f t="shared" si="107"/>
        <v>56769.599999999999</v>
      </c>
      <c r="H722" s="3">
        <f t="shared" si="110"/>
        <v>0.27898029931512641</v>
      </c>
      <c r="I722" s="3">
        <f t="shared" si="111"/>
        <v>0.27712014881204028</v>
      </c>
      <c r="J722" s="3">
        <f t="shared" si="112"/>
        <v>0.20990107381415407</v>
      </c>
      <c r="K722" s="3">
        <f t="shared" si="113"/>
        <v>0.23399847805867929</v>
      </c>
      <c r="L722" s="3">
        <f t="shared" si="114"/>
        <v>0.55610044812716664</v>
      </c>
      <c r="M722" s="56">
        <f t="shared" si="115"/>
        <v>0.44389955187283336</v>
      </c>
      <c r="O722" s="2">
        <v>42259</v>
      </c>
      <c r="R722" s="2">
        <v>56307</v>
      </c>
      <c r="S722" s="36"/>
    </row>
    <row r="723" spans="1:19" hidden="1" x14ac:dyDescent="0.25">
      <c r="A723" s="55" t="s">
        <v>7</v>
      </c>
      <c r="B723" s="1">
        <v>45646</v>
      </c>
      <c r="C723" s="36">
        <f t="shared" si="108"/>
        <v>24184</v>
      </c>
      <c r="D723" s="2">
        <v>20470</v>
      </c>
      <c r="E723" s="36">
        <f t="shared" si="109"/>
        <v>30507.200000000001</v>
      </c>
      <c r="F723" s="2">
        <v>8149</v>
      </c>
      <c r="G723" s="2">
        <f t="shared" si="107"/>
        <v>83310.2</v>
      </c>
      <c r="H723" s="3">
        <f t="shared" si="110"/>
        <v>0.29028858411094921</v>
      </c>
      <c r="I723" s="3">
        <f t="shared" si="111"/>
        <v>0.36618805380373592</v>
      </c>
      <c r="J723" s="3">
        <f t="shared" si="112"/>
        <v>0.24570820859870701</v>
      </c>
      <c r="K723" s="3">
        <f t="shared" si="113"/>
        <v>9.7815153486607881E-2</v>
      </c>
      <c r="L723" s="3">
        <f t="shared" si="114"/>
        <v>0.65647663791468513</v>
      </c>
      <c r="M723" s="56">
        <f t="shared" si="115"/>
        <v>0.34352336208531492</v>
      </c>
      <c r="O723" s="2">
        <v>57219</v>
      </c>
      <c r="R723" s="2">
        <v>46946</v>
      </c>
      <c r="S723" s="36"/>
    </row>
    <row r="724" spans="1:19" hidden="1" x14ac:dyDescent="0.25">
      <c r="A724" s="55" t="s">
        <v>30</v>
      </c>
      <c r="B724" s="1">
        <v>45647</v>
      </c>
      <c r="C724" s="36">
        <f t="shared" si="108"/>
        <v>34249.599999999999</v>
      </c>
      <c r="D724" s="2">
        <v>24345</v>
      </c>
      <c r="E724" s="36">
        <f t="shared" si="109"/>
        <v>13659.2</v>
      </c>
      <c r="F724" s="2">
        <v>21641</v>
      </c>
      <c r="G724" s="2">
        <f t="shared" si="107"/>
        <v>93894.8</v>
      </c>
      <c r="H724" s="3">
        <f t="shared" si="110"/>
        <v>0.36476567392443454</v>
      </c>
      <c r="I724" s="3">
        <f t="shared" si="111"/>
        <v>0.14547344474880397</v>
      </c>
      <c r="J724" s="3">
        <f t="shared" si="112"/>
        <v>0.2592795341169053</v>
      </c>
      <c r="K724" s="3">
        <f t="shared" si="113"/>
        <v>0.23048134720985614</v>
      </c>
      <c r="L724" s="3">
        <f t="shared" si="114"/>
        <v>0.51023911867323857</v>
      </c>
      <c r="M724" s="56">
        <f t="shared" si="115"/>
        <v>0.48976088132676143</v>
      </c>
      <c r="O724" s="2">
        <v>43879</v>
      </c>
      <c r="R724" s="2">
        <v>30861</v>
      </c>
      <c r="S724" s="36"/>
    </row>
    <row r="725" spans="1:19" hidden="1" x14ac:dyDescent="0.25">
      <c r="A725" s="55" t="s">
        <v>31</v>
      </c>
      <c r="B725" s="1">
        <v>45648</v>
      </c>
      <c r="C725" s="36">
        <f t="shared" si="108"/>
        <v>28236.800000000003</v>
      </c>
      <c r="D725" s="2">
        <v>18469</v>
      </c>
      <c r="E725" s="36">
        <f t="shared" si="109"/>
        <v>14753.6</v>
      </c>
      <c r="F725" s="2">
        <v>25068</v>
      </c>
      <c r="G725" s="2">
        <f t="shared" si="107"/>
        <v>86527.4</v>
      </c>
      <c r="H725" s="3">
        <f t="shared" si="110"/>
        <v>0.32633362380009112</v>
      </c>
      <c r="I725" s="3">
        <f t="shared" si="111"/>
        <v>0.17050783913534906</v>
      </c>
      <c r="J725" s="3">
        <f t="shared" si="112"/>
        <v>0.21344683880481791</v>
      </c>
      <c r="K725" s="3">
        <f t="shared" si="113"/>
        <v>0.28971169825974202</v>
      </c>
      <c r="L725" s="3">
        <f t="shared" si="114"/>
        <v>0.49684146293544018</v>
      </c>
      <c r="M725" s="56">
        <f t="shared" si="115"/>
        <v>0.50315853706455993</v>
      </c>
      <c r="O725" s="2">
        <v>36613</v>
      </c>
      <c r="R725" s="2">
        <v>30477</v>
      </c>
      <c r="S725" s="36"/>
    </row>
    <row r="726" spans="1:19" hidden="1" x14ac:dyDescent="0.25">
      <c r="A726" s="55" t="s">
        <v>129</v>
      </c>
      <c r="B726" s="1">
        <v>45649</v>
      </c>
      <c r="C726" s="36">
        <f t="shared" si="108"/>
        <v>33273.599999999999</v>
      </c>
      <c r="D726" s="2">
        <v>20637</v>
      </c>
      <c r="E726" s="36">
        <f t="shared" si="109"/>
        <v>31697.600000000002</v>
      </c>
      <c r="F726" s="2">
        <v>21875</v>
      </c>
      <c r="G726" s="2">
        <f t="shared" si="107"/>
        <v>107483.2</v>
      </c>
      <c r="H726" s="3">
        <f t="shared" si="110"/>
        <v>0.3095702398142221</v>
      </c>
      <c r="I726" s="3">
        <f t="shared" si="111"/>
        <v>0.2949074832159817</v>
      </c>
      <c r="J726" s="3">
        <f t="shared" si="112"/>
        <v>0.19200209893267042</v>
      </c>
      <c r="K726" s="3">
        <f t="shared" si="113"/>
        <v>0.2035201780371258</v>
      </c>
      <c r="L726" s="3">
        <f t="shared" si="114"/>
        <v>0.60447772303020375</v>
      </c>
      <c r="M726" s="56">
        <f t="shared" si="115"/>
        <v>0.39552227696979619</v>
      </c>
      <c r="O726" s="2">
        <v>0</v>
      </c>
      <c r="R726" s="2">
        <v>0</v>
      </c>
      <c r="S726" s="36"/>
    </row>
    <row r="727" spans="1:19" hidden="1" x14ac:dyDescent="0.25">
      <c r="A727" s="55" t="s">
        <v>14</v>
      </c>
      <c r="B727" s="1">
        <v>45650</v>
      </c>
      <c r="C727" s="36">
        <f t="shared" si="108"/>
        <v>34036</v>
      </c>
      <c r="D727" s="2">
        <v>15845</v>
      </c>
      <c r="E727" s="36">
        <f t="shared" si="109"/>
        <v>6176.8</v>
      </c>
      <c r="F727" s="2">
        <v>6480</v>
      </c>
      <c r="G727" s="2">
        <f t="shared" si="107"/>
        <v>62537.8</v>
      </c>
      <c r="H727" s="3">
        <f t="shared" si="110"/>
        <v>0.54424683951146346</v>
      </c>
      <c r="I727" s="3">
        <f t="shared" si="111"/>
        <v>9.8769064469808654E-2</v>
      </c>
      <c r="J727" s="3">
        <f t="shared" si="112"/>
        <v>0.2533667637812651</v>
      </c>
      <c r="K727" s="3">
        <f t="shared" si="113"/>
        <v>0.10361733223746278</v>
      </c>
      <c r="L727" s="3">
        <f t="shared" si="114"/>
        <v>0.64301590398127217</v>
      </c>
      <c r="M727" s="56">
        <f t="shared" si="115"/>
        <v>0.35698409601872788</v>
      </c>
      <c r="O727" s="2">
        <v>45505</v>
      </c>
      <c r="R727" s="2">
        <v>62467</v>
      </c>
      <c r="S727" s="36"/>
    </row>
    <row r="728" spans="1:19" hidden="1" x14ac:dyDescent="0.25">
      <c r="A728" s="55" t="s">
        <v>21</v>
      </c>
      <c r="B728" s="1">
        <v>45651</v>
      </c>
      <c r="C728" s="36">
        <f t="shared" si="108"/>
        <v>0</v>
      </c>
      <c r="D728" s="2">
        <v>0</v>
      </c>
      <c r="E728" s="36">
        <f t="shared" si="109"/>
        <v>0</v>
      </c>
      <c r="F728" s="2">
        <v>0</v>
      </c>
      <c r="G728" s="2">
        <f t="shared" si="107"/>
        <v>0</v>
      </c>
      <c r="H728" s="3">
        <f t="shared" si="110"/>
        <v>0</v>
      </c>
      <c r="I728" s="3">
        <f t="shared" si="111"/>
        <v>0</v>
      </c>
      <c r="J728" s="3">
        <f t="shared" si="112"/>
        <v>0</v>
      </c>
      <c r="K728" s="3">
        <f t="shared" si="113"/>
        <v>0</v>
      </c>
      <c r="L728" s="3">
        <f t="shared" si="114"/>
        <v>0</v>
      </c>
      <c r="M728" s="56">
        <f t="shared" si="115"/>
        <v>0</v>
      </c>
      <c r="O728" s="2">
        <v>40611</v>
      </c>
      <c r="R728" s="2">
        <v>67810</v>
      </c>
      <c r="S728" s="36"/>
    </row>
    <row r="729" spans="1:19" x14ac:dyDescent="0.25">
      <c r="A729" s="55" t="s">
        <v>26</v>
      </c>
      <c r="B729" s="1">
        <v>45652</v>
      </c>
      <c r="C729" s="36">
        <f t="shared" si="108"/>
        <v>19447.2</v>
      </c>
      <c r="D729" s="2">
        <v>13402</v>
      </c>
      <c r="E729" s="36">
        <f t="shared" si="109"/>
        <v>16324.800000000001</v>
      </c>
      <c r="F729" s="2">
        <v>10373</v>
      </c>
      <c r="G729" s="2">
        <f t="shared" si="107"/>
        <v>59547</v>
      </c>
      <c r="H729" s="3">
        <f t="shared" si="110"/>
        <v>0.32658572220262988</v>
      </c>
      <c r="I729" s="3">
        <f t="shared" si="111"/>
        <v>0.27414983122575448</v>
      </c>
      <c r="J729" s="3">
        <f t="shared" si="112"/>
        <v>0.22506591431978101</v>
      </c>
      <c r="K729" s="3">
        <f t="shared" si="113"/>
        <v>0.17419853225183468</v>
      </c>
      <c r="L729" s="3">
        <f t="shared" si="114"/>
        <v>0.60073555342838425</v>
      </c>
      <c r="M729" s="56">
        <f t="shared" si="115"/>
        <v>0.39926444657161569</v>
      </c>
      <c r="O729" s="2">
        <v>35170</v>
      </c>
      <c r="R729" s="2">
        <v>53005</v>
      </c>
      <c r="S729" s="36"/>
    </row>
    <row r="730" spans="1:19" hidden="1" x14ac:dyDescent="0.25">
      <c r="A730" s="55" t="s">
        <v>7</v>
      </c>
      <c r="B730" s="1">
        <v>45653</v>
      </c>
      <c r="C730" s="36">
        <f t="shared" si="108"/>
        <v>30028.800000000003</v>
      </c>
      <c r="D730" s="2">
        <v>15494</v>
      </c>
      <c r="E730" s="36">
        <f t="shared" si="109"/>
        <v>25906.400000000001</v>
      </c>
      <c r="F730" s="2">
        <v>15835</v>
      </c>
      <c r="G730" s="2">
        <f t="shared" si="107"/>
        <v>87264.200000000012</v>
      </c>
      <c r="H730" s="3">
        <f t="shared" si="110"/>
        <v>0.344113622768558</v>
      </c>
      <c r="I730" s="3">
        <f t="shared" si="111"/>
        <v>0.2968731736496753</v>
      </c>
      <c r="J730" s="3">
        <f t="shared" si="112"/>
        <v>0.17755276505141854</v>
      </c>
      <c r="K730" s="3">
        <f t="shared" si="113"/>
        <v>0.18146043853034804</v>
      </c>
      <c r="L730" s="3">
        <f t="shared" si="114"/>
        <v>0.64098679641823331</v>
      </c>
      <c r="M730" s="56">
        <f t="shared" si="115"/>
        <v>0.35901320358176658</v>
      </c>
      <c r="O730" s="2">
        <v>57873</v>
      </c>
      <c r="R730" s="2">
        <v>67404</v>
      </c>
      <c r="S730" s="36"/>
    </row>
    <row r="731" spans="1:19" hidden="1" x14ac:dyDescent="0.25">
      <c r="A731" s="55" t="s">
        <v>30</v>
      </c>
      <c r="B731" s="1">
        <v>45654</v>
      </c>
      <c r="C731" s="36">
        <f t="shared" si="108"/>
        <v>15268.800000000001</v>
      </c>
      <c r="D731" s="2">
        <v>19103</v>
      </c>
      <c r="E731" s="36">
        <f t="shared" si="109"/>
        <v>32209.600000000002</v>
      </c>
      <c r="F731" s="2">
        <v>16798</v>
      </c>
      <c r="G731" s="2">
        <f t="shared" si="107"/>
        <v>83379.400000000009</v>
      </c>
      <c r="H731" s="3">
        <f t="shared" si="110"/>
        <v>0.18312436884890032</v>
      </c>
      <c r="I731" s="3">
        <f t="shared" si="111"/>
        <v>0.38630165244652753</v>
      </c>
      <c r="J731" s="3">
        <f t="shared" si="112"/>
        <v>0.22910934835223087</v>
      </c>
      <c r="K731" s="3">
        <f t="shared" si="113"/>
        <v>0.20146463035234122</v>
      </c>
      <c r="L731" s="3">
        <f t="shared" si="114"/>
        <v>0.56942602129542785</v>
      </c>
      <c r="M731" s="56">
        <f t="shared" si="115"/>
        <v>0.43057397870457209</v>
      </c>
      <c r="O731" s="2">
        <v>47085</v>
      </c>
      <c r="R731" s="2">
        <v>36730</v>
      </c>
      <c r="S731" s="36"/>
    </row>
    <row r="732" spans="1:19" hidden="1" x14ac:dyDescent="0.25">
      <c r="A732" s="55" t="s">
        <v>31</v>
      </c>
      <c r="B732" s="1">
        <v>45655</v>
      </c>
      <c r="C732" s="36">
        <f t="shared" si="108"/>
        <v>21013.600000000002</v>
      </c>
      <c r="D732" s="2">
        <v>19988</v>
      </c>
      <c r="E732" s="36">
        <f t="shared" si="109"/>
        <v>28301.600000000002</v>
      </c>
      <c r="F732" s="2">
        <v>21130</v>
      </c>
      <c r="G732" s="2">
        <f t="shared" si="107"/>
        <v>90433.200000000012</v>
      </c>
      <c r="H732" s="3">
        <f t="shared" si="110"/>
        <v>0.232365989481739</v>
      </c>
      <c r="I732" s="3">
        <f t="shared" si="111"/>
        <v>0.31295586134295811</v>
      </c>
      <c r="J732" s="3">
        <f t="shared" si="112"/>
        <v>0.22102502178403505</v>
      </c>
      <c r="K732" s="3">
        <f t="shared" si="113"/>
        <v>0.23365312739126778</v>
      </c>
      <c r="L732" s="3">
        <f t="shared" si="114"/>
        <v>0.54532185082469709</v>
      </c>
      <c r="M732" s="56">
        <f t="shared" si="115"/>
        <v>0.4546781491753028</v>
      </c>
      <c r="O732" s="2">
        <v>37429</v>
      </c>
      <c r="R732" s="2">
        <v>35168</v>
      </c>
      <c r="S732" s="36"/>
    </row>
    <row r="733" spans="1:19" hidden="1" x14ac:dyDescent="0.25">
      <c r="A733" s="55" t="s">
        <v>129</v>
      </c>
      <c r="B733" s="1">
        <v>45656</v>
      </c>
      <c r="C733" s="36">
        <f t="shared" si="108"/>
        <v>33653.599999999999</v>
      </c>
      <c r="D733" s="2">
        <v>15319</v>
      </c>
      <c r="E733" s="36">
        <f t="shared" si="109"/>
        <v>37704.800000000003</v>
      </c>
      <c r="F733" s="2">
        <v>19225</v>
      </c>
      <c r="G733" s="2">
        <f t="shared" si="107"/>
        <v>105902.39999999999</v>
      </c>
      <c r="H733" s="3">
        <f t="shared" si="110"/>
        <v>0.31777938932451011</v>
      </c>
      <c r="I733" s="3">
        <f t="shared" si="111"/>
        <v>0.35603347988336437</v>
      </c>
      <c r="J733" s="3">
        <f t="shared" si="112"/>
        <v>0.14465205698832134</v>
      </c>
      <c r="K733" s="3">
        <f t="shared" si="113"/>
        <v>0.18153507380380426</v>
      </c>
      <c r="L733" s="3">
        <f t="shared" si="114"/>
        <v>0.67381286920787442</v>
      </c>
      <c r="M733" s="56">
        <f t="shared" si="115"/>
        <v>0.32618713079212558</v>
      </c>
      <c r="O733" s="2">
        <v>49876</v>
      </c>
      <c r="R733" s="2">
        <v>32681</v>
      </c>
      <c r="S733" s="36"/>
    </row>
    <row r="734" spans="1:19" hidden="1" x14ac:dyDescent="0.25">
      <c r="A734" s="55" t="s">
        <v>14</v>
      </c>
      <c r="B734" s="1">
        <v>45657</v>
      </c>
      <c r="C734" s="36">
        <f t="shared" si="108"/>
        <v>22635.200000000001</v>
      </c>
      <c r="D734" s="2">
        <v>18954</v>
      </c>
      <c r="E734" s="36">
        <f t="shared" si="109"/>
        <v>0</v>
      </c>
      <c r="F734" s="2">
        <v>0</v>
      </c>
      <c r="G734" s="2">
        <f t="shared" si="107"/>
        <v>41589.199999999997</v>
      </c>
      <c r="H734" s="3">
        <f t="shared" si="110"/>
        <v>0.54425668202321764</v>
      </c>
      <c r="I734" s="3">
        <f t="shared" si="111"/>
        <v>0</v>
      </c>
      <c r="J734" s="3">
        <f t="shared" si="112"/>
        <v>0.45574331797678247</v>
      </c>
      <c r="K734" s="3">
        <f t="shared" si="113"/>
        <v>0</v>
      </c>
      <c r="L734" s="3">
        <f t="shared" si="114"/>
        <v>0.54425668202321764</v>
      </c>
      <c r="M734" s="56">
        <f t="shared" si="115"/>
        <v>0.45574331797678247</v>
      </c>
      <c r="O734" s="2">
        <v>31354</v>
      </c>
      <c r="R734" s="2">
        <v>56481</v>
      </c>
      <c r="S734" s="36"/>
    </row>
    <row r="735" spans="1:19" hidden="1" x14ac:dyDescent="0.25">
      <c r="A735" s="55" t="s">
        <v>21</v>
      </c>
      <c r="B735" s="1">
        <v>45658</v>
      </c>
      <c r="C735" s="36">
        <f t="shared" si="108"/>
        <v>0</v>
      </c>
      <c r="D735" s="2">
        <v>0</v>
      </c>
      <c r="E735" s="36">
        <f t="shared" si="109"/>
        <v>37173.599999999999</v>
      </c>
      <c r="F735" s="2">
        <v>18103</v>
      </c>
      <c r="G735" s="2">
        <f t="shared" si="107"/>
        <v>55276.6</v>
      </c>
      <c r="H735" s="3">
        <f t="shared" si="110"/>
        <v>0</v>
      </c>
      <c r="I735" s="3">
        <f t="shared" si="111"/>
        <v>0.67250156485746226</v>
      </c>
      <c r="J735" s="3">
        <f t="shared" si="112"/>
        <v>0</v>
      </c>
      <c r="K735" s="3">
        <f t="shared" si="113"/>
        <v>0.32749843514253774</v>
      </c>
      <c r="L735" s="3">
        <f t="shared" si="114"/>
        <v>0.67250156485746226</v>
      </c>
      <c r="M735" s="56">
        <f t="shared" si="115"/>
        <v>0.32749843514253774</v>
      </c>
      <c r="O735" s="2">
        <v>56022</v>
      </c>
      <c r="R735" s="2">
        <v>64774</v>
      </c>
      <c r="S735" s="36"/>
    </row>
    <row r="736" spans="1:19" x14ac:dyDescent="0.25">
      <c r="A736" s="55" t="s">
        <v>26</v>
      </c>
      <c r="B736" s="1">
        <v>45659</v>
      </c>
      <c r="C736" s="36">
        <f t="shared" si="108"/>
        <v>15836</v>
      </c>
      <c r="D736" s="2">
        <v>16936</v>
      </c>
      <c r="E736" s="36">
        <f t="shared" si="109"/>
        <v>22375.200000000001</v>
      </c>
      <c r="F736" s="2">
        <v>10425</v>
      </c>
      <c r="G736" s="2">
        <f t="shared" si="107"/>
        <v>65572.2</v>
      </c>
      <c r="H736" s="3">
        <f t="shared" si="110"/>
        <v>0.24150478403957776</v>
      </c>
      <c r="I736" s="3">
        <f t="shared" si="111"/>
        <v>0.34122997245784037</v>
      </c>
      <c r="J736" s="3">
        <f t="shared" si="112"/>
        <v>0.25828018581045015</v>
      </c>
      <c r="K736" s="3">
        <f t="shared" si="113"/>
        <v>0.15898505769213173</v>
      </c>
      <c r="L736" s="3">
        <f t="shared" si="114"/>
        <v>0.58273475649741813</v>
      </c>
      <c r="M736" s="56">
        <f t="shared" si="115"/>
        <v>0.41726524350258193</v>
      </c>
      <c r="O736" s="2">
        <v>46143</v>
      </c>
      <c r="R736" s="2">
        <v>62514</v>
      </c>
      <c r="S736" s="36"/>
    </row>
    <row r="737" spans="1:19" hidden="1" x14ac:dyDescent="0.25">
      <c r="A737" s="55" t="s">
        <v>7</v>
      </c>
      <c r="B737" s="1">
        <v>45660</v>
      </c>
      <c r="C737" s="36">
        <f t="shared" si="108"/>
        <v>37112</v>
      </c>
      <c r="D737" s="2">
        <v>24195</v>
      </c>
      <c r="E737" s="36">
        <f t="shared" si="109"/>
        <v>24337.600000000002</v>
      </c>
      <c r="F737" s="2">
        <v>11280</v>
      </c>
      <c r="G737" s="2">
        <f t="shared" si="107"/>
        <v>96924.6</v>
      </c>
      <c r="H737" s="3">
        <f t="shared" si="110"/>
        <v>0.3828955703711957</v>
      </c>
      <c r="I737" s="3">
        <f t="shared" si="111"/>
        <v>0.25109827639216464</v>
      </c>
      <c r="J737" s="3">
        <f t="shared" si="112"/>
        <v>0.24962702967048611</v>
      </c>
      <c r="K737" s="3">
        <f t="shared" si="113"/>
        <v>0.11637912356615347</v>
      </c>
      <c r="L737" s="3">
        <f t="shared" si="114"/>
        <v>0.63399384676336046</v>
      </c>
      <c r="M737" s="56">
        <f t="shared" si="115"/>
        <v>0.3660061532366396</v>
      </c>
      <c r="O737" s="2">
        <v>52273</v>
      </c>
      <c r="R737" s="2">
        <v>63755</v>
      </c>
      <c r="S737" s="36"/>
    </row>
    <row r="738" spans="1:19" hidden="1" x14ac:dyDescent="0.25">
      <c r="A738" s="55" t="s">
        <v>30</v>
      </c>
      <c r="B738" s="1">
        <v>45661</v>
      </c>
      <c r="C738" s="36">
        <f t="shared" si="108"/>
        <v>32336</v>
      </c>
      <c r="D738" s="2">
        <v>25376</v>
      </c>
      <c r="E738" s="36">
        <f t="shared" si="109"/>
        <v>24171.200000000001</v>
      </c>
      <c r="F738" s="2">
        <v>17770</v>
      </c>
      <c r="G738" s="2">
        <f t="shared" si="107"/>
        <v>99653.2</v>
      </c>
      <c r="H738" s="3">
        <f t="shared" si="110"/>
        <v>0.32448531507267203</v>
      </c>
      <c r="I738" s="3">
        <f t="shared" si="111"/>
        <v>0.24255317440884991</v>
      </c>
      <c r="J738" s="3">
        <f t="shared" si="112"/>
        <v>0.25464310227870257</v>
      </c>
      <c r="K738" s="3">
        <f t="shared" si="113"/>
        <v>0.17831840823977554</v>
      </c>
      <c r="L738" s="3">
        <f t="shared" si="114"/>
        <v>0.56703848948152191</v>
      </c>
      <c r="M738" s="56">
        <f t="shared" si="115"/>
        <v>0.43296151051847809</v>
      </c>
      <c r="O738" s="2">
        <v>52393</v>
      </c>
      <c r="R738" s="2">
        <v>36790</v>
      </c>
      <c r="S738" s="36"/>
    </row>
    <row r="739" spans="1:19" hidden="1" x14ac:dyDescent="0.25">
      <c r="A739" s="55" t="s">
        <v>31</v>
      </c>
      <c r="B739" s="1">
        <v>45662</v>
      </c>
      <c r="C739" s="36">
        <f t="shared" si="108"/>
        <v>11220.800000000001</v>
      </c>
      <c r="D739" s="2">
        <v>7641</v>
      </c>
      <c r="E739" s="36">
        <f t="shared" si="109"/>
        <v>0</v>
      </c>
      <c r="F739" s="2">
        <v>0</v>
      </c>
      <c r="G739" s="2">
        <f t="shared" si="107"/>
        <v>18861.800000000003</v>
      </c>
      <c r="H739" s="3">
        <f t="shared" si="110"/>
        <v>0.59489550308029981</v>
      </c>
      <c r="I739" s="3">
        <f t="shared" si="111"/>
        <v>0</v>
      </c>
      <c r="J739" s="3">
        <f t="shared" si="112"/>
        <v>0.40510449691970007</v>
      </c>
      <c r="K739" s="3">
        <f t="shared" si="113"/>
        <v>0</v>
      </c>
      <c r="L739" s="3">
        <f t="shared" si="114"/>
        <v>0.59489550308029981</v>
      </c>
      <c r="M739" s="56">
        <f t="shared" si="115"/>
        <v>0.40510449691970007</v>
      </c>
      <c r="O739" s="2">
        <v>33659</v>
      </c>
      <c r="R739" s="2">
        <v>30117</v>
      </c>
      <c r="S739" s="36"/>
    </row>
    <row r="740" spans="1:19" hidden="1" x14ac:dyDescent="0.25">
      <c r="A740" s="55" t="s">
        <v>129</v>
      </c>
      <c r="B740" s="1">
        <v>45663</v>
      </c>
      <c r="C740" s="36">
        <f t="shared" si="108"/>
        <v>0</v>
      </c>
      <c r="D740" s="2">
        <v>0</v>
      </c>
      <c r="E740" s="36">
        <f t="shared" si="109"/>
        <v>22380.800000000003</v>
      </c>
      <c r="F740" s="2">
        <v>18817</v>
      </c>
      <c r="G740" s="2">
        <f t="shared" si="107"/>
        <v>41197.800000000003</v>
      </c>
      <c r="H740" s="3">
        <f t="shared" si="110"/>
        <v>0</v>
      </c>
      <c r="I740" s="3">
        <f t="shared" si="111"/>
        <v>0.543252309589347</v>
      </c>
      <c r="J740" s="3">
        <f t="shared" si="112"/>
        <v>0</v>
      </c>
      <c r="K740" s="3">
        <f t="shared" si="113"/>
        <v>0.45674769041065294</v>
      </c>
      <c r="L740" s="3">
        <f t="shared" si="114"/>
        <v>0.543252309589347</v>
      </c>
      <c r="M740" s="56">
        <f t="shared" si="115"/>
        <v>0.45674769041065294</v>
      </c>
      <c r="O740" s="2">
        <v>25276</v>
      </c>
      <c r="R740" s="2">
        <v>27267</v>
      </c>
      <c r="S740" s="36"/>
    </row>
    <row r="741" spans="1:19" hidden="1" x14ac:dyDescent="0.25">
      <c r="A741" s="55" t="s">
        <v>14</v>
      </c>
      <c r="B741" s="1">
        <v>45664</v>
      </c>
      <c r="C741" s="36">
        <f t="shared" si="108"/>
        <v>25196.800000000003</v>
      </c>
      <c r="D741" s="2">
        <v>17767</v>
      </c>
      <c r="E741" s="36">
        <f t="shared" si="109"/>
        <v>21144</v>
      </c>
      <c r="F741" s="2">
        <v>15735</v>
      </c>
      <c r="G741" s="2">
        <f t="shared" si="107"/>
        <v>79842.8</v>
      </c>
      <c r="H741" s="3">
        <f t="shared" si="110"/>
        <v>0.31558011492582927</v>
      </c>
      <c r="I741" s="3">
        <f t="shared" si="111"/>
        <v>0.26482037203104097</v>
      </c>
      <c r="J741" s="3">
        <f t="shared" si="112"/>
        <v>0.22252476115567088</v>
      </c>
      <c r="K741" s="3">
        <f t="shared" si="113"/>
        <v>0.19707475188745885</v>
      </c>
      <c r="L741" s="3">
        <f t="shared" si="114"/>
        <v>0.5804004869568703</v>
      </c>
      <c r="M741" s="56">
        <f t="shared" si="115"/>
        <v>0.41959951304312976</v>
      </c>
      <c r="O741" s="2">
        <v>32414</v>
      </c>
      <c r="R741" s="2">
        <v>57433</v>
      </c>
      <c r="S741" s="36"/>
    </row>
    <row r="742" spans="1:19" hidden="1" x14ac:dyDescent="0.25">
      <c r="A742" s="55" t="s">
        <v>21</v>
      </c>
      <c r="B742" s="1">
        <v>45665</v>
      </c>
      <c r="C742" s="36">
        <f t="shared" si="108"/>
        <v>24965.600000000002</v>
      </c>
      <c r="D742" s="2">
        <v>22251</v>
      </c>
      <c r="E742" s="36">
        <f t="shared" si="109"/>
        <v>37352</v>
      </c>
      <c r="F742" s="2">
        <v>14070</v>
      </c>
      <c r="G742" s="2">
        <f t="shared" si="107"/>
        <v>98638.6</v>
      </c>
      <c r="H742" s="3">
        <f t="shared" si="110"/>
        <v>0.25310172691015487</v>
      </c>
      <c r="I742" s="3">
        <f t="shared" si="111"/>
        <v>0.37867528533454448</v>
      </c>
      <c r="J742" s="3">
        <f t="shared" si="112"/>
        <v>0.22558106055844263</v>
      </c>
      <c r="K742" s="3">
        <f t="shared" si="113"/>
        <v>0.142641927196858</v>
      </c>
      <c r="L742" s="3">
        <f t="shared" si="114"/>
        <v>0.6317770122446994</v>
      </c>
      <c r="M742" s="56">
        <f t="shared" si="115"/>
        <v>0.36822298775530066</v>
      </c>
      <c r="O742" s="2">
        <v>43123</v>
      </c>
      <c r="R742" s="2">
        <v>60748</v>
      </c>
      <c r="S742" s="36"/>
    </row>
    <row r="743" spans="1:19" x14ac:dyDescent="0.25">
      <c r="A743" s="55" t="s">
        <v>26</v>
      </c>
      <c r="B743" s="1">
        <v>45666</v>
      </c>
      <c r="C743" s="36">
        <f t="shared" si="108"/>
        <v>29533.600000000002</v>
      </c>
      <c r="D743" s="2">
        <v>17303</v>
      </c>
      <c r="E743" s="36">
        <f t="shared" si="109"/>
        <v>25441.600000000002</v>
      </c>
      <c r="F743" s="2">
        <v>12515</v>
      </c>
      <c r="G743" s="2">
        <f t="shared" si="107"/>
        <v>84793.200000000012</v>
      </c>
      <c r="H743" s="3">
        <f t="shared" si="110"/>
        <v>0.34830151474410681</v>
      </c>
      <c r="I743" s="3">
        <f t="shared" si="111"/>
        <v>0.30004292797063914</v>
      </c>
      <c r="J743" s="3">
        <f t="shared" si="112"/>
        <v>0.20406117471684046</v>
      </c>
      <c r="K743" s="3">
        <f t="shared" si="113"/>
        <v>0.14759438256841348</v>
      </c>
      <c r="L743" s="3">
        <f t="shared" si="114"/>
        <v>0.64834444271474601</v>
      </c>
      <c r="M743" s="56">
        <f t="shared" si="115"/>
        <v>0.35165555728525394</v>
      </c>
      <c r="O743" s="2">
        <v>43378</v>
      </c>
      <c r="R743" s="2">
        <v>43861</v>
      </c>
      <c r="S743" s="36"/>
    </row>
    <row r="744" spans="1:19" hidden="1" x14ac:dyDescent="0.25">
      <c r="A744" s="55" t="s">
        <v>7</v>
      </c>
      <c r="B744" s="1">
        <v>45667</v>
      </c>
      <c r="C744" s="36">
        <f t="shared" si="108"/>
        <v>32739.200000000001</v>
      </c>
      <c r="D744" s="2">
        <v>17029</v>
      </c>
      <c r="E744" s="36">
        <f t="shared" si="109"/>
        <v>18580.8</v>
      </c>
      <c r="F744" s="2">
        <v>15198</v>
      </c>
      <c r="G744" s="2">
        <f t="shared" si="107"/>
        <v>83547</v>
      </c>
      <c r="H744" s="3">
        <f t="shared" si="110"/>
        <v>0.39186565645684468</v>
      </c>
      <c r="I744" s="3">
        <f t="shared" si="111"/>
        <v>0.2223993680203957</v>
      </c>
      <c r="J744" s="3">
        <f t="shared" si="112"/>
        <v>0.20382539169569225</v>
      </c>
      <c r="K744" s="3">
        <f t="shared" si="113"/>
        <v>0.1819095838270674</v>
      </c>
      <c r="L744" s="3">
        <f t="shared" si="114"/>
        <v>0.61426502447724041</v>
      </c>
      <c r="M744" s="56">
        <f t="shared" si="115"/>
        <v>0.38573497552275965</v>
      </c>
      <c r="O744" s="2">
        <v>38013</v>
      </c>
      <c r="R744" s="2">
        <v>43788</v>
      </c>
      <c r="S744" s="36"/>
    </row>
    <row r="745" spans="1:19" hidden="1" x14ac:dyDescent="0.25">
      <c r="A745" s="55" t="s">
        <v>30</v>
      </c>
      <c r="B745" s="1">
        <v>45668</v>
      </c>
      <c r="C745" s="36">
        <f t="shared" si="108"/>
        <v>35948.800000000003</v>
      </c>
      <c r="D745" s="2">
        <v>24571</v>
      </c>
      <c r="E745" s="36">
        <f t="shared" si="109"/>
        <v>35779.200000000004</v>
      </c>
      <c r="F745" s="2">
        <v>22666</v>
      </c>
      <c r="G745" s="2">
        <f t="shared" si="107"/>
        <v>118965</v>
      </c>
      <c r="H745" s="3">
        <f t="shared" si="110"/>
        <v>0.30217963266506959</v>
      </c>
      <c r="I745" s="3">
        <f t="shared" si="111"/>
        <v>0.30075400327827517</v>
      </c>
      <c r="J745" s="3">
        <f t="shared" si="112"/>
        <v>0.20653973857857352</v>
      </c>
      <c r="K745" s="3">
        <f t="shared" si="113"/>
        <v>0.1905266254780818</v>
      </c>
      <c r="L745" s="3">
        <f t="shared" si="114"/>
        <v>0.6029336359433447</v>
      </c>
      <c r="M745" s="56">
        <f t="shared" si="115"/>
        <v>0.3970663640566553</v>
      </c>
      <c r="O745" s="2">
        <v>34232</v>
      </c>
      <c r="R745" s="2">
        <v>36751</v>
      </c>
      <c r="S745" s="36"/>
    </row>
    <row r="746" spans="1:19" hidden="1" x14ac:dyDescent="0.25">
      <c r="A746" s="55" t="s">
        <v>31</v>
      </c>
      <c r="B746" s="1">
        <v>45669</v>
      </c>
      <c r="C746" s="36">
        <f t="shared" si="108"/>
        <v>33003.200000000004</v>
      </c>
      <c r="D746" s="2">
        <v>23884</v>
      </c>
      <c r="E746" s="36">
        <f t="shared" si="109"/>
        <v>32528</v>
      </c>
      <c r="F746" s="2">
        <v>29669</v>
      </c>
      <c r="G746" s="2">
        <f t="shared" si="107"/>
        <v>119084.20000000001</v>
      </c>
      <c r="H746" s="3">
        <f t="shared" si="110"/>
        <v>0.27714171989231151</v>
      </c>
      <c r="I746" s="3">
        <f t="shared" si="111"/>
        <v>0.27315126607895923</v>
      </c>
      <c r="J746" s="3">
        <f t="shared" si="112"/>
        <v>0.20056397070308235</v>
      </c>
      <c r="K746" s="3">
        <f t="shared" si="113"/>
        <v>0.24914304332564688</v>
      </c>
      <c r="L746" s="3">
        <f t="shared" si="114"/>
        <v>0.55029298597127074</v>
      </c>
      <c r="M746" s="56">
        <f t="shared" si="115"/>
        <v>0.4497070140287292</v>
      </c>
      <c r="O746" s="2">
        <v>32038</v>
      </c>
      <c r="R746" s="2">
        <v>21599</v>
      </c>
      <c r="S746" s="36"/>
    </row>
    <row r="747" spans="1:19" hidden="1" x14ac:dyDescent="0.25">
      <c r="A747" s="55" t="s">
        <v>129</v>
      </c>
      <c r="B747" s="1">
        <v>45670</v>
      </c>
      <c r="C747" s="36">
        <f t="shared" si="108"/>
        <v>36495.200000000004</v>
      </c>
      <c r="D747" s="2">
        <v>19914</v>
      </c>
      <c r="E747" s="36">
        <f t="shared" si="109"/>
        <v>31865.600000000002</v>
      </c>
      <c r="F747" s="2">
        <v>22802</v>
      </c>
      <c r="G747" s="2">
        <f t="shared" si="107"/>
        <v>111076.8</v>
      </c>
      <c r="H747" s="3">
        <f t="shared" si="110"/>
        <v>0.32855825879031447</v>
      </c>
      <c r="I747" s="3">
        <f t="shared" si="111"/>
        <v>0.28687898823156593</v>
      </c>
      <c r="J747" s="3">
        <f t="shared" si="112"/>
        <v>0.17928136208461173</v>
      </c>
      <c r="K747" s="3">
        <f t="shared" si="113"/>
        <v>0.20528139089350791</v>
      </c>
      <c r="L747" s="3">
        <f t="shared" si="114"/>
        <v>0.61543724702188041</v>
      </c>
      <c r="M747" s="56">
        <f t="shared" si="115"/>
        <v>0.38456275297811965</v>
      </c>
      <c r="O747" s="2">
        <v>19797</v>
      </c>
      <c r="R747" s="2">
        <v>19665</v>
      </c>
      <c r="S747" s="36"/>
    </row>
    <row r="748" spans="1:19" hidden="1" x14ac:dyDescent="0.25">
      <c r="A748" s="55" t="s">
        <v>14</v>
      </c>
      <c r="B748" s="1">
        <v>45671</v>
      </c>
      <c r="C748" s="36">
        <f t="shared" si="108"/>
        <v>37644.800000000003</v>
      </c>
      <c r="D748" s="2">
        <v>23874</v>
      </c>
      <c r="E748" s="36">
        <f t="shared" si="109"/>
        <v>35341.599999999999</v>
      </c>
      <c r="F748" s="2">
        <v>18107</v>
      </c>
      <c r="G748" s="2">
        <f t="shared" si="107"/>
        <v>114967.4</v>
      </c>
      <c r="H748" s="3">
        <f t="shared" si="110"/>
        <v>0.32743890876892062</v>
      </c>
      <c r="I748" s="3">
        <f t="shared" si="111"/>
        <v>0.30740540361876495</v>
      </c>
      <c r="J748" s="3">
        <f t="shared" si="112"/>
        <v>0.20765886677440737</v>
      </c>
      <c r="K748" s="3">
        <f t="shared" si="113"/>
        <v>0.15749682083790711</v>
      </c>
      <c r="L748" s="3">
        <f t="shared" si="114"/>
        <v>0.63484431238768557</v>
      </c>
      <c r="M748" s="56">
        <f t="shared" si="115"/>
        <v>0.36515568761231448</v>
      </c>
      <c r="O748" s="2">
        <v>30230</v>
      </c>
      <c r="R748" s="2">
        <v>38134</v>
      </c>
      <c r="S748" s="36"/>
    </row>
    <row r="749" spans="1:19" hidden="1" x14ac:dyDescent="0.25">
      <c r="A749" s="55" t="s">
        <v>21</v>
      </c>
      <c r="B749" s="1">
        <v>45672</v>
      </c>
      <c r="C749" s="36">
        <f t="shared" si="108"/>
        <v>27648.800000000003</v>
      </c>
      <c r="D749" s="2">
        <v>21246</v>
      </c>
      <c r="E749" s="36">
        <f t="shared" si="109"/>
        <v>14384.800000000001</v>
      </c>
      <c r="F749" s="2">
        <v>11572</v>
      </c>
      <c r="G749" s="2">
        <f t="shared" si="107"/>
        <v>74851.600000000006</v>
      </c>
      <c r="H749" s="3">
        <f t="shared" si="110"/>
        <v>0.36938154962619368</v>
      </c>
      <c r="I749" s="3">
        <f t="shared" si="111"/>
        <v>0.19217758872221835</v>
      </c>
      <c r="J749" s="3">
        <f t="shared" si="112"/>
        <v>0.28384162796787243</v>
      </c>
      <c r="K749" s="3">
        <f t="shared" si="113"/>
        <v>0.1545992336837155</v>
      </c>
      <c r="L749" s="3">
        <f t="shared" si="114"/>
        <v>0.56155913834841209</v>
      </c>
      <c r="M749" s="56">
        <f t="shared" si="115"/>
        <v>0.43844086165158791</v>
      </c>
      <c r="O749" s="2">
        <v>42812</v>
      </c>
      <c r="R749" s="2">
        <v>17074</v>
      </c>
      <c r="S749" s="36"/>
    </row>
    <row r="750" spans="1:19" x14ac:dyDescent="0.25">
      <c r="A750" s="55" t="s">
        <v>26</v>
      </c>
      <c r="B750" s="1">
        <v>45673</v>
      </c>
      <c r="C750" s="36">
        <f t="shared" si="108"/>
        <v>20022.400000000001</v>
      </c>
      <c r="D750" s="2">
        <v>19944</v>
      </c>
      <c r="E750" s="36">
        <f t="shared" si="109"/>
        <v>22324</v>
      </c>
      <c r="F750" s="2">
        <v>9680</v>
      </c>
      <c r="G750" s="2">
        <f t="shared" si="107"/>
        <v>71970.399999999994</v>
      </c>
      <c r="H750" s="3">
        <f t="shared" si="110"/>
        <v>0.27820326134077344</v>
      </c>
      <c r="I750" s="3">
        <f t="shared" si="111"/>
        <v>0.31018307526427535</v>
      </c>
      <c r="J750" s="3">
        <f t="shared" si="112"/>
        <v>0.27711392461345224</v>
      </c>
      <c r="K750" s="3">
        <f t="shared" si="113"/>
        <v>0.13449973878149907</v>
      </c>
      <c r="L750" s="3">
        <f t="shared" si="114"/>
        <v>0.5883863366050488</v>
      </c>
      <c r="M750" s="56">
        <f t="shared" si="115"/>
        <v>0.41161366339495131</v>
      </c>
      <c r="O750" s="2">
        <v>35296</v>
      </c>
      <c r="R750" s="2">
        <v>18442</v>
      </c>
      <c r="S750" s="36"/>
    </row>
    <row r="751" spans="1:19" hidden="1" x14ac:dyDescent="0.25">
      <c r="A751" s="55" t="s">
        <v>7</v>
      </c>
      <c r="B751" s="1">
        <v>45674</v>
      </c>
      <c r="C751" s="36">
        <f t="shared" si="108"/>
        <v>28558.400000000001</v>
      </c>
      <c r="D751" s="2">
        <v>15099</v>
      </c>
      <c r="E751" s="36">
        <f t="shared" si="109"/>
        <v>28858.400000000001</v>
      </c>
      <c r="F751" s="2">
        <v>15315</v>
      </c>
      <c r="G751" s="2">
        <f t="shared" si="107"/>
        <v>87830.8</v>
      </c>
      <c r="H751" s="3">
        <f t="shared" si="110"/>
        <v>0.32515245221494055</v>
      </c>
      <c r="I751" s="3">
        <f t="shared" si="111"/>
        <v>0.32856811050337698</v>
      </c>
      <c r="J751" s="3">
        <f t="shared" si="112"/>
        <v>0.17191008165700414</v>
      </c>
      <c r="K751" s="3">
        <f t="shared" si="113"/>
        <v>0.17436935562467834</v>
      </c>
      <c r="L751" s="3">
        <f t="shared" si="114"/>
        <v>0.65372056271831747</v>
      </c>
      <c r="M751" s="56">
        <f t="shared" si="115"/>
        <v>0.34627943728168248</v>
      </c>
      <c r="O751" s="2">
        <v>41592</v>
      </c>
      <c r="R751" s="2">
        <v>39622</v>
      </c>
      <c r="S751" s="36"/>
    </row>
    <row r="752" spans="1:19" hidden="1" x14ac:dyDescent="0.25">
      <c r="A752" s="55" t="s">
        <v>30</v>
      </c>
      <c r="B752" s="1">
        <v>45675</v>
      </c>
      <c r="C752" s="36">
        <f t="shared" si="108"/>
        <v>37594.400000000001</v>
      </c>
      <c r="D752" s="2">
        <v>21712</v>
      </c>
      <c r="E752" s="36">
        <f t="shared" si="109"/>
        <v>27008.800000000003</v>
      </c>
      <c r="F752" s="2">
        <v>19967</v>
      </c>
      <c r="G752" s="2">
        <f t="shared" si="107"/>
        <v>106282.20000000001</v>
      </c>
      <c r="H752" s="3">
        <f t="shared" si="110"/>
        <v>0.35372244834977068</v>
      </c>
      <c r="I752" s="3">
        <f t="shared" si="111"/>
        <v>0.25412345623255822</v>
      </c>
      <c r="J752" s="3">
        <f t="shared" si="112"/>
        <v>0.20428632452094517</v>
      </c>
      <c r="K752" s="3">
        <f t="shared" si="113"/>
        <v>0.18786777089672588</v>
      </c>
      <c r="L752" s="3">
        <f t="shared" si="114"/>
        <v>0.6078459045823289</v>
      </c>
      <c r="M752" s="56">
        <f t="shared" si="115"/>
        <v>0.39215409541767104</v>
      </c>
      <c r="O752" s="2">
        <v>42545</v>
      </c>
      <c r="R752" s="2">
        <v>7721</v>
      </c>
      <c r="S752" s="36"/>
    </row>
    <row r="753" spans="1:19" hidden="1" x14ac:dyDescent="0.25">
      <c r="A753" s="55" t="s">
        <v>31</v>
      </c>
      <c r="B753" s="1">
        <v>45676</v>
      </c>
      <c r="C753" s="36">
        <f t="shared" si="108"/>
        <v>29252</v>
      </c>
      <c r="D753" s="2">
        <v>25117</v>
      </c>
      <c r="E753" s="36">
        <f t="shared" si="109"/>
        <v>35964</v>
      </c>
      <c r="F753" s="2">
        <v>24268</v>
      </c>
      <c r="G753" s="2">
        <f t="shared" si="107"/>
        <v>114601</v>
      </c>
      <c r="H753" s="3">
        <f t="shared" si="110"/>
        <v>0.2552508267816162</v>
      </c>
      <c r="I753" s="3">
        <f t="shared" si="111"/>
        <v>0.31381925114091502</v>
      </c>
      <c r="J753" s="3">
        <f t="shared" si="112"/>
        <v>0.2191691171979302</v>
      </c>
      <c r="K753" s="3">
        <f t="shared" si="113"/>
        <v>0.21176080487953858</v>
      </c>
      <c r="L753" s="3">
        <f t="shared" si="114"/>
        <v>0.56907007792253117</v>
      </c>
      <c r="M753" s="56">
        <f t="shared" si="115"/>
        <v>0.43092992207746877</v>
      </c>
      <c r="O753" s="2">
        <v>0</v>
      </c>
      <c r="R753" s="2">
        <v>0</v>
      </c>
      <c r="S753" s="36"/>
    </row>
    <row r="754" spans="1:19" hidden="1" x14ac:dyDescent="0.25">
      <c r="A754" s="55" t="s">
        <v>129</v>
      </c>
      <c r="B754" s="1">
        <v>45677</v>
      </c>
      <c r="C754" s="36">
        <f t="shared" si="108"/>
        <v>33044</v>
      </c>
      <c r="D754" s="2">
        <v>17831</v>
      </c>
      <c r="E754" s="36">
        <f t="shared" si="109"/>
        <v>27568.800000000003</v>
      </c>
      <c r="F754" s="2">
        <v>19377</v>
      </c>
      <c r="G754" s="2">
        <f t="shared" si="107"/>
        <v>97820.800000000003</v>
      </c>
      <c r="H754" s="3">
        <f t="shared" si="110"/>
        <v>0.33780136739834471</v>
      </c>
      <c r="I754" s="3">
        <f t="shared" si="111"/>
        <v>0.28182963132585304</v>
      </c>
      <c r="J754" s="3">
        <f t="shared" si="112"/>
        <v>0.18228229578985247</v>
      </c>
      <c r="K754" s="3">
        <f t="shared" si="113"/>
        <v>0.19808670548594981</v>
      </c>
      <c r="L754" s="3">
        <f t="shared" si="114"/>
        <v>0.61963099872419769</v>
      </c>
      <c r="M754" s="56">
        <f t="shared" si="115"/>
        <v>0.38036900127580225</v>
      </c>
      <c r="O754" s="2">
        <v>24309</v>
      </c>
      <c r="R754" s="2">
        <v>20406</v>
      </c>
      <c r="S754" s="36"/>
    </row>
    <row r="755" spans="1:19" hidden="1" x14ac:dyDescent="0.25">
      <c r="A755" s="55" t="s">
        <v>14</v>
      </c>
      <c r="B755" s="1">
        <v>45678</v>
      </c>
      <c r="C755" s="36">
        <f t="shared" si="108"/>
        <v>23400.800000000003</v>
      </c>
      <c r="D755" s="2">
        <v>12807</v>
      </c>
      <c r="E755" s="36">
        <f t="shared" si="109"/>
        <v>22553.600000000002</v>
      </c>
      <c r="F755" s="2">
        <v>12198</v>
      </c>
      <c r="G755" s="2">
        <f t="shared" si="107"/>
        <v>70959.400000000009</v>
      </c>
      <c r="H755" s="3">
        <f t="shared" si="110"/>
        <v>0.32977730927826332</v>
      </c>
      <c r="I755" s="3">
        <f t="shared" si="111"/>
        <v>0.31783808769521726</v>
      </c>
      <c r="J755" s="3">
        <f t="shared" si="112"/>
        <v>0.18048348774087716</v>
      </c>
      <c r="K755" s="3">
        <f t="shared" si="113"/>
        <v>0.1719011152856422</v>
      </c>
      <c r="L755" s="3">
        <f t="shared" si="114"/>
        <v>0.64761539697348069</v>
      </c>
      <c r="M755" s="56">
        <f t="shared" si="115"/>
        <v>0.35238460302651936</v>
      </c>
      <c r="O755" s="2">
        <v>37536</v>
      </c>
      <c r="R755" s="2">
        <v>32383</v>
      </c>
      <c r="S755" s="36"/>
    </row>
    <row r="756" spans="1:19" hidden="1" x14ac:dyDescent="0.25">
      <c r="A756" s="55" t="s">
        <v>21</v>
      </c>
      <c r="B756" s="1">
        <v>45679</v>
      </c>
      <c r="C756" s="36">
        <f t="shared" si="108"/>
        <v>31364</v>
      </c>
      <c r="D756" s="2">
        <v>12940</v>
      </c>
      <c r="E756" s="36">
        <f t="shared" si="109"/>
        <v>11948</v>
      </c>
      <c r="F756" s="2">
        <v>10186</v>
      </c>
      <c r="G756" s="2">
        <f t="shared" si="107"/>
        <v>66438</v>
      </c>
      <c r="H756" s="3">
        <f t="shared" si="110"/>
        <v>0.47207923176495381</v>
      </c>
      <c r="I756" s="3">
        <f t="shared" si="111"/>
        <v>0.17983684036244318</v>
      </c>
      <c r="J756" s="3">
        <f t="shared" si="112"/>
        <v>0.19476805442668352</v>
      </c>
      <c r="K756" s="3">
        <f t="shared" si="113"/>
        <v>0.15331587344591951</v>
      </c>
      <c r="L756" s="3">
        <f t="shared" si="114"/>
        <v>0.65191607212739699</v>
      </c>
      <c r="M756" s="56">
        <f t="shared" si="115"/>
        <v>0.34808392787260301</v>
      </c>
      <c r="O756" s="2">
        <v>19086</v>
      </c>
      <c r="R756" s="2">
        <v>40262</v>
      </c>
      <c r="S756" s="36"/>
    </row>
    <row r="757" spans="1:19" x14ac:dyDescent="0.25">
      <c r="A757" s="55" t="s">
        <v>26</v>
      </c>
      <c r="B757" s="1">
        <v>45680</v>
      </c>
      <c r="C757" s="36">
        <f t="shared" si="108"/>
        <v>24255.200000000001</v>
      </c>
      <c r="D757" s="2">
        <v>9223</v>
      </c>
      <c r="E757" s="36">
        <f t="shared" si="109"/>
        <v>12108.800000000001</v>
      </c>
      <c r="F757" s="2">
        <v>11569</v>
      </c>
      <c r="G757" s="2">
        <f t="shared" si="107"/>
        <v>57156</v>
      </c>
      <c r="H757" s="3">
        <f t="shared" si="110"/>
        <v>0.42436839526908815</v>
      </c>
      <c r="I757" s="3">
        <f t="shared" si="111"/>
        <v>0.21185527328714399</v>
      </c>
      <c r="J757" s="3">
        <f t="shared" si="112"/>
        <v>0.16136538596122893</v>
      </c>
      <c r="K757" s="3">
        <f t="shared" si="113"/>
        <v>0.20241094548253902</v>
      </c>
      <c r="L757" s="3">
        <f t="shared" si="114"/>
        <v>0.63622366855623202</v>
      </c>
      <c r="M757" s="56">
        <f t="shared" si="115"/>
        <v>0.36377633144376792</v>
      </c>
      <c r="O757" s="2">
        <v>26267</v>
      </c>
      <c r="R757" s="2">
        <v>35377</v>
      </c>
      <c r="S757" s="36"/>
    </row>
    <row r="758" spans="1:19" hidden="1" x14ac:dyDescent="0.25">
      <c r="A758" s="55" t="s">
        <v>7</v>
      </c>
      <c r="B758" s="1">
        <v>45681</v>
      </c>
      <c r="C758" s="36">
        <f t="shared" si="108"/>
        <v>25020</v>
      </c>
      <c r="D758" s="2">
        <v>17084</v>
      </c>
      <c r="E758" s="36">
        <f t="shared" si="109"/>
        <v>31386.400000000001</v>
      </c>
      <c r="F758" s="2">
        <v>12550</v>
      </c>
      <c r="G758" s="2">
        <f t="shared" si="107"/>
        <v>86040.4</v>
      </c>
      <c r="H758" s="3">
        <f t="shared" si="110"/>
        <v>0.29079362717978996</v>
      </c>
      <c r="I758" s="3">
        <f t="shared" si="111"/>
        <v>0.36478677458496245</v>
      </c>
      <c r="J758" s="3">
        <f t="shared" si="112"/>
        <v>0.19855788676017314</v>
      </c>
      <c r="K758" s="3">
        <f t="shared" si="113"/>
        <v>0.14586171147507451</v>
      </c>
      <c r="L758" s="3">
        <f t="shared" si="114"/>
        <v>0.65558040176475241</v>
      </c>
      <c r="M758" s="56">
        <f t="shared" si="115"/>
        <v>0.34441959823524765</v>
      </c>
      <c r="O758" s="2">
        <v>42067</v>
      </c>
      <c r="R758" s="2">
        <v>47131</v>
      </c>
      <c r="S758" s="36"/>
    </row>
    <row r="759" spans="1:19" hidden="1" x14ac:dyDescent="0.25">
      <c r="A759" s="55" t="s">
        <v>30</v>
      </c>
      <c r="B759" s="1">
        <v>45682</v>
      </c>
      <c r="C759" s="36">
        <f t="shared" si="108"/>
        <v>30032.800000000003</v>
      </c>
      <c r="D759" s="2">
        <v>25670</v>
      </c>
      <c r="E759" s="36">
        <f t="shared" si="109"/>
        <v>40896</v>
      </c>
      <c r="F759" s="2">
        <v>24178</v>
      </c>
      <c r="G759" s="2">
        <f t="shared" si="107"/>
        <v>120776.8</v>
      </c>
      <c r="H759" s="3">
        <f t="shared" si="110"/>
        <v>0.24866365063489015</v>
      </c>
      <c r="I759" s="3">
        <f t="shared" si="111"/>
        <v>0.33860807704790985</v>
      </c>
      <c r="J759" s="3">
        <f t="shared" si="112"/>
        <v>0.2125408190977075</v>
      </c>
      <c r="K759" s="3">
        <f t="shared" si="113"/>
        <v>0.20018745321949247</v>
      </c>
      <c r="L759" s="3">
        <f t="shared" si="114"/>
        <v>0.5872717276828</v>
      </c>
      <c r="M759" s="56">
        <f t="shared" si="115"/>
        <v>0.4127282723172</v>
      </c>
      <c r="O759" s="2">
        <v>28294</v>
      </c>
      <c r="R759" s="2">
        <v>0</v>
      </c>
      <c r="S759" s="36"/>
    </row>
    <row r="760" spans="1:19" hidden="1" x14ac:dyDescent="0.25">
      <c r="A760" s="55" t="s">
        <v>31</v>
      </c>
      <c r="B760" s="1">
        <v>45683</v>
      </c>
      <c r="C760" s="36">
        <f t="shared" si="108"/>
        <v>23008</v>
      </c>
      <c r="D760" s="2">
        <v>23680</v>
      </c>
      <c r="E760" s="36">
        <f t="shared" si="109"/>
        <v>45542.400000000001</v>
      </c>
      <c r="F760" s="2">
        <v>20674</v>
      </c>
      <c r="G760" s="2">
        <f t="shared" si="107"/>
        <v>112904.4</v>
      </c>
      <c r="H760" s="3">
        <f t="shared" si="110"/>
        <v>0.20378302351369831</v>
      </c>
      <c r="I760" s="3">
        <f t="shared" si="111"/>
        <v>0.40337134779512585</v>
      </c>
      <c r="J760" s="3">
        <f t="shared" si="112"/>
        <v>0.20973496161354208</v>
      </c>
      <c r="K760" s="3">
        <f t="shared" si="113"/>
        <v>0.18311066707763382</v>
      </c>
      <c r="L760" s="3">
        <f t="shared" si="114"/>
        <v>0.6071543713088241</v>
      </c>
      <c r="M760" s="56">
        <f t="shared" si="115"/>
        <v>0.3928456286911759</v>
      </c>
      <c r="O760" s="2">
        <v>0</v>
      </c>
      <c r="R760" s="2">
        <v>46467</v>
      </c>
      <c r="S760" s="36"/>
    </row>
    <row r="761" spans="1:19" hidden="1" x14ac:dyDescent="0.25">
      <c r="A761" s="55" t="s">
        <v>129</v>
      </c>
      <c r="B761" s="1">
        <v>45684</v>
      </c>
      <c r="C761" s="36">
        <f t="shared" si="108"/>
        <v>26739.200000000001</v>
      </c>
      <c r="D761" s="2">
        <v>20989</v>
      </c>
      <c r="E761" s="36">
        <f t="shared" si="109"/>
        <v>35558.400000000001</v>
      </c>
      <c r="F761" s="2">
        <v>16159</v>
      </c>
      <c r="G761" s="2">
        <f t="shared" si="107"/>
        <v>99445.6</v>
      </c>
      <c r="H761" s="3">
        <f t="shared" si="110"/>
        <v>0.2688826856090164</v>
      </c>
      <c r="I761" s="3">
        <f t="shared" si="111"/>
        <v>0.35756634783238272</v>
      </c>
      <c r="J761" s="3">
        <f t="shared" si="112"/>
        <v>0.21106011729025717</v>
      </c>
      <c r="K761" s="3">
        <f t="shared" si="113"/>
        <v>0.1624908492683437</v>
      </c>
      <c r="L761" s="3">
        <f t="shared" si="114"/>
        <v>0.62644903344139913</v>
      </c>
      <c r="M761" s="56">
        <f t="shared" si="115"/>
        <v>0.37355096655860087</v>
      </c>
      <c r="O761" s="2">
        <v>19795</v>
      </c>
      <c r="R761" s="2">
        <v>27969</v>
      </c>
      <c r="S761" s="36"/>
    </row>
    <row r="762" spans="1:19" hidden="1" x14ac:dyDescent="0.25">
      <c r="A762" s="55" t="s">
        <v>14</v>
      </c>
      <c r="B762" s="1">
        <v>45685</v>
      </c>
      <c r="C762" s="36">
        <f t="shared" si="108"/>
        <v>38787.200000000004</v>
      </c>
      <c r="D762" s="2">
        <v>18832</v>
      </c>
      <c r="E762" s="36">
        <f t="shared" si="109"/>
        <v>28864.800000000003</v>
      </c>
      <c r="F762" s="2">
        <v>17130</v>
      </c>
      <c r="G762" s="2">
        <f t="shared" si="107"/>
        <v>103614</v>
      </c>
      <c r="H762" s="3">
        <f t="shared" si="110"/>
        <v>0.37434323547011028</v>
      </c>
      <c r="I762" s="3">
        <f t="shared" si="111"/>
        <v>0.2785801146563206</v>
      </c>
      <c r="J762" s="3">
        <f t="shared" si="112"/>
        <v>0.18175150076244523</v>
      </c>
      <c r="K762" s="3">
        <f t="shared" si="113"/>
        <v>0.16532514911112398</v>
      </c>
      <c r="L762" s="3">
        <f t="shared" si="114"/>
        <v>0.65292335012643077</v>
      </c>
      <c r="M762" s="56">
        <f t="shared" si="115"/>
        <v>0.34707664987356923</v>
      </c>
      <c r="O762" s="2">
        <v>46390</v>
      </c>
      <c r="R762" s="2">
        <v>30422</v>
      </c>
      <c r="S762" s="36"/>
    </row>
    <row r="763" spans="1:19" hidden="1" x14ac:dyDescent="0.25">
      <c r="A763" s="55" t="s">
        <v>21</v>
      </c>
      <c r="B763" s="1">
        <v>45686</v>
      </c>
      <c r="C763" s="36">
        <f t="shared" si="108"/>
        <v>33206.400000000001</v>
      </c>
      <c r="D763" s="2">
        <v>15480</v>
      </c>
      <c r="E763" s="36">
        <f t="shared" si="109"/>
        <v>17052</v>
      </c>
      <c r="F763" s="2">
        <v>13278</v>
      </c>
      <c r="G763" s="2">
        <f t="shared" si="107"/>
        <v>79016.399999999994</v>
      </c>
      <c r="H763" s="3">
        <f t="shared" si="110"/>
        <v>0.42024693607909247</v>
      </c>
      <c r="I763" s="3">
        <f t="shared" si="111"/>
        <v>0.21580330159308703</v>
      </c>
      <c r="J763" s="3">
        <f t="shared" si="112"/>
        <v>0.19590869743496289</v>
      </c>
      <c r="K763" s="3">
        <f t="shared" si="113"/>
        <v>0.16804106489285769</v>
      </c>
      <c r="L763" s="3">
        <f t="shared" si="114"/>
        <v>0.6360502376721795</v>
      </c>
      <c r="M763" s="56">
        <f t="shared" si="115"/>
        <v>0.36394976232782056</v>
      </c>
      <c r="O763" s="2">
        <v>40420</v>
      </c>
      <c r="R763" s="2">
        <v>30214</v>
      </c>
      <c r="S763" s="36"/>
    </row>
    <row r="764" spans="1:19" x14ac:dyDescent="0.25">
      <c r="A764" s="55" t="s">
        <v>26</v>
      </c>
      <c r="B764" s="1">
        <v>45687</v>
      </c>
      <c r="C764" s="36">
        <f t="shared" si="108"/>
        <v>23916.800000000003</v>
      </c>
      <c r="D764" s="2">
        <v>9854</v>
      </c>
      <c r="E764" s="36">
        <f t="shared" si="109"/>
        <v>11632</v>
      </c>
      <c r="F764" s="2">
        <v>9118</v>
      </c>
      <c r="G764" s="2">
        <f t="shared" si="107"/>
        <v>54520.800000000003</v>
      </c>
      <c r="H764" s="3">
        <f t="shared" si="110"/>
        <v>0.43867294683863778</v>
      </c>
      <c r="I764" s="3">
        <f t="shared" si="111"/>
        <v>0.21334976742821088</v>
      </c>
      <c r="J764" s="3">
        <f t="shared" si="112"/>
        <v>0.18073836040556998</v>
      </c>
      <c r="K764" s="3">
        <f t="shared" si="113"/>
        <v>0.16723892532758139</v>
      </c>
      <c r="L764" s="3">
        <f t="shared" si="114"/>
        <v>0.65202271426684866</v>
      </c>
      <c r="M764" s="56">
        <f t="shared" si="115"/>
        <v>0.34797728573315134</v>
      </c>
      <c r="O764" s="2">
        <v>14026</v>
      </c>
      <c r="R764" s="2">
        <v>0</v>
      </c>
      <c r="S764" s="36"/>
    </row>
    <row r="765" spans="1:19" hidden="1" x14ac:dyDescent="0.25">
      <c r="A765" s="55" t="s">
        <v>7</v>
      </c>
      <c r="B765" s="1">
        <v>45688</v>
      </c>
      <c r="C765" s="36">
        <f t="shared" si="108"/>
        <v>35068</v>
      </c>
      <c r="D765" s="2">
        <v>19683</v>
      </c>
      <c r="E765" s="36">
        <f t="shared" si="109"/>
        <v>25580.800000000003</v>
      </c>
      <c r="F765" s="2">
        <v>14256</v>
      </c>
      <c r="G765" s="2">
        <f t="shared" si="107"/>
        <v>94587.8</v>
      </c>
      <c r="H765" s="3">
        <f t="shared" si="110"/>
        <v>0.37074548726157069</v>
      </c>
      <c r="I765" s="3">
        <f t="shared" si="111"/>
        <v>0.27044502567984458</v>
      </c>
      <c r="J765" s="3">
        <f t="shared" si="112"/>
        <v>0.20809237554948945</v>
      </c>
      <c r="K765" s="3">
        <f t="shared" si="113"/>
        <v>0.15071711150909525</v>
      </c>
      <c r="L765" s="3">
        <f t="shared" si="114"/>
        <v>0.64119051294141527</v>
      </c>
      <c r="M765" s="56">
        <f t="shared" si="115"/>
        <v>0.35880948705858473</v>
      </c>
      <c r="O765" s="2">
        <v>0</v>
      </c>
      <c r="R765" s="2">
        <v>27976</v>
      </c>
      <c r="S765" s="36"/>
    </row>
    <row r="766" spans="1:19" hidden="1" x14ac:dyDescent="0.25">
      <c r="A766" s="55" t="s">
        <v>30</v>
      </c>
      <c r="B766" s="1">
        <v>45689</v>
      </c>
      <c r="C766" s="36">
        <f t="shared" si="108"/>
        <v>38266.400000000001</v>
      </c>
      <c r="D766" s="2">
        <v>23366</v>
      </c>
      <c r="E766" s="36">
        <f t="shared" si="109"/>
        <v>29264</v>
      </c>
      <c r="F766" s="2">
        <v>23890</v>
      </c>
      <c r="G766" s="2">
        <f t="shared" si="107"/>
        <v>114786.4</v>
      </c>
      <c r="H766" s="3">
        <f t="shared" si="110"/>
        <v>0.33337050382275257</v>
      </c>
      <c r="I766" s="3">
        <f t="shared" si="111"/>
        <v>0.25494309430385481</v>
      </c>
      <c r="J766" s="3">
        <f t="shared" si="112"/>
        <v>0.20356070057079934</v>
      </c>
      <c r="K766" s="3">
        <f t="shared" si="113"/>
        <v>0.20812570130259334</v>
      </c>
      <c r="L766" s="3">
        <f t="shared" si="114"/>
        <v>0.58831359812660733</v>
      </c>
      <c r="M766" s="56">
        <f t="shared" si="115"/>
        <v>0.41168640187339267</v>
      </c>
      <c r="O766" s="2">
        <v>31496</v>
      </c>
      <c r="R766" s="2">
        <v>26430</v>
      </c>
      <c r="S766" s="36"/>
    </row>
    <row r="767" spans="1:19" hidden="1" x14ac:dyDescent="0.25">
      <c r="A767" s="55" t="s">
        <v>31</v>
      </c>
      <c r="B767" s="1">
        <v>45690</v>
      </c>
      <c r="C767" s="36">
        <f t="shared" si="108"/>
        <v>41772.800000000003</v>
      </c>
      <c r="D767" s="2">
        <v>21923</v>
      </c>
      <c r="E767" s="36">
        <f t="shared" si="109"/>
        <v>37518.400000000001</v>
      </c>
      <c r="F767" s="2">
        <v>24250</v>
      </c>
      <c r="G767" s="2">
        <f t="shared" si="107"/>
        <v>125464.20000000001</v>
      </c>
      <c r="H767" s="3">
        <f t="shared" si="110"/>
        <v>0.33294597183897878</v>
      </c>
      <c r="I767" s="3">
        <f t="shared" si="111"/>
        <v>0.29903669732082933</v>
      </c>
      <c r="J767" s="3">
        <f t="shared" si="112"/>
        <v>0.17473510371882975</v>
      </c>
      <c r="K767" s="3">
        <f t="shared" si="113"/>
        <v>0.19328222712136209</v>
      </c>
      <c r="L767" s="3">
        <f t="shared" si="114"/>
        <v>0.63198266915980816</v>
      </c>
      <c r="M767" s="56">
        <f t="shared" si="115"/>
        <v>0.36801733084019184</v>
      </c>
      <c r="O767" s="2">
        <v>31207</v>
      </c>
      <c r="R767" s="2">
        <v>46690</v>
      </c>
      <c r="S767" s="36"/>
    </row>
    <row r="768" spans="1:19" hidden="1" x14ac:dyDescent="0.25">
      <c r="A768" s="55" t="s">
        <v>129</v>
      </c>
      <c r="B768" s="1">
        <v>45691</v>
      </c>
      <c r="C768" s="36">
        <f t="shared" si="108"/>
        <v>27567.200000000001</v>
      </c>
      <c r="D768" s="2">
        <v>22309</v>
      </c>
      <c r="E768" s="36">
        <f t="shared" si="109"/>
        <v>30356</v>
      </c>
      <c r="F768" s="2">
        <v>15115</v>
      </c>
      <c r="G768" s="2">
        <f t="shared" si="107"/>
        <v>95347.199999999997</v>
      </c>
      <c r="H768" s="3">
        <f t="shared" si="110"/>
        <v>0.28912437911129013</v>
      </c>
      <c r="I768" s="3">
        <f t="shared" si="111"/>
        <v>0.31837327158007789</v>
      </c>
      <c r="J768" s="3">
        <f t="shared" si="112"/>
        <v>0.23397645657135185</v>
      </c>
      <c r="K768" s="3">
        <f t="shared" si="113"/>
        <v>0.15852589273728018</v>
      </c>
      <c r="L768" s="3">
        <f t="shared" si="114"/>
        <v>0.60749765069136796</v>
      </c>
      <c r="M768" s="56">
        <f t="shared" si="115"/>
        <v>0.39250234930863204</v>
      </c>
      <c r="O768" s="2">
        <v>36917</v>
      </c>
      <c r="R768" s="2">
        <v>31802</v>
      </c>
      <c r="S768" s="36"/>
    </row>
    <row r="769" spans="1:19" hidden="1" x14ac:dyDescent="0.25">
      <c r="A769" s="55" t="s">
        <v>14</v>
      </c>
      <c r="B769" s="1">
        <v>45692</v>
      </c>
      <c r="C769" s="36">
        <f t="shared" si="108"/>
        <v>32104.800000000003</v>
      </c>
      <c r="D769" s="2">
        <v>19188</v>
      </c>
      <c r="E769" s="36">
        <f t="shared" si="109"/>
        <v>32324.800000000003</v>
      </c>
      <c r="F769" s="2">
        <v>14433</v>
      </c>
      <c r="G769" s="2">
        <f t="shared" si="107"/>
        <v>98050.6</v>
      </c>
      <c r="H769" s="3">
        <f t="shared" si="110"/>
        <v>0.32743093871939594</v>
      </c>
      <c r="I769" s="3">
        <f t="shared" si="111"/>
        <v>0.3296746781763702</v>
      </c>
      <c r="J769" s="3">
        <f t="shared" si="112"/>
        <v>0.1956948759110092</v>
      </c>
      <c r="K769" s="3">
        <f t="shared" si="113"/>
        <v>0.14719950719322472</v>
      </c>
      <c r="L769" s="3">
        <f t="shared" si="114"/>
        <v>0.65710561689576608</v>
      </c>
      <c r="M769" s="56">
        <f t="shared" si="115"/>
        <v>0.34289438310423392</v>
      </c>
      <c r="O769" s="2">
        <v>40924</v>
      </c>
      <c r="R769" s="2">
        <v>23226</v>
      </c>
      <c r="S769" s="36"/>
    </row>
    <row r="770" spans="1:19" hidden="1" x14ac:dyDescent="0.25">
      <c r="A770" s="55" t="s">
        <v>21</v>
      </c>
      <c r="B770" s="1">
        <v>45693</v>
      </c>
      <c r="C770" s="36">
        <f t="shared" si="108"/>
        <v>30798.400000000001</v>
      </c>
      <c r="D770" s="2">
        <v>14604</v>
      </c>
      <c r="E770" s="36">
        <f t="shared" si="109"/>
        <v>23277.600000000002</v>
      </c>
      <c r="F770" s="2">
        <v>13577</v>
      </c>
      <c r="G770" s="2">
        <f t="shared" si="107"/>
        <v>82257</v>
      </c>
      <c r="H770" s="3">
        <f t="shared" si="110"/>
        <v>0.37441676696208226</v>
      </c>
      <c r="I770" s="3">
        <f t="shared" si="111"/>
        <v>0.28298625041029946</v>
      </c>
      <c r="J770" s="3">
        <f t="shared" si="112"/>
        <v>0.17754112112039097</v>
      </c>
      <c r="K770" s="3">
        <f t="shared" si="113"/>
        <v>0.16505586150722734</v>
      </c>
      <c r="L770" s="3">
        <f t="shared" si="114"/>
        <v>0.65740301737238171</v>
      </c>
      <c r="M770" s="56">
        <f t="shared" si="115"/>
        <v>0.34259698262761834</v>
      </c>
      <c r="O770" s="2">
        <v>44936</v>
      </c>
      <c r="R770" s="2">
        <v>44724</v>
      </c>
      <c r="S770" s="36"/>
    </row>
    <row r="771" spans="1:19" x14ac:dyDescent="0.25">
      <c r="A771" s="55" t="s">
        <v>26</v>
      </c>
      <c r="B771" s="1">
        <v>45694</v>
      </c>
      <c r="C771" s="36">
        <f t="shared" si="108"/>
        <v>19724</v>
      </c>
      <c r="D771" s="2">
        <v>17145</v>
      </c>
      <c r="E771" s="36">
        <f t="shared" si="109"/>
        <v>22352</v>
      </c>
      <c r="F771" s="2">
        <v>8671</v>
      </c>
      <c r="G771" s="2">
        <f t="shared" si="107"/>
        <v>67892</v>
      </c>
      <c r="H771" s="3">
        <f t="shared" si="110"/>
        <v>0.29052023802509869</v>
      </c>
      <c r="I771" s="3">
        <f t="shared" si="111"/>
        <v>0.32922877511341542</v>
      </c>
      <c r="J771" s="3">
        <f t="shared" si="112"/>
        <v>0.25253343545631296</v>
      </c>
      <c r="K771" s="3">
        <f t="shared" si="113"/>
        <v>0.12771755140517294</v>
      </c>
      <c r="L771" s="3">
        <f t="shared" si="114"/>
        <v>0.61974901313851416</v>
      </c>
      <c r="M771" s="56">
        <f t="shared" si="115"/>
        <v>0.3802509868614859</v>
      </c>
      <c r="O771" s="2">
        <v>41254</v>
      </c>
      <c r="R771" s="2">
        <v>40660</v>
      </c>
      <c r="S771" s="36"/>
    </row>
    <row r="772" spans="1:19" hidden="1" x14ac:dyDescent="0.25">
      <c r="A772" s="55" t="s">
        <v>7</v>
      </c>
      <c r="B772" s="1">
        <v>45695</v>
      </c>
      <c r="C772" s="36">
        <f t="shared" si="108"/>
        <v>25266.400000000001</v>
      </c>
      <c r="D772" s="2">
        <v>18796</v>
      </c>
      <c r="E772" s="36">
        <f t="shared" si="109"/>
        <v>36130.400000000001</v>
      </c>
      <c r="F772" s="2">
        <v>10885</v>
      </c>
      <c r="G772" s="2">
        <f t="shared" ref="G772:G835" si="116">SUM(C772:F772)</f>
        <v>91077.8</v>
      </c>
      <c r="H772" s="3">
        <f t="shared" si="110"/>
        <v>0.27741557218114621</v>
      </c>
      <c r="I772" s="3">
        <f t="shared" si="111"/>
        <v>0.39669820746658352</v>
      </c>
      <c r="J772" s="3">
        <f t="shared" si="112"/>
        <v>0.20637301296254409</v>
      </c>
      <c r="K772" s="3">
        <f t="shared" si="113"/>
        <v>0.11951320738972614</v>
      </c>
      <c r="L772" s="3">
        <f t="shared" si="114"/>
        <v>0.67411377964772978</v>
      </c>
      <c r="M772" s="56">
        <f t="shared" si="115"/>
        <v>0.32588622035227027</v>
      </c>
      <c r="O772" s="2">
        <v>45619</v>
      </c>
      <c r="R772" s="2">
        <v>39832</v>
      </c>
      <c r="S772" s="36"/>
    </row>
    <row r="773" spans="1:19" hidden="1" x14ac:dyDescent="0.25">
      <c r="A773" s="55" t="s">
        <v>30</v>
      </c>
      <c r="B773" s="1">
        <v>45696</v>
      </c>
      <c r="C773" s="36">
        <f t="shared" ref="C773:C836" si="117">O798*$P$27</f>
        <v>24730.400000000001</v>
      </c>
      <c r="D773" s="2">
        <v>28743</v>
      </c>
      <c r="E773" s="36">
        <f t="shared" ref="E773:E836" si="118">R798*$P$27</f>
        <v>32983.200000000004</v>
      </c>
      <c r="F773" s="2">
        <v>21281</v>
      </c>
      <c r="G773" s="2">
        <f t="shared" si="116"/>
        <v>107737.60000000001</v>
      </c>
      <c r="H773" s="3">
        <f t="shared" ref="H773:H836" si="119">IFERROR(C773/G773,0)</f>
        <v>0.2295428893905192</v>
      </c>
      <c r="I773" s="3">
        <f t="shared" ref="I773:I836" si="120">IFERROR(E773/G773,0)</f>
        <v>0.30614381608649166</v>
      </c>
      <c r="J773" s="3">
        <f t="shared" ref="J773:J836" si="121">IFERROR(D773/G773,0)</f>
        <v>0.26678708268979445</v>
      </c>
      <c r="K773" s="3">
        <f t="shared" ref="K773:K836" si="122">IFERROR(F773/G773,0)</f>
        <v>0.19752621183319471</v>
      </c>
      <c r="L773" s="3">
        <f t="shared" ref="L773:L836" si="123">IFERROR((C773+E773)/G773, 0)</f>
        <v>0.5356867054770108</v>
      </c>
      <c r="M773" s="56">
        <f t="shared" ref="M773:M836" si="124">IFERROR((D773+F773)/G773, 0)</f>
        <v>0.46431329452298914</v>
      </c>
      <c r="O773" s="2">
        <v>47056</v>
      </c>
      <c r="R773" s="2">
        <v>44177</v>
      </c>
      <c r="S773" s="36"/>
    </row>
    <row r="774" spans="1:19" hidden="1" x14ac:dyDescent="0.25">
      <c r="A774" s="55" t="s">
        <v>31</v>
      </c>
      <c r="B774" s="1">
        <v>45697</v>
      </c>
      <c r="C774" s="36">
        <f t="shared" si="117"/>
        <v>35090.400000000001</v>
      </c>
      <c r="D774" s="2">
        <v>23313</v>
      </c>
      <c r="E774" s="36">
        <f t="shared" si="118"/>
        <v>24485.600000000002</v>
      </c>
      <c r="F774" s="2">
        <v>14682</v>
      </c>
      <c r="G774" s="2">
        <f t="shared" si="116"/>
        <v>97571</v>
      </c>
      <c r="H774" s="3">
        <f t="shared" si="119"/>
        <v>0.35963964702626805</v>
      </c>
      <c r="I774" s="3">
        <f t="shared" si="120"/>
        <v>0.25095161472158739</v>
      </c>
      <c r="J774" s="3">
        <f t="shared" si="121"/>
        <v>0.23893369956236996</v>
      </c>
      <c r="K774" s="3">
        <f t="shared" si="122"/>
        <v>0.15047503868977463</v>
      </c>
      <c r="L774" s="3">
        <f t="shared" si="123"/>
        <v>0.61059126174785538</v>
      </c>
      <c r="M774" s="56">
        <f t="shared" si="124"/>
        <v>0.38940873825214462</v>
      </c>
      <c r="O774" s="2">
        <v>34561</v>
      </c>
      <c r="R774" s="2">
        <v>17981</v>
      </c>
      <c r="S774" s="36"/>
    </row>
    <row r="775" spans="1:19" hidden="1" x14ac:dyDescent="0.25">
      <c r="A775" s="55" t="s">
        <v>129</v>
      </c>
      <c r="B775" s="1">
        <v>45698</v>
      </c>
      <c r="C775" s="36">
        <f t="shared" si="117"/>
        <v>31712</v>
      </c>
      <c r="D775" s="2">
        <v>22153</v>
      </c>
      <c r="E775" s="36">
        <f t="shared" si="118"/>
        <v>39664</v>
      </c>
      <c r="F775" s="2">
        <v>21521</v>
      </c>
      <c r="G775" s="2">
        <f t="shared" si="116"/>
        <v>115050</v>
      </c>
      <c r="H775" s="3">
        <f t="shared" si="119"/>
        <v>0.27563667970447631</v>
      </c>
      <c r="I775" s="3">
        <f t="shared" si="120"/>
        <v>0.34475445458496307</v>
      </c>
      <c r="J775" s="3">
        <f t="shared" si="121"/>
        <v>0.19255106475445458</v>
      </c>
      <c r="K775" s="3">
        <f t="shared" si="122"/>
        <v>0.18705780095610605</v>
      </c>
      <c r="L775" s="3">
        <f t="shared" si="123"/>
        <v>0.62039113428943937</v>
      </c>
      <c r="M775" s="56">
        <f t="shared" si="124"/>
        <v>0.37960886571056063</v>
      </c>
      <c r="O775" s="2">
        <v>25028</v>
      </c>
      <c r="R775" s="2">
        <v>27905</v>
      </c>
      <c r="S775" s="36"/>
    </row>
    <row r="776" spans="1:19" hidden="1" x14ac:dyDescent="0.25">
      <c r="A776" s="55" t="s">
        <v>14</v>
      </c>
      <c r="B776" s="1">
        <v>45699</v>
      </c>
      <c r="C776" s="36">
        <f t="shared" si="117"/>
        <v>34930.400000000001</v>
      </c>
      <c r="D776" s="2">
        <v>22260</v>
      </c>
      <c r="E776" s="36">
        <f t="shared" si="118"/>
        <v>18254.400000000001</v>
      </c>
      <c r="F776" s="2">
        <v>17317</v>
      </c>
      <c r="G776" s="2">
        <f t="shared" si="116"/>
        <v>92761.8</v>
      </c>
      <c r="H776" s="3">
        <f t="shared" si="119"/>
        <v>0.37656017886673177</v>
      </c>
      <c r="I776" s="3">
        <f t="shared" si="120"/>
        <v>0.19678790191652168</v>
      </c>
      <c r="J776" s="3">
        <f t="shared" si="121"/>
        <v>0.23996947019139342</v>
      </c>
      <c r="K776" s="3">
        <f t="shared" si="122"/>
        <v>0.18668244902535311</v>
      </c>
      <c r="L776" s="3">
        <f t="shared" si="123"/>
        <v>0.5733480807832535</v>
      </c>
      <c r="M776" s="56">
        <f t="shared" si="124"/>
        <v>0.42665191921674656</v>
      </c>
      <c r="O776" s="2">
        <v>35698</v>
      </c>
      <c r="R776" s="2">
        <v>36073</v>
      </c>
      <c r="S776" s="36"/>
    </row>
    <row r="777" spans="1:19" hidden="1" x14ac:dyDescent="0.25">
      <c r="A777" s="55" t="s">
        <v>21</v>
      </c>
      <c r="B777" s="1">
        <v>45700</v>
      </c>
      <c r="C777" s="36">
        <f t="shared" si="117"/>
        <v>22748.800000000003</v>
      </c>
      <c r="D777" s="2">
        <v>11400</v>
      </c>
      <c r="E777" s="36">
        <f t="shared" si="118"/>
        <v>17124</v>
      </c>
      <c r="F777" s="2">
        <v>10278</v>
      </c>
      <c r="G777" s="2">
        <f t="shared" si="116"/>
        <v>61550.8</v>
      </c>
      <c r="H777" s="3">
        <f t="shared" si="119"/>
        <v>0.36959389642376705</v>
      </c>
      <c r="I777" s="3">
        <f t="shared" si="120"/>
        <v>0.27820921905158014</v>
      </c>
      <c r="J777" s="3">
        <f t="shared" si="121"/>
        <v>0.18521286482060345</v>
      </c>
      <c r="K777" s="3">
        <f t="shared" si="122"/>
        <v>0.16698401970404933</v>
      </c>
      <c r="L777" s="3">
        <f t="shared" si="123"/>
        <v>0.64780311547534719</v>
      </c>
      <c r="M777" s="56">
        <f t="shared" si="124"/>
        <v>0.35219688452465281</v>
      </c>
      <c r="O777" s="2">
        <v>46993</v>
      </c>
      <c r="R777" s="2">
        <v>33761</v>
      </c>
      <c r="S777" s="36"/>
    </row>
    <row r="778" spans="1:19" x14ac:dyDescent="0.25">
      <c r="A778" s="55" t="s">
        <v>26</v>
      </c>
      <c r="B778" s="1">
        <v>45701</v>
      </c>
      <c r="C778" s="36">
        <f t="shared" si="117"/>
        <v>24049.600000000002</v>
      </c>
      <c r="D778" s="2">
        <v>13686</v>
      </c>
      <c r="E778" s="36">
        <f t="shared" si="118"/>
        <v>12033.6</v>
      </c>
      <c r="F778" s="2">
        <v>14353</v>
      </c>
      <c r="G778" s="2">
        <f t="shared" si="116"/>
        <v>64122.200000000004</v>
      </c>
      <c r="H778" s="3">
        <f t="shared" si="119"/>
        <v>0.3750588719663393</v>
      </c>
      <c r="I778" s="3">
        <f t="shared" si="120"/>
        <v>0.18766667394443734</v>
      </c>
      <c r="J778" s="3">
        <f t="shared" si="121"/>
        <v>0.2134362202170231</v>
      </c>
      <c r="K778" s="3">
        <f t="shared" si="122"/>
        <v>0.22383823387220025</v>
      </c>
      <c r="L778" s="3">
        <f t="shared" si="123"/>
        <v>0.56272554591077661</v>
      </c>
      <c r="M778" s="56">
        <f t="shared" si="124"/>
        <v>0.43727445408922339</v>
      </c>
      <c r="O778" s="2">
        <v>36565</v>
      </c>
      <c r="R778" s="2">
        <v>44955</v>
      </c>
      <c r="S778" s="36"/>
    </row>
    <row r="779" spans="1:19" hidden="1" x14ac:dyDescent="0.25">
      <c r="A779" s="55" t="s">
        <v>7</v>
      </c>
      <c r="B779" s="1">
        <v>45702</v>
      </c>
      <c r="C779" s="36">
        <f t="shared" si="117"/>
        <v>41711.200000000004</v>
      </c>
      <c r="D779" s="2">
        <v>15552</v>
      </c>
      <c r="E779" s="36">
        <f t="shared" si="118"/>
        <v>11862.400000000001</v>
      </c>
      <c r="F779" s="2">
        <v>12374</v>
      </c>
      <c r="G779" s="2">
        <f t="shared" si="116"/>
        <v>81499.600000000006</v>
      </c>
      <c r="H779" s="3">
        <f t="shared" si="119"/>
        <v>0.51179637691473334</v>
      </c>
      <c r="I779" s="3">
        <f t="shared" si="120"/>
        <v>0.14555163460924964</v>
      </c>
      <c r="J779" s="3">
        <f t="shared" si="121"/>
        <v>0.19082302244428193</v>
      </c>
      <c r="K779" s="3">
        <f t="shared" si="122"/>
        <v>0.15182896603173512</v>
      </c>
      <c r="L779" s="3">
        <f t="shared" si="123"/>
        <v>0.65734801152398292</v>
      </c>
      <c r="M779" s="56">
        <f t="shared" si="124"/>
        <v>0.34265198847601702</v>
      </c>
      <c r="O779" s="2">
        <v>41305</v>
      </c>
      <c r="R779" s="2">
        <v>34461</v>
      </c>
      <c r="S779" s="36"/>
    </row>
    <row r="780" spans="1:19" hidden="1" x14ac:dyDescent="0.25">
      <c r="A780" s="55" t="s">
        <v>30</v>
      </c>
      <c r="B780" s="1">
        <v>45703</v>
      </c>
      <c r="C780" s="36">
        <f t="shared" si="117"/>
        <v>35720</v>
      </c>
      <c r="D780" s="2">
        <v>19787</v>
      </c>
      <c r="E780" s="36">
        <f t="shared" si="118"/>
        <v>27622.400000000001</v>
      </c>
      <c r="F780" s="2">
        <v>24547</v>
      </c>
      <c r="G780" s="2">
        <f t="shared" si="116"/>
        <v>107676.4</v>
      </c>
      <c r="H780" s="3">
        <f t="shared" si="119"/>
        <v>0.33173471624237066</v>
      </c>
      <c r="I780" s="3">
        <f t="shared" si="120"/>
        <v>0.25653160766890426</v>
      </c>
      <c r="J780" s="3">
        <f t="shared" si="121"/>
        <v>0.18376357307636587</v>
      </c>
      <c r="K780" s="3">
        <f t="shared" si="122"/>
        <v>0.22797010301235926</v>
      </c>
      <c r="L780" s="3">
        <f t="shared" si="123"/>
        <v>0.58826632391127498</v>
      </c>
      <c r="M780" s="56">
        <f t="shared" si="124"/>
        <v>0.41173367608872513</v>
      </c>
      <c r="O780" s="2">
        <v>29251</v>
      </c>
      <c r="R780" s="2">
        <v>28192</v>
      </c>
      <c r="S780" s="36"/>
    </row>
    <row r="781" spans="1:19" hidden="1" x14ac:dyDescent="0.25">
      <c r="A781" s="55" t="s">
        <v>31</v>
      </c>
      <c r="B781" s="1">
        <v>45704</v>
      </c>
      <c r="C781" s="36">
        <f t="shared" si="117"/>
        <v>36243.200000000004</v>
      </c>
      <c r="D781" s="2">
        <v>22750</v>
      </c>
      <c r="E781" s="36">
        <f t="shared" si="118"/>
        <v>44551.200000000004</v>
      </c>
      <c r="F781" s="2">
        <v>22875</v>
      </c>
      <c r="G781" s="2">
        <f t="shared" si="116"/>
        <v>126419.40000000001</v>
      </c>
      <c r="H781" s="3">
        <f t="shared" si="119"/>
        <v>0.28669017571670175</v>
      </c>
      <c r="I781" s="3">
        <f t="shared" si="120"/>
        <v>0.35240793738935638</v>
      </c>
      <c r="J781" s="3">
        <f t="shared" si="121"/>
        <v>0.17995655730054089</v>
      </c>
      <c r="K781" s="3">
        <f t="shared" si="122"/>
        <v>0.18094532959340101</v>
      </c>
      <c r="L781" s="3">
        <f t="shared" si="123"/>
        <v>0.63909811310605813</v>
      </c>
      <c r="M781" s="56">
        <f t="shared" si="124"/>
        <v>0.36090188689394187</v>
      </c>
      <c r="O781" s="2">
        <v>39205</v>
      </c>
      <c r="R781" s="2">
        <v>14935</v>
      </c>
      <c r="S781" s="36"/>
    </row>
    <row r="782" spans="1:19" hidden="1" x14ac:dyDescent="0.25">
      <c r="A782" s="55" t="s">
        <v>129</v>
      </c>
      <c r="B782" s="1">
        <v>45705</v>
      </c>
      <c r="C782" s="36">
        <f t="shared" si="117"/>
        <v>36594.400000000001</v>
      </c>
      <c r="D782" s="2">
        <v>26351</v>
      </c>
      <c r="E782" s="36">
        <f t="shared" si="118"/>
        <v>29747.200000000001</v>
      </c>
      <c r="F782" s="2">
        <v>15864</v>
      </c>
      <c r="G782" s="2">
        <f t="shared" si="116"/>
        <v>108556.6</v>
      </c>
      <c r="H782" s="3">
        <f t="shared" si="119"/>
        <v>0.33709972493611629</v>
      </c>
      <c r="I782" s="3">
        <f t="shared" si="120"/>
        <v>0.27402479443902994</v>
      </c>
      <c r="J782" s="3">
        <f t="shared" si="121"/>
        <v>0.24273973208446101</v>
      </c>
      <c r="K782" s="3">
        <f t="shared" si="122"/>
        <v>0.14613574854039274</v>
      </c>
      <c r="L782" s="3">
        <f t="shared" si="123"/>
        <v>0.61112451937514622</v>
      </c>
      <c r="M782" s="56">
        <f t="shared" si="124"/>
        <v>0.38887548062485372</v>
      </c>
      <c r="O782" s="2">
        <v>30319</v>
      </c>
      <c r="R782" s="2">
        <v>15136</v>
      </c>
      <c r="S782" s="36"/>
    </row>
    <row r="783" spans="1:19" hidden="1" x14ac:dyDescent="0.25">
      <c r="A783" s="55" t="s">
        <v>14</v>
      </c>
      <c r="B783" s="1">
        <v>45706</v>
      </c>
      <c r="C783" s="36">
        <f t="shared" si="117"/>
        <v>30012.800000000003</v>
      </c>
      <c r="D783" s="2">
        <v>18090</v>
      </c>
      <c r="E783" s="36">
        <f t="shared" si="118"/>
        <v>29123.200000000001</v>
      </c>
      <c r="F783" s="2">
        <v>16616</v>
      </c>
      <c r="G783" s="2">
        <f t="shared" si="116"/>
        <v>93842</v>
      </c>
      <c r="H783" s="3">
        <f t="shared" si="119"/>
        <v>0.31982268067602998</v>
      </c>
      <c r="I783" s="3">
        <f t="shared" si="120"/>
        <v>0.31034291681762965</v>
      </c>
      <c r="J783" s="3">
        <f t="shared" si="121"/>
        <v>0.19277082756121991</v>
      </c>
      <c r="K783" s="3">
        <f t="shared" si="122"/>
        <v>0.17706357494512051</v>
      </c>
      <c r="L783" s="3">
        <f t="shared" si="123"/>
        <v>0.63016559749365952</v>
      </c>
      <c r="M783" s="56">
        <f t="shared" si="124"/>
        <v>0.36983440250634042</v>
      </c>
      <c r="O783" s="2">
        <v>31275</v>
      </c>
      <c r="R783" s="2">
        <v>39233</v>
      </c>
      <c r="S783" s="36"/>
    </row>
    <row r="784" spans="1:19" hidden="1" x14ac:dyDescent="0.25">
      <c r="A784" s="55" t="s">
        <v>21</v>
      </c>
      <c r="B784" s="1">
        <v>45707</v>
      </c>
      <c r="C784" s="36">
        <f t="shared" si="117"/>
        <v>30012</v>
      </c>
      <c r="D784" s="2">
        <v>12219</v>
      </c>
      <c r="E784" s="36">
        <f t="shared" si="118"/>
        <v>15700</v>
      </c>
      <c r="F784" s="2">
        <v>16574</v>
      </c>
      <c r="G784" s="2">
        <f t="shared" si="116"/>
        <v>74505</v>
      </c>
      <c r="H784" s="3">
        <f t="shared" si="119"/>
        <v>0.40281860277833703</v>
      </c>
      <c r="I784" s="3">
        <f t="shared" si="120"/>
        <v>0.21072411247567277</v>
      </c>
      <c r="J784" s="3">
        <f t="shared" si="121"/>
        <v>0.16400241594523857</v>
      </c>
      <c r="K784" s="3">
        <f t="shared" si="122"/>
        <v>0.22245486880075163</v>
      </c>
      <c r="L784" s="3">
        <f t="shared" si="123"/>
        <v>0.61354271525400983</v>
      </c>
      <c r="M784" s="56">
        <f t="shared" si="124"/>
        <v>0.38645728474599023</v>
      </c>
      <c r="O784" s="2">
        <v>37541</v>
      </c>
      <c r="R784" s="2">
        <v>51120</v>
      </c>
      <c r="S784" s="36"/>
    </row>
    <row r="785" spans="1:19" x14ac:dyDescent="0.25">
      <c r="A785" s="55" t="s">
        <v>26</v>
      </c>
      <c r="B785" s="1">
        <v>45708</v>
      </c>
      <c r="C785" s="36">
        <f t="shared" si="117"/>
        <v>27629.600000000002</v>
      </c>
      <c r="D785" s="2">
        <v>13418</v>
      </c>
      <c r="E785" s="36">
        <f t="shared" si="118"/>
        <v>10663.2</v>
      </c>
      <c r="F785" s="2">
        <v>13717</v>
      </c>
      <c r="G785" s="2">
        <f t="shared" si="116"/>
        <v>65427.8</v>
      </c>
      <c r="H785" s="3">
        <f t="shared" si="119"/>
        <v>0.42229144186416173</v>
      </c>
      <c r="I785" s="3">
        <f t="shared" si="120"/>
        <v>0.16297659404717874</v>
      </c>
      <c r="J785" s="3">
        <f t="shared" si="121"/>
        <v>0.20508102060591979</v>
      </c>
      <c r="K785" s="3">
        <f t="shared" si="122"/>
        <v>0.20965094348273974</v>
      </c>
      <c r="L785" s="3">
        <f t="shared" si="123"/>
        <v>0.58526803591134047</v>
      </c>
      <c r="M785" s="56">
        <f t="shared" si="124"/>
        <v>0.41473196408865953</v>
      </c>
      <c r="O785" s="2">
        <v>28760</v>
      </c>
      <c r="R785" s="2">
        <v>56928</v>
      </c>
      <c r="S785" s="36"/>
    </row>
    <row r="786" spans="1:19" hidden="1" x14ac:dyDescent="0.25">
      <c r="A786" s="55" t="s">
        <v>7</v>
      </c>
      <c r="B786" s="1">
        <v>45709</v>
      </c>
      <c r="C786" s="36">
        <f t="shared" si="117"/>
        <v>40812</v>
      </c>
      <c r="D786" s="2">
        <v>20164</v>
      </c>
      <c r="E786" s="36">
        <f t="shared" si="118"/>
        <v>23137.600000000002</v>
      </c>
      <c r="F786" s="2">
        <v>17705</v>
      </c>
      <c r="G786" s="2">
        <f t="shared" si="116"/>
        <v>101818.6</v>
      </c>
      <c r="H786" s="3">
        <f t="shared" si="119"/>
        <v>0.40083049658903186</v>
      </c>
      <c r="I786" s="3">
        <f t="shared" si="120"/>
        <v>0.22724335239337412</v>
      </c>
      <c r="J786" s="3">
        <f t="shared" si="121"/>
        <v>0.1980384723419886</v>
      </c>
      <c r="K786" s="3">
        <f t="shared" si="122"/>
        <v>0.17388767867560542</v>
      </c>
      <c r="L786" s="3">
        <f t="shared" si="123"/>
        <v>0.62807384898240604</v>
      </c>
      <c r="M786" s="56">
        <f t="shared" si="124"/>
        <v>0.37192615101759402</v>
      </c>
      <c r="O786" s="2">
        <v>33424</v>
      </c>
      <c r="R786" s="2">
        <v>44448</v>
      </c>
      <c r="S786" s="36"/>
    </row>
    <row r="787" spans="1:19" hidden="1" x14ac:dyDescent="0.25">
      <c r="A787" s="55" t="s">
        <v>30</v>
      </c>
      <c r="B787" s="1">
        <v>45710</v>
      </c>
      <c r="C787" s="36">
        <f t="shared" si="117"/>
        <v>28908</v>
      </c>
      <c r="D787" s="2">
        <v>19393</v>
      </c>
      <c r="E787" s="36">
        <f t="shared" si="118"/>
        <v>43504</v>
      </c>
      <c r="F787" s="2">
        <v>19939</v>
      </c>
      <c r="G787" s="2">
        <f t="shared" si="116"/>
        <v>111744</v>
      </c>
      <c r="H787" s="3">
        <f t="shared" si="119"/>
        <v>0.25869845360824745</v>
      </c>
      <c r="I787" s="3">
        <f t="shared" si="120"/>
        <v>0.3893184421534937</v>
      </c>
      <c r="J787" s="3">
        <f t="shared" si="121"/>
        <v>0.17354846792668957</v>
      </c>
      <c r="K787" s="3">
        <f t="shared" si="122"/>
        <v>0.17843463631156931</v>
      </c>
      <c r="L787" s="3">
        <f t="shared" si="123"/>
        <v>0.64801689576174115</v>
      </c>
      <c r="M787" s="56">
        <f t="shared" si="124"/>
        <v>0.3519831042382589</v>
      </c>
      <c r="O787" s="2">
        <v>48484</v>
      </c>
      <c r="R787" s="2">
        <v>36081</v>
      </c>
      <c r="S787" s="36"/>
    </row>
    <row r="788" spans="1:19" hidden="1" x14ac:dyDescent="0.25">
      <c r="A788" s="55" t="s">
        <v>31</v>
      </c>
      <c r="B788" s="1">
        <v>45711</v>
      </c>
      <c r="C788" s="36">
        <f t="shared" si="117"/>
        <v>28877.600000000002</v>
      </c>
      <c r="D788" s="2">
        <v>24099</v>
      </c>
      <c r="E788" s="36">
        <f t="shared" si="118"/>
        <v>50734.400000000001</v>
      </c>
      <c r="F788" s="2">
        <v>22201</v>
      </c>
      <c r="G788" s="2">
        <f t="shared" si="116"/>
        <v>125912</v>
      </c>
      <c r="H788" s="3">
        <f t="shared" si="119"/>
        <v>0.22934748078022749</v>
      </c>
      <c r="I788" s="3">
        <f t="shared" si="120"/>
        <v>0.4029353834424042</v>
      </c>
      <c r="J788" s="3">
        <f t="shared" si="121"/>
        <v>0.19139557786390496</v>
      </c>
      <c r="K788" s="3">
        <f t="shared" si="122"/>
        <v>0.17632155791346338</v>
      </c>
      <c r="L788" s="3">
        <f t="shared" si="123"/>
        <v>0.63228286422263169</v>
      </c>
      <c r="M788" s="56">
        <f t="shared" si="124"/>
        <v>0.36771713577736831</v>
      </c>
      <c r="O788" s="2">
        <v>41508</v>
      </c>
      <c r="R788" s="2">
        <v>21315</v>
      </c>
      <c r="S788" s="36"/>
    </row>
    <row r="789" spans="1:19" hidden="1" x14ac:dyDescent="0.25">
      <c r="A789" s="55" t="s">
        <v>129</v>
      </c>
      <c r="B789" s="1">
        <v>45712</v>
      </c>
      <c r="C789" s="36">
        <f t="shared" si="117"/>
        <v>27986.400000000001</v>
      </c>
      <c r="D789" s="2">
        <v>18597</v>
      </c>
      <c r="E789" s="36">
        <f t="shared" si="118"/>
        <v>38344.800000000003</v>
      </c>
      <c r="F789" s="2">
        <v>20861</v>
      </c>
      <c r="G789" s="2">
        <f t="shared" si="116"/>
        <v>105789.20000000001</v>
      </c>
      <c r="H789" s="3">
        <f t="shared" si="119"/>
        <v>0.26454874410620366</v>
      </c>
      <c r="I789" s="3">
        <f t="shared" si="120"/>
        <v>0.36246422130047301</v>
      </c>
      <c r="J789" s="3">
        <f t="shared" si="121"/>
        <v>0.17579299210127308</v>
      </c>
      <c r="K789" s="3">
        <f t="shared" si="122"/>
        <v>0.19719404249205022</v>
      </c>
      <c r="L789" s="3">
        <f t="shared" si="123"/>
        <v>0.62701296540667673</v>
      </c>
      <c r="M789" s="56">
        <f t="shared" si="124"/>
        <v>0.37298703459332327</v>
      </c>
      <c r="O789" s="2">
        <v>29896</v>
      </c>
      <c r="R789" s="2">
        <v>14540</v>
      </c>
      <c r="S789" s="36"/>
    </row>
    <row r="790" spans="1:19" hidden="1" x14ac:dyDescent="0.25">
      <c r="A790" s="55" t="s">
        <v>14</v>
      </c>
      <c r="B790" s="1">
        <v>45713</v>
      </c>
      <c r="C790" s="36">
        <f t="shared" si="117"/>
        <v>29140</v>
      </c>
      <c r="D790" s="2">
        <v>14742</v>
      </c>
      <c r="E790" s="36">
        <f t="shared" si="118"/>
        <v>21850.400000000001</v>
      </c>
      <c r="F790" s="2">
        <v>12752</v>
      </c>
      <c r="G790" s="2">
        <f t="shared" si="116"/>
        <v>78484.399999999994</v>
      </c>
      <c r="H790" s="3">
        <f t="shared" si="119"/>
        <v>0.37128397490456705</v>
      </c>
      <c r="I790" s="3">
        <f t="shared" si="120"/>
        <v>0.27840437080489883</v>
      </c>
      <c r="J790" s="3">
        <f t="shared" si="121"/>
        <v>0.18783350576675112</v>
      </c>
      <c r="K790" s="3">
        <f t="shared" si="122"/>
        <v>0.16247814852378309</v>
      </c>
      <c r="L790" s="3">
        <f t="shared" si="123"/>
        <v>0.64968834570946588</v>
      </c>
      <c r="M790" s="56">
        <f t="shared" si="124"/>
        <v>0.35031165429053418</v>
      </c>
      <c r="O790" s="2">
        <v>43835</v>
      </c>
      <c r="R790" s="2">
        <v>31976</v>
      </c>
      <c r="S790" s="36"/>
    </row>
    <row r="791" spans="1:19" hidden="1" x14ac:dyDescent="0.25">
      <c r="A791" s="55" t="s">
        <v>21</v>
      </c>
      <c r="B791" s="1">
        <v>45714</v>
      </c>
      <c r="C791" s="36">
        <f t="shared" si="117"/>
        <v>19288.8</v>
      </c>
      <c r="D791" s="2">
        <v>12233</v>
      </c>
      <c r="E791" s="36">
        <f t="shared" si="118"/>
        <v>20642.400000000001</v>
      </c>
      <c r="F791" s="2">
        <v>13520</v>
      </c>
      <c r="G791" s="2">
        <f t="shared" si="116"/>
        <v>65684.2</v>
      </c>
      <c r="H791" s="3">
        <f t="shared" si="119"/>
        <v>0.29365966244545871</v>
      </c>
      <c r="I791" s="3">
        <f t="shared" si="120"/>
        <v>0.31426735805566641</v>
      </c>
      <c r="J791" s="3">
        <f t="shared" si="121"/>
        <v>0.1862396131794252</v>
      </c>
      <c r="K791" s="3">
        <f t="shared" si="122"/>
        <v>0.20583336631944973</v>
      </c>
      <c r="L791" s="3">
        <f t="shared" si="123"/>
        <v>0.60792702050112501</v>
      </c>
      <c r="M791" s="56">
        <f t="shared" si="124"/>
        <v>0.39207297949887493</v>
      </c>
      <c r="O791" s="2">
        <v>47833</v>
      </c>
      <c r="R791" s="2">
        <v>36580</v>
      </c>
      <c r="S791" s="36"/>
    </row>
    <row r="792" spans="1:19" x14ac:dyDescent="0.25">
      <c r="A792" s="55" t="s">
        <v>26</v>
      </c>
      <c r="B792" s="1">
        <v>45715</v>
      </c>
      <c r="C792" s="36">
        <f t="shared" si="117"/>
        <v>14737.6</v>
      </c>
      <c r="D792" s="2">
        <v>8820</v>
      </c>
      <c r="E792" s="36">
        <f t="shared" si="118"/>
        <v>17433.600000000002</v>
      </c>
      <c r="F792" s="2">
        <v>15279</v>
      </c>
      <c r="G792" s="2">
        <f t="shared" si="116"/>
        <v>56270.2</v>
      </c>
      <c r="H792" s="3">
        <f t="shared" si="119"/>
        <v>0.26190772380407396</v>
      </c>
      <c r="I792" s="3">
        <f t="shared" si="120"/>
        <v>0.30981940707514816</v>
      </c>
      <c r="J792" s="3">
        <f t="shared" si="121"/>
        <v>0.15674371159157069</v>
      </c>
      <c r="K792" s="3">
        <f t="shared" si="122"/>
        <v>0.27152915752920731</v>
      </c>
      <c r="L792" s="3">
        <f t="shared" si="123"/>
        <v>0.57172713087922211</v>
      </c>
      <c r="M792" s="56">
        <f t="shared" si="124"/>
        <v>0.428272869120778</v>
      </c>
      <c r="O792" s="2">
        <v>52216</v>
      </c>
      <c r="R792" s="2">
        <v>46898</v>
      </c>
      <c r="S792" s="36"/>
    </row>
    <row r="793" spans="1:19" hidden="1" x14ac:dyDescent="0.25">
      <c r="A793" s="55" t="s">
        <v>7</v>
      </c>
      <c r="B793" s="1">
        <v>45716</v>
      </c>
      <c r="C793" s="36">
        <f t="shared" si="117"/>
        <v>26000.800000000003</v>
      </c>
      <c r="D793" s="2">
        <v>19171</v>
      </c>
      <c r="E793" s="36">
        <f t="shared" si="118"/>
        <v>32582.400000000001</v>
      </c>
      <c r="F793" s="2">
        <v>18177</v>
      </c>
      <c r="G793" s="2">
        <f t="shared" si="116"/>
        <v>95931.200000000012</v>
      </c>
      <c r="H793" s="3">
        <f t="shared" si="119"/>
        <v>0.27103590906816549</v>
      </c>
      <c r="I793" s="3">
        <f t="shared" si="120"/>
        <v>0.33964341111129642</v>
      </c>
      <c r="J793" s="3">
        <f t="shared" si="121"/>
        <v>0.1998411361475724</v>
      </c>
      <c r="K793" s="3">
        <f t="shared" si="122"/>
        <v>0.1894795436729656</v>
      </c>
      <c r="L793" s="3">
        <f t="shared" si="123"/>
        <v>0.61067932017946192</v>
      </c>
      <c r="M793" s="56">
        <f t="shared" si="124"/>
        <v>0.38932067982053803</v>
      </c>
      <c r="O793" s="2">
        <v>34459</v>
      </c>
      <c r="R793" s="2">
        <v>37945</v>
      </c>
      <c r="S793" s="36"/>
    </row>
    <row r="794" spans="1:19" hidden="1" x14ac:dyDescent="0.25">
      <c r="A794" s="55" t="s">
        <v>30</v>
      </c>
      <c r="B794" s="1">
        <v>45717</v>
      </c>
      <c r="C794" s="36">
        <f t="shared" si="117"/>
        <v>30294.400000000001</v>
      </c>
      <c r="D794" s="2">
        <v>21350</v>
      </c>
      <c r="E794" s="36">
        <f t="shared" si="118"/>
        <v>35686.400000000001</v>
      </c>
      <c r="F794" s="2">
        <v>24410</v>
      </c>
      <c r="G794" s="2">
        <f t="shared" si="116"/>
        <v>111740.8</v>
      </c>
      <c r="H794" s="3">
        <f t="shared" si="119"/>
        <v>0.27111314757009081</v>
      </c>
      <c r="I794" s="3">
        <f t="shared" si="120"/>
        <v>0.31936767948681233</v>
      </c>
      <c r="J794" s="3">
        <f t="shared" si="121"/>
        <v>0.19106718405452619</v>
      </c>
      <c r="K794" s="3">
        <f t="shared" si="122"/>
        <v>0.21845198888857068</v>
      </c>
      <c r="L794" s="3">
        <f t="shared" si="123"/>
        <v>0.59048082705690308</v>
      </c>
      <c r="M794" s="56">
        <f t="shared" si="124"/>
        <v>0.40951917294309687</v>
      </c>
      <c r="O794" s="2">
        <v>40131</v>
      </c>
      <c r="R794" s="2">
        <v>40406</v>
      </c>
      <c r="S794" s="36"/>
    </row>
    <row r="795" spans="1:19" hidden="1" x14ac:dyDescent="0.25">
      <c r="A795" s="55" t="s">
        <v>31</v>
      </c>
      <c r="B795" s="1">
        <v>45718</v>
      </c>
      <c r="C795" s="36">
        <f t="shared" si="117"/>
        <v>27517.600000000002</v>
      </c>
      <c r="D795" s="2">
        <v>26713</v>
      </c>
      <c r="E795" s="36">
        <f t="shared" si="118"/>
        <v>31628</v>
      </c>
      <c r="F795" s="2">
        <v>22796</v>
      </c>
      <c r="G795" s="2">
        <f t="shared" si="116"/>
        <v>108654.6</v>
      </c>
      <c r="H795" s="3">
        <f t="shared" si="119"/>
        <v>0.25325757031915813</v>
      </c>
      <c r="I795" s="3">
        <f t="shared" si="120"/>
        <v>0.29108753794132969</v>
      </c>
      <c r="J795" s="3">
        <f t="shared" si="121"/>
        <v>0.24585245355465851</v>
      </c>
      <c r="K795" s="3">
        <f t="shared" si="122"/>
        <v>0.20980243818485364</v>
      </c>
      <c r="L795" s="3">
        <f t="shared" si="123"/>
        <v>0.54434510826048788</v>
      </c>
      <c r="M795" s="56">
        <f t="shared" si="124"/>
        <v>0.45565489173951218</v>
      </c>
      <c r="O795" s="2">
        <v>38498</v>
      </c>
      <c r="R795" s="2">
        <v>29097</v>
      </c>
      <c r="S795" s="36"/>
    </row>
    <row r="796" spans="1:19" hidden="1" x14ac:dyDescent="0.25">
      <c r="A796" s="55" t="s">
        <v>129</v>
      </c>
      <c r="B796" s="1">
        <v>45719</v>
      </c>
      <c r="C796" s="36">
        <f t="shared" si="117"/>
        <v>29301.600000000002</v>
      </c>
      <c r="D796" s="2">
        <v>14516</v>
      </c>
      <c r="E796" s="36">
        <f t="shared" si="118"/>
        <v>38776</v>
      </c>
      <c r="F796" s="2">
        <v>17329</v>
      </c>
      <c r="G796" s="2">
        <f t="shared" si="116"/>
        <v>99922.6</v>
      </c>
      <c r="H796" s="3">
        <f t="shared" si="119"/>
        <v>0.29324297005882555</v>
      </c>
      <c r="I796" s="3">
        <f t="shared" si="120"/>
        <v>0.38806035871764744</v>
      </c>
      <c r="J796" s="3">
        <f t="shared" si="121"/>
        <v>0.14527244086923277</v>
      </c>
      <c r="K796" s="3">
        <f t="shared" si="122"/>
        <v>0.17342423035429422</v>
      </c>
      <c r="L796" s="3">
        <f t="shared" si="123"/>
        <v>0.68130332877647304</v>
      </c>
      <c r="M796" s="56">
        <f t="shared" si="124"/>
        <v>0.31869667122352702</v>
      </c>
      <c r="O796" s="2">
        <v>24655</v>
      </c>
      <c r="R796" s="2">
        <v>27940</v>
      </c>
      <c r="S796" s="36"/>
    </row>
    <row r="797" spans="1:19" hidden="1" x14ac:dyDescent="0.25">
      <c r="A797" s="55" t="s">
        <v>14</v>
      </c>
      <c r="B797" s="1">
        <v>45720</v>
      </c>
      <c r="C797" s="36">
        <f t="shared" si="117"/>
        <v>25195.200000000001</v>
      </c>
      <c r="D797" s="2">
        <v>15647</v>
      </c>
      <c r="E797" s="36">
        <f t="shared" si="118"/>
        <v>24331.200000000001</v>
      </c>
      <c r="F797" s="2">
        <v>12616</v>
      </c>
      <c r="G797" s="2">
        <f t="shared" si="116"/>
        <v>77789.399999999994</v>
      </c>
      <c r="H797" s="3">
        <f t="shared" si="119"/>
        <v>0.32388988731112467</v>
      </c>
      <c r="I797" s="3">
        <f t="shared" si="120"/>
        <v>0.31278297557250734</v>
      </c>
      <c r="J797" s="3">
        <f t="shared" si="121"/>
        <v>0.20114565737748333</v>
      </c>
      <c r="K797" s="3">
        <f t="shared" si="122"/>
        <v>0.16218147973888475</v>
      </c>
      <c r="L797" s="3">
        <f t="shared" si="123"/>
        <v>0.63667286288363201</v>
      </c>
      <c r="M797" s="56">
        <f t="shared" si="124"/>
        <v>0.36332713711636805</v>
      </c>
      <c r="O797" s="2">
        <v>31583</v>
      </c>
      <c r="R797" s="2">
        <v>45163</v>
      </c>
      <c r="S797" s="36"/>
    </row>
    <row r="798" spans="1:19" hidden="1" x14ac:dyDescent="0.25">
      <c r="A798" s="55" t="s">
        <v>21</v>
      </c>
      <c r="B798" s="1">
        <v>45721</v>
      </c>
      <c r="C798" s="36">
        <f t="shared" si="117"/>
        <v>22220.800000000003</v>
      </c>
      <c r="D798" s="2">
        <v>8330</v>
      </c>
      <c r="E798" s="36">
        <f t="shared" si="118"/>
        <v>18379.2</v>
      </c>
      <c r="F798" s="2">
        <v>11886</v>
      </c>
      <c r="G798" s="2">
        <f t="shared" si="116"/>
        <v>60816</v>
      </c>
      <c r="H798" s="3">
        <f t="shared" si="119"/>
        <v>0.365377532228361</v>
      </c>
      <c r="I798" s="3">
        <f t="shared" si="120"/>
        <v>0.30220994475138124</v>
      </c>
      <c r="J798" s="3">
        <f t="shared" si="121"/>
        <v>0.13697053406998158</v>
      </c>
      <c r="K798" s="3">
        <f t="shared" si="122"/>
        <v>0.19544198895027623</v>
      </c>
      <c r="L798" s="3">
        <f t="shared" si="123"/>
        <v>0.66758747697974219</v>
      </c>
      <c r="M798" s="56">
        <f t="shared" si="124"/>
        <v>0.33241252302025781</v>
      </c>
      <c r="O798" s="2">
        <v>30913</v>
      </c>
      <c r="R798" s="2">
        <v>41229</v>
      </c>
      <c r="S798" s="36"/>
    </row>
    <row r="799" spans="1:19" x14ac:dyDescent="0.25">
      <c r="A799" s="55" t="s">
        <v>26</v>
      </c>
      <c r="B799" s="1">
        <v>45722</v>
      </c>
      <c r="C799" s="36">
        <f t="shared" si="117"/>
        <v>21756.800000000003</v>
      </c>
      <c r="D799" s="2">
        <v>12948</v>
      </c>
      <c r="E799" s="36">
        <f t="shared" si="118"/>
        <v>13212</v>
      </c>
      <c r="F799" s="2">
        <v>9470</v>
      </c>
      <c r="G799" s="2">
        <f t="shared" si="116"/>
        <v>57386.8</v>
      </c>
      <c r="H799" s="3">
        <f t="shared" si="119"/>
        <v>0.37912551318421661</v>
      </c>
      <c r="I799" s="3">
        <f t="shared" si="120"/>
        <v>0.23022716025288045</v>
      </c>
      <c r="J799" s="3">
        <f t="shared" si="121"/>
        <v>0.22562679919423978</v>
      </c>
      <c r="K799" s="3">
        <f t="shared" si="122"/>
        <v>0.16502052736866316</v>
      </c>
      <c r="L799" s="3">
        <f t="shared" si="123"/>
        <v>0.60935267343709709</v>
      </c>
      <c r="M799" s="56">
        <f t="shared" si="124"/>
        <v>0.39064732656290296</v>
      </c>
      <c r="O799" s="2">
        <v>43863</v>
      </c>
      <c r="R799" s="2">
        <v>30607</v>
      </c>
      <c r="S799" s="36"/>
    </row>
    <row r="800" spans="1:19" hidden="1" x14ac:dyDescent="0.25">
      <c r="A800" s="55" t="s">
        <v>7</v>
      </c>
      <c r="B800" s="1">
        <v>45723</v>
      </c>
      <c r="C800" s="36">
        <f t="shared" si="117"/>
        <v>26336.800000000003</v>
      </c>
      <c r="D800" s="2">
        <v>15720</v>
      </c>
      <c r="E800" s="36">
        <f t="shared" si="118"/>
        <v>21763.200000000001</v>
      </c>
      <c r="F800" s="2">
        <v>13589</v>
      </c>
      <c r="G800" s="2">
        <f t="shared" si="116"/>
        <v>77409</v>
      </c>
      <c r="H800" s="3">
        <f t="shared" si="119"/>
        <v>0.34022917231846428</v>
      </c>
      <c r="I800" s="3">
        <f t="shared" si="120"/>
        <v>0.28114560322443127</v>
      </c>
      <c r="J800" s="3">
        <f t="shared" si="121"/>
        <v>0.20307716157036004</v>
      </c>
      <c r="K800" s="3">
        <f t="shared" si="122"/>
        <v>0.17554806288674443</v>
      </c>
      <c r="L800" s="3">
        <f t="shared" si="123"/>
        <v>0.62137477554289555</v>
      </c>
      <c r="M800" s="56">
        <f t="shared" si="124"/>
        <v>0.37862522445710445</v>
      </c>
      <c r="O800" s="2">
        <v>39640</v>
      </c>
      <c r="R800" s="2">
        <v>49580</v>
      </c>
      <c r="S800" s="36"/>
    </row>
    <row r="801" spans="1:19" hidden="1" x14ac:dyDescent="0.25">
      <c r="A801" s="55" t="s">
        <v>30</v>
      </c>
      <c r="B801" s="1">
        <v>45724</v>
      </c>
      <c r="C801" s="36">
        <f t="shared" si="117"/>
        <v>39256</v>
      </c>
      <c r="D801" s="2">
        <v>21050</v>
      </c>
      <c r="E801" s="36">
        <f t="shared" si="118"/>
        <v>30984</v>
      </c>
      <c r="F801" s="2">
        <v>24405</v>
      </c>
      <c r="G801" s="2">
        <f t="shared" si="116"/>
        <v>115695</v>
      </c>
      <c r="H801" s="3">
        <f t="shared" si="119"/>
        <v>0.33930593370500023</v>
      </c>
      <c r="I801" s="3">
        <f t="shared" si="120"/>
        <v>0.26780759756255673</v>
      </c>
      <c r="J801" s="3">
        <f t="shared" si="121"/>
        <v>0.18194390423095208</v>
      </c>
      <c r="K801" s="3">
        <f t="shared" si="122"/>
        <v>0.21094256450149099</v>
      </c>
      <c r="L801" s="3">
        <f t="shared" si="123"/>
        <v>0.60711353126755696</v>
      </c>
      <c r="M801" s="56">
        <f t="shared" si="124"/>
        <v>0.39288646873244304</v>
      </c>
      <c r="O801" s="2">
        <v>43663</v>
      </c>
      <c r="R801" s="2">
        <v>22818</v>
      </c>
      <c r="S801" s="36"/>
    </row>
    <row r="802" spans="1:19" hidden="1" x14ac:dyDescent="0.25">
      <c r="A802" s="55" t="s">
        <v>31</v>
      </c>
      <c r="B802" s="1">
        <v>45725</v>
      </c>
      <c r="C802" s="36">
        <f t="shared" si="117"/>
        <v>36807.200000000004</v>
      </c>
      <c r="D802" s="2">
        <v>21204</v>
      </c>
      <c r="E802" s="36">
        <f t="shared" si="118"/>
        <v>32548.800000000003</v>
      </c>
      <c r="F802" s="2">
        <v>22765</v>
      </c>
      <c r="G802" s="2">
        <f t="shared" si="116"/>
        <v>113325</v>
      </c>
      <c r="H802" s="3">
        <f t="shared" si="119"/>
        <v>0.32479329362453124</v>
      </c>
      <c r="I802" s="3">
        <f t="shared" si="120"/>
        <v>0.28721641297154205</v>
      </c>
      <c r="J802" s="3">
        <f t="shared" si="121"/>
        <v>0.1871078755790867</v>
      </c>
      <c r="K802" s="3">
        <f t="shared" si="122"/>
        <v>0.20088241782484006</v>
      </c>
      <c r="L802" s="3">
        <f t="shared" si="123"/>
        <v>0.61200970659607323</v>
      </c>
      <c r="M802" s="56">
        <f t="shared" si="124"/>
        <v>0.38799029340392677</v>
      </c>
      <c r="O802" s="2">
        <v>28436</v>
      </c>
      <c r="R802" s="2">
        <v>21405</v>
      </c>
      <c r="S802" s="36"/>
    </row>
    <row r="803" spans="1:19" hidden="1" x14ac:dyDescent="0.25">
      <c r="A803" s="55" t="s">
        <v>129</v>
      </c>
      <c r="B803" s="1">
        <v>45726</v>
      </c>
      <c r="C803" s="36">
        <f t="shared" si="117"/>
        <v>32885.599999999999</v>
      </c>
      <c r="D803" s="2">
        <v>19923</v>
      </c>
      <c r="E803" s="36">
        <f t="shared" si="118"/>
        <v>24560.800000000003</v>
      </c>
      <c r="F803" s="2">
        <v>17746</v>
      </c>
      <c r="G803" s="2">
        <f t="shared" si="116"/>
        <v>95115.4</v>
      </c>
      <c r="H803" s="3">
        <f t="shared" si="119"/>
        <v>0.34574422228156537</v>
      </c>
      <c r="I803" s="3">
        <f t="shared" si="120"/>
        <v>0.25822106619958496</v>
      </c>
      <c r="J803" s="3">
        <f t="shared" si="121"/>
        <v>0.20946134905598884</v>
      </c>
      <c r="K803" s="3">
        <f t="shared" si="122"/>
        <v>0.18657336246286091</v>
      </c>
      <c r="L803" s="3">
        <f t="shared" si="123"/>
        <v>0.60396528848115028</v>
      </c>
      <c r="M803" s="56">
        <f t="shared" si="124"/>
        <v>0.39603471151884978</v>
      </c>
      <c r="O803" s="2">
        <v>30062</v>
      </c>
      <c r="R803" s="2">
        <v>15042</v>
      </c>
      <c r="S803" s="36"/>
    </row>
    <row r="804" spans="1:19" hidden="1" x14ac:dyDescent="0.25">
      <c r="A804" s="55" t="s">
        <v>14</v>
      </c>
      <c r="B804" s="1">
        <v>45727</v>
      </c>
      <c r="C804" s="36">
        <f t="shared" si="117"/>
        <v>40514.400000000001</v>
      </c>
      <c r="D804" s="2">
        <v>20104</v>
      </c>
      <c r="E804" s="36">
        <f t="shared" si="118"/>
        <v>18624</v>
      </c>
      <c r="F804" s="2">
        <v>13931</v>
      </c>
      <c r="G804" s="2">
        <f t="shared" si="116"/>
        <v>93173.4</v>
      </c>
      <c r="H804" s="3">
        <f t="shared" si="119"/>
        <v>0.43482796592160428</v>
      </c>
      <c r="I804" s="3">
        <f t="shared" si="120"/>
        <v>0.19988537501046438</v>
      </c>
      <c r="J804" s="3">
        <f t="shared" si="121"/>
        <v>0.21576973685622722</v>
      </c>
      <c r="K804" s="3">
        <f t="shared" si="122"/>
        <v>0.14951692221170421</v>
      </c>
      <c r="L804" s="3">
        <f t="shared" si="123"/>
        <v>0.63471334093206866</v>
      </c>
      <c r="M804" s="56">
        <f t="shared" si="124"/>
        <v>0.36528665906793145</v>
      </c>
      <c r="O804" s="2">
        <v>52139</v>
      </c>
      <c r="R804" s="2">
        <v>14828</v>
      </c>
      <c r="S804" s="36"/>
    </row>
    <row r="805" spans="1:19" hidden="1" x14ac:dyDescent="0.25">
      <c r="A805" s="55" t="s">
        <v>21</v>
      </c>
      <c r="B805" s="1">
        <v>45728</v>
      </c>
      <c r="C805" s="36">
        <f t="shared" si="117"/>
        <v>34007.200000000004</v>
      </c>
      <c r="D805" s="2">
        <v>11068</v>
      </c>
      <c r="E805" s="36">
        <f t="shared" si="118"/>
        <v>13723.2</v>
      </c>
      <c r="F805" s="2">
        <v>16277</v>
      </c>
      <c r="G805" s="2">
        <f t="shared" si="116"/>
        <v>75075.400000000009</v>
      </c>
      <c r="H805" s="3">
        <f t="shared" si="119"/>
        <v>0.4529739435287724</v>
      </c>
      <c r="I805" s="3">
        <f t="shared" si="120"/>
        <v>0.18279223287521609</v>
      </c>
      <c r="J805" s="3">
        <f t="shared" si="121"/>
        <v>0.1474251219440722</v>
      </c>
      <c r="K805" s="3">
        <f t="shared" si="122"/>
        <v>0.21680870165193922</v>
      </c>
      <c r="L805" s="3">
        <f t="shared" si="123"/>
        <v>0.63576617640398858</v>
      </c>
      <c r="M805" s="56">
        <f t="shared" si="124"/>
        <v>0.36423382359601142</v>
      </c>
      <c r="O805" s="2">
        <v>44650</v>
      </c>
      <c r="R805" s="2">
        <v>34528</v>
      </c>
      <c r="S805" s="36"/>
    </row>
    <row r="806" spans="1:19" x14ac:dyDescent="0.25">
      <c r="A806" s="55" t="s">
        <v>26</v>
      </c>
      <c r="B806" s="1">
        <v>45729</v>
      </c>
      <c r="C806" s="36">
        <f t="shared" si="117"/>
        <v>20774.400000000001</v>
      </c>
      <c r="D806" s="2">
        <v>10364</v>
      </c>
      <c r="E806" s="36">
        <f t="shared" si="118"/>
        <v>19059.2</v>
      </c>
      <c r="F806" s="2">
        <v>13193</v>
      </c>
      <c r="G806" s="2">
        <f t="shared" si="116"/>
        <v>63390.600000000006</v>
      </c>
      <c r="H806" s="3">
        <f t="shared" si="119"/>
        <v>0.32772051376702538</v>
      </c>
      <c r="I806" s="3">
        <f t="shared" si="120"/>
        <v>0.30066287430628513</v>
      </c>
      <c r="J806" s="3">
        <f t="shared" si="121"/>
        <v>0.16349427202140379</v>
      </c>
      <c r="K806" s="3">
        <f t="shared" si="122"/>
        <v>0.20812233990528561</v>
      </c>
      <c r="L806" s="3">
        <f t="shared" si="123"/>
        <v>0.62838338807331062</v>
      </c>
      <c r="M806" s="56">
        <f t="shared" si="124"/>
        <v>0.37161661192668943</v>
      </c>
      <c r="O806" s="2">
        <v>45304</v>
      </c>
      <c r="R806" s="2">
        <v>55689</v>
      </c>
      <c r="S806" s="36"/>
    </row>
    <row r="807" spans="1:19" hidden="1" x14ac:dyDescent="0.25">
      <c r="A807" s="55" t="s">
        <v>7</v>
      </c>
      <c r="B807" s="1">
        <v>45730</v>
      </c>
      <c r="C807" s="36">
        <f t="shared" si="117"/>
        <v>33567.200000000004</v>
      </c>
      <c r="D807" s="2">
        <v>17067</v>
      </c>
      <c r="E807" s="36">
        <f t="shared" si="118"/>
        <v>15140</v>
      </c>
      <c r="F807" s="2">
        <v>19640</v>
      </c>
      <c r="G807" s="2">
        <f t="shared" si="116"/>
        <v>85414.200000000012</v>
      </c>
      <c r="H807" s="3">
        <f t="shared" si="119"/>
        <v>0.39299320253540981</v>
      </c>
      <c r="I807" s="3">
        <f t="shared" si="120"/>
        <v>0.17725389923455348</v>
      </c>
      <c r="J807" s="3">
        <f t="shared" si="121"/>
        <v>0.19981455074214824</v>
      </c>
      <c r="K807" s="3">
        <f t="shared" si="122"/>
        <v>0.22993834748788841</v>
      </c>
      <c r="L807" s="3">
        <f t="shared" si="123"/>
        <v>0.57024710176996329</v>
      </c>
      <c r="M807" s="56">
        <f t="shared" si="124"/>
        <v>0.42975289823003665</v>
      </c>
      <c r="O807" s="2">
        <v>45743</v>
      </c>
      <c r="R807" s="2">
        <v>37184</v>
      </c>
      <c r="S807" s="36"/>
    </row>
    <row r="808" spans="1:19" hidden="1" x14ac:dyDescent="0.25">
      <c r="A808" s="55" t="s">
        <v>30</v>
      </c>
      <c r="B808" s="1">
        <v>45731</v>
      </c>
      <c r="C808" s="36">
        <f t="shared" si="117"/>
        <v>38060</v>
      </c>
      <c r="D808" s="2">
        <v>21337</v>
      </c>
      <c r="E808" s="36">
        <f t="shared" si="118"/>
        <v>30255.200000000001</v>
      </c>
      <c r="F808" s="2">
        <v>21405</v>
      </c>
      <c r="G808" s="2">
        <f t="shared" si="116"/>
        <v>111057.2</v>
      </c>
      <c r="H808" s="3">
        <f t="shared" si="119"/>
        <v>0.34270628108758372</v>
      </c>
      <c r="I808" s="3">
        <f t="shared" si="120"/>
        <v>0.27242898254232956</v>
      </c>
      <c r="J808" s="3">
        <f t="shared" si="121"/>
        <v>0.19212621964177018</v>
      </c>
      <c r="K808" s="3">
        <f t="shared" si="122"/>
        <v>0.19273851672831657</v>
      </c>
      <c r="L808" s="3">
        <f t="shared" si="123"/>
        <v>0.61513526362991322</v>
      </c>
      <c r="M808" s="56">
        <f t="shared" si="124"/>
        <v>0.38486473637008678</v>
      </c>
      <c r="O808" s="2">
        <v>37516</v>
      </c>
      <c r="R808" s="2">
        <v>36404</v>
      </c>
      <c r="S808" s="36"/>
    </row>
    <row r="809" spans="1:19" hidden="1" x14ac:dyDescent="0.25">
      <c r="A809" s="55" t="s">
        <v>31</v>
      </c>
      <c r="B809" s="1">
        <v>45732</v>
      </c>
      <c r="C809" s="36">
        <f t="shared" si="117"/>
        <v>31934.400000000001</v>
      </c>
      <c r="D809" s="2">
        <v>23224</v>
      </c>
      <c r="E809" s="36">
        <f t="shared" si="118"/>
        <v>30324</v>
      </c>
      <c r="F809" s="2">
        <v>26613</v>
      </c>
      <c r="G809" s="2">
        <f t="shared" si="116"/>
        <v>112095.4</v>
      </c>
      <c r="H809" s="3">
        <f t="shared" si="119"/>
        <v>0.28488590968050431</v>
      </c>
      <c r="I809" s="3">
        <f t="shared" si="120"/>
        <v>0.27051957529033305</v>
      </c>
      <c r="J809" s="3">
        <f t="shared" si="121"/>
        <v>0.2071806693227376</v>
      </c>
      <c r="K809" s="3">
        <f t="shared" si="122"/>
        <v>0.23741384570642507</v>
      </c>
      <c r="L809" s="3">
        <f t="shared" si="123"/>
        <v>0.55540548497083742</v>
      </c>
      <c r="M809" s="56">
        <f t="shared" si="124"/>
        <v>0.4445945150291627</v>
      </c>
      <c r="O809" s="2">
        <v>37515</v>
      </c>
      <c r="R809" s="2">
        <v>19625</v>
      </c>
      <c r="S809" s="36"/>
    </row>
    <row r="810" spans="1:19" hidden="1" x14ac:dyDescent="0.25">
      <c r="A810" s="55" t="s">
        <v>129</v>
      </c>
      <c r="B810" s="1">
        <v>45733</v>
      </c>
      <c r="C810" s="36">
        <f t="shared" si="117"/>
        <v>35156</v>
      </c>
      <c r="D810" s="2">
        <v>25302</v>
      </c>
      <c r="E810" s="36">
        <f t="shared" si="118"/>
        <v>37895.200000000004</v>
      </c>
      <c r="F810" s="2">
        <v>21024</v>
      </c>
      <c r="G810" s="2">
        <f t="shared" si="116"/>
        <v>119377.20000000001</v>
      </c>
      <c r="H810" s="3">
        <f t="shared" si="119"/>
        <v>0.29449509621602782</v>
      </c>
      <c r="I810" s="3">
        <f t="shared" si="120"/>
        <v>0.31744085135184946</v>
      </c>
      <c r="J810" s="3">
        <f t="shared" si="121"/>
        <v>0.21195002060695006</v>
      </c>
      <c r="K810" s="3">
        <f t="shared" si="122"/>
        <v>0.17611403182517263</v>
      </c>
      <c r="L810" s="3">
        <f t="shared" si="123"/>
        <v>0.61193594756787728</v>
      </c>
      <c r="M810" s="56">
        <f t="shared" si="124"/>
        <v>0.38806405243212266</v>
      </c>
      <c r="O810" s="2">
        <v>34537</v>
      </c>
      <c r="R810" s="2">
        <v>13329</v>
      </c>
      <c r="S810" s="36"/>
    </row>
    <row r="811" spans="1:19" hidden="1" x14ac:dyDescent="0.25">
      <c r="A811" s="55" t="s">
        <v>14</v>
      </c>
      <c r="B811" s="1">
        <v>45734</v>
      </c>
      <c r="C811" s="36">
        <f t="shared" si="117"/>
        <v>40748</v>
      </c>
      <c r="D811" s="2">
        <v>21967</v>
      </c>
      <c r="E811" s="36">
        <f t="shared" si="118"/>
        <v>37865.599999999999</v>
      </c>
      <c r="F811" s="2">
        <v>19229</v>
      </c>
      <c r="G811" s="2">
        <f t="shared" si="116"/>
        <v>119809.60000000001</v>
      </c>
      <c r="H811" s="3">
        <f t="shared" si="119"/>
        <v>0.34010630199917202</v>
      </c>
      <c r="I811" s="3">
        <f t="shared" si="120"/>
        <v>0.3160481296991226</v>
      </c>
      <c r="J811" s="3">
        <f t="shared" si="121"/>
        <v>0.1833492474726566</v>
      </c>
      <c r="K811" s="3">
        <f t="shared" si="122"/>
        <v>0.16049632082904874</v>
      </c>
      <c r="L811" s="3">
        <f t="shared" si="123"/>
        <v>0.65615443169829468</v>
      </c>
      <c r="M811" s="56">
        <f t="shared" si="124"/>
        <v>0.34384556830170537</v>
      </c>
      <c r="O811" s="2">
        <v>51015</v>
      </c>
      <c r="R811" s="2">
        <v>28922</v>
      </c>
      <c r="S811" s="36"/>
    </row>
    <row r="812" spans="1:19" hidden="1" x14ac:dyDescent="0.25">
      <c r="A812" s="55" t="s">
        <v>21</v>
      </c>
      <c r="B812" s="1">
        <v>45735</v>
      </c>
      <c r="C812" s="36">
        <f t="shared" si="117"/>
        <v>25992</v>
      </c>
      <c r="D812" s="2">
        <v>13898</v>
      </c>
      <c r="E812" s="36">
        <f t="shared" si="118"/>
        <v>21800</v>
      </c>
      <c r="F812" s="2">
        <v>11103</v>
      </c>
      <c r="G812" s="2">
        <f t="shared" si="116"/>
        <v>72793</v>
      </c>
      <c r="H812" s="3">
        <f t="shared" si="119"/>
        <v>0.35706730042723889</v>
      </c>
      <c r="I812" s="3">
        <f t="shared" si="120"/>
        <v>0.29947934554146688</v>
      </c>
      <c r="J812" s="3">
        <f t="shared" si="121"/>
        <v>0.19092495157501407</v>
      </c>
      <c r="K812" s="3">
        <f t="shared" si="122"/>
        <v>0.15252840245628013</v>
      </c>
      <c r="L812" s="3">
        <f t="shared" si="123"/>
        <v>0.65654664596870582</v>
      </c>
      <c r="M812" s="56">
        <f t="shared" si="124"/>
        <v>0.34345335403129423</v>
      </c>
      <c r="O812" s="2">
        <v>36135</v>
      </c>
      <c r="R812" s="2">
        <v>54380</v>
      </c>
      <c r="S812" s="36"/>
    </row>
    <row r="813" spans="1:19" x14ac:dyDescent="0.25">
      <c r="A813" s="55" t="s">
        <v>26</v>
      </c>
      <c r="B813" s="1">
        <v>45736</v>
      </c>
      <c r="C813" s="36">
        <f t="shared" si="117"/>
        <v>25288</v>
      </c>
      <c r="D813" s="2">
        <v>9052</v>
      </c>
      <c r="E813" s="36">
        <f t="shared" si="118"/>
        <v>16617.600000000002</v>
      </c>
      <c r="F813" s="2">
        <v>13080</v>
      </c>
      <c r="G813" s="2">
        <f t="shared" si="116"/>
        <v>64037.600000000006</v>
      </c>
      <c r="H813" s="3">
        <f t="shared" si="119"/>
        <v>0.39489300036228714</v>
      </c>
      <c r="I813" s="3">
        <f t="shared" si="120"/>
        <v>0.25949754519219959</v>
      </c>
      <c r="J813" s="3">
        <f t="shared" si="121"/>
        <v>0.14135445425812335</v>
      </c>
      <c r="K813" s="3">
        <f t="shared" si="122"/>
        <v>0.2042550001873899</v>
      </c>
      <c r="L813" s="3">
        <f t="shared" si="123"/>
        <v>0.65439054555448672</v>
      </c>
      <c r="M813" s="56">
        <f t="shared" si="124"/>
        <v>0.34560945444551322</v>
      </c>
      <c r="O813" s="2">
        <v>36097</v>
      </c>
      <c r="R813" s="2">
        <v>63418</v>
      </c>
      <c r="S813" s="36"/>
    </row>
    <row r="814" spans="1:19" hidden="1" x14ac:dyDescent="0.25">
      <c r="A814" s="55" t="s">
        <v>7</v>
      </c>
      <c r="B814" s="1">
        <v>45737</v>
      </c>
      <c r="C814" s="36">
        <f t="shared" si="117"/>
        <v>33276.800000000003</v>
      </c>
      <c r="D814" s="2">
        <v>16999</v>
      </c>
      <c r="E814" s="36">
        <f t="shared" si="118"/>
        <v>28956.800000000003</v>
      </c>
      <c r="F814" s="2">
        <v>15798</v>
      </c>
      <c r="G814" s="2">
        <f t="shared" si="116"/>
        <v>95030.6</v>
      </c>
      <c r="H814" s="3">
        <f t="shared" si="119"/>
        <v>0.35016931388415945</v>
      </c>
      <c r="I814" s="3">
        <f t="shared" si="120"/>
        <v>0.30471027227019509</v>
      </c>
      <c r="J814" s="3">
        <f t="shared" si="121"/>
        <v>0.17887922416568977</v>
      </c>
      <c r="K814" s="3">
        <f t="shared" si="122"/>
        <v>0.16624118967995571</v>
      </c>
      <c r="L814" s="3">
        <f t="shared" si="123"/>
        <v>0.65487958615435449</v>
      </c>
      <c r="M814" s="56">
        <f t="shared" si="124"/>
        <v>0.34512041384564551</v>
      </c>
      <c r="O814" s="2">
        <v>34983</v>
      </c>
      <c r="R814" s="2">
        <v>47931</v>
      </c>
      <c r="S814" s="36"/>
    </row>
    <row r="815" spans="1:19" hidden="1" x14ac:dyDescent="0.25">
      <c r="A815" s="55" t="s">
        <v>30</v>
      </c>
      <c r="B815" s="1">
        <v>45738</v>
      </c>
      <c r="C815" s="36">
        <f t="shared" si="117"/>
        <v>31151.200000000001</v>
      </c>
      <c r="D815" s="2">
        <v>27841</v>
      </c>
      <c r="E815" s="36">
        <f t="shared" si="118"/>
        <v>43948</v>
      </c>
      <c r="F815" s="2">
        <v>25970</v>
      </c>
      <c r="G815" s="2">
        <f t="shared" si="116"/>
        <v>128910.2</v>
      </c>
      <c r="H815" s="3">
        <f t="shared" si="119"/>
        <v>0.24165038918565018</v>
      </c>
      <c r="I815" s="3">
        <f t="shared" si="120"/>
        <v>0.34091949279420869</v>
      </c>
      <c r="J815" s="3">
        <f t="shared" si="121"/>
        <v>0.21597204875952408</v>
      </c>
      <c r="K815" s="3">
        <f t="shared" si="122"/>
        <v>0.20145806926061707</v>
      </c>
      <c r="L815" s="3">
        <f t="shared" si="123"/>
        <v>0.58256988197985882</v>
      </c>
      <c r="M815" s="56">
        <f t="shared" si="124"/>
        <v>0.41743011802014118</v>
      </c>
      <c r="O815" s="2">
        <v>36425</v>
      </c>
      <c r="R815" s="2">
        <v>27313</v>
      </c>
      <c r="S815" s="36"/>
    </row>
    <row r="816" spans="1:19" hidden="1" x14ac:dyDescent="0.25">
      <c r="A816" s="55" t="s">
        <v>31</v>
      </c>
      <c r="B816" s="1">
        <v>45739</v>
      </c>
      <c r="C816" s="36">
        <f t="shared" si="117"/>
        <v>28278.400000000001</v>
      </c>
      <c r="D816" s="2">
        <v>25664</v>
      </c>
      <c r="E816" s="36">
        <f t="shared" si="118"/>
        <v>39757.600000000006</v>
      </c>
      <c r="F816" s="2">
        <v>23701</v>
      </c>
      <c r="G816" s="2">
        <f t="shared" si="116"/>
        <v>117401</v>
      </c>
      <c r="H816" s="3">
        <f t="shared" si="119"/>
        <v>0.24087017998143118</v>
      </c>
      <c r="I816" s="3">
        <f t="shared" si="120"/>
        <v>0.33864788204529778</v>
      </c>
      <c r="J816" s="3">
        <f t="shared" si="121"/>
        <v>0.21860120441904243</v>
      </c>
      <c r="K816" s="3">
        <f t="shared" si="122"/>
        <v>0.20188073355422867</v>
      </c>
      <c r="L816" s="3">
        <f t="shared" si="123"/>
        <v>0.57951806202672895</v>
      </c>
      <c r="M816" s="56">
        <f t="shared" si="124"/>
        <v>0.4204819379732711</v>
      </c>
      <c r="O816" s="2">
        <v>24111</v>
      </c>
      <c r="R816" s="2">
        <v>25803</v>
      </c>
      <c r="S816" s="36"/>
    </row>
    <row r="817" spans="1:19" hidden="1" x14ac:dyDescent="0.25">
      <c r="A817" s="55" t="s">
        <v>129</v>
      </c>
      <c r="B817" s="1">
        <v>45740</v>
      </c>
      <c r="C817" s="36">
        <f t="shared" si="117"/>
        <v>50776.800000000003</v>
      </c>
      <c r="D817" s="2">
        <v>23149</v>
      </c>
      <c r="E817" s="36">
        <f t="shared" si="118"/>
        <v>39944</v>
      </c>
      <c r="F817" s="2">
        <v>21087</v>
      </c>
      <c r="G817" s="2">
        <f t="shared" si="116"/>
        <v>134956.79999999999</v>
      </c>
      <c r="H817" s="3">
        <f t="shared" si="119"/>
        <v>0.37624484279413861</v>
      </c>
      <c r="I817" s="3">
        <f t="shared" si="120"/>
        <v>0.29597619386351781</v>
      </c>
      <c r="J817" s="3">
        <f t="shared" si="121"/>
        <v>0.17152896334234363</v>
      </c>
      <c r="K817" s="3">
        <f t="shared" si="122"/>
        <v>0.15625</v>
      </c>
      <c r="L817" s="3">
        <f t="shared" si="123"/>
        <v>0.67222103665765642</v>
      </c>
      <c r="M817" s="56">
        <f t="shared" si="124"/>
        <v>0.32777896334234363</v>
      </c>
      <c r="O817" s="2">
        <v>18422</v>
      </c>
      <c r="R817" s="2">
        <v>21792</v>
      </c>
      <c r="S817" s="36"/>
    </row>
    <row r="818" spans="1:19" hidden="1" x14ac:dyDescent="0.25">
      <c r="A818" s="55" t="s">
        <v>14</v>
      </c>
      <c r="B818" s="1">
        <v>45741</v>
      </c>
      <c r="C818" s="36">
        <f t="shared" si="117"/>
        <v>48159.200000000004</v>
      </c>
      <c r="D818" s="2">
        <v>21081</v>
      </c>
      <c r="E818" s="36">
        <f t="shared" si="118"/>
        <v>19685.600000000002</v>
      </c>
      <c r="F818" s="2">
        <v>25245</v>
      </c>
      <c r="G818" s="2">
        <f t="shared" si="116"/>
        <v>114170.80000000002</v>
      </c>
      <c r="H818" s="3">
        <f t="shared" si="119"/>
        <v>0.42181713713138558</v>
      </c>
      <c r="I818" s="3">
        <f t="shared" si="120"/>
        <v>0.17242237069373254</v>
      </c>
      <c r="J818" s="3">
        <f t="shared" si="121"/>
        <v>0.18464440995420892</v>
      </c>
      <c r="K818" s="3">
        <f t="shared" si="122"/>
        <v>0.22111608222067286</v>
      </c>
      <c r="L818" s="3">
        <f t="shared" si="123"/>
        <v>0.59423950782511814</v>
      </c>
      <c r="M818" s="56">
        <f t="shared" si="124"/>
        <v>0.4057604921748818</v>
      </c>
      <c r="O818" s="2">
        <v>32501</v>
      </c>
      <c r="R818" s="2">
        <v>40728</v>
      </c>
      <c r="S818" s="36"/>
    </row>
    <row r="819" spans="1:19" hidden="1" x14ac:dyDescent="0.25">
      <c r="A819" s="55" t="s">
        <v>21</v>
      </c>
      <c r="B819" s="1">
        <v>45742</v>
      </c>
      <c r="C819" s="36">
        <f t="shared" si="117"/>
        <v>38112.800000000003</v>
      </c>
      <c r="D819" s="2">
        <v>15495</v>
      </c>
      <c r="E819" s="36">
        <f t="shared" si="118"/>
        <v>28494.400000000001</v>
      </c>
      <c r="F819" s="2">
        <v>11481</v>
      </c>
      <c r="G819" s="2">
        <f t="shared" si="116"/>
        <v>93583.200000000012</v>
      </c>
      <c r="H819" s="3">
        <f t="shared" si="119"/>
        <v>0.40726113233999262</v>
      </c>
      <c r="I819" s="3">
        <f t="shared" si="120"/>
        <v>0.30448200104292222</v>
      </c>
      <c r="J819" s="3">
        <f t="shared" si="121"/>
        <v>0.16557459031108146</v>
      </c>
      <c r="K819" s="3">
        <f t="shared" si="122"/>
        <v>0.12268227630600363</v>
      </c>
      <c r="L819" s="3">
        <f t="shared" si="123"/>
        <v>0.71174313338291495</v>
      </c>
      <c r="M819" s="56">
        <f t="shared" si="124"/>
        <v>0.28825686661708511</v>
      </c>
      <c r="O819" s="2">
        <v>37868</v>
      </c>
      <c r="R819" s="2">
        <v>44608</v>
      </c>
      <c r="S819" s="36"/>
    </row>
    <row r="820" spans="1:19" x14ac:dyDescent="0.25">
      <c r="A820" s="55" t="s">
        <v>26</v>
      </c>
      <c r="B820" s="1">
        <v>45743</v>
      </c>
      <c r="C820" s="36">
        <f t="shared" si="117"/>
        <v>19175.2</v>
      </c>
      <c r="D820" s="2">
        <v>17753</v>
      </c>
      <c r="E820" s="36">
        <f t="shared" si="118"/>
        <v>24064.800000000003</v>
      </c>
      <c r="F820" s="2">
        <v>16672</v>
      </c>
      <c r="G820" s="2">
        <f t="shared" si="116"/>
        <v>77665</v>
      </c>
      <c r="H820" s="3">
        <f t="shared" si="119"/>
        <v>0.24689628532801133</v>
      </c>
      <c r="I820" s="3">
        <f t="shared" si="120"/>
        <v>0.30985385952488254</v>
      </c>
      <c r="J820" s="3">
        <f t="shared" si="121"/>
        <v>0.22858430438421426</v>
      </c>
      <c r="K820" s="3">
        <f t="shared" si="122"/>
        <v>0.2146655507628919</v>
      </c>
      <c r="L820" s="3">
        <f t="shared" si="123"/>
        <v>0.55675014485289387</v>
      </c>
      <c r="M820" s="56">
        <f t="shared" si="124"/>
        <v>0.44324985514710619</v>
      </c>
      <c r="O820" s="2">
        <v>34397</v>
      </c>
      <c r="R820" s="2">
        <v>39535</v>
      </c>
      <c r="S820" s="36"/>
    </row>
    <row r="821" spans="1:19" hidden="1" x14ac:dyDescent="0.25">
      <c r="A821" s="55" t="s">
        <v>7</v>
      </c>
      <c r="B821" s="1">
        <v>45744</v>
      </c>
      <c r="C821" s="36">
        <f t="shared" si="117"/>
        <v>37741.599999999999</v>
      </c>
      <c r="D821" s="2">
        <v>15219</v>
      </c>
      <c r="E821" s="36">
        <f t="shared" si="118"/>
        <v>27226.400000000001</v>
      </c>
      <c r="F821" s="2">
        <v>23404</v>
      </c>
      <c r="G821" s="2">
        <f t="shared" si="116"/>
        <v>103591</v>
      </c>
      <c r="H821" s="3">
        <f t="shared" si="119"/>
        <v>0.36433280883474434</v>
      </c>
      <c r="I821" s="3">
        <f t="shared" si="120"/>
        <v>0.26282592117075809</v>
      </c>
      <c r="J821" s="3">
        <f t="shared" si="121"/>
        <v>0.14691430722746185</v>
      </c>
      <c r="K821" s="3">
        <f t="shared" si="122"/>
        <v>0.22592696276703575</v>
      </c>
      <c r="L821" s="3">
        <f t="shared" si="123"/>
        <v>0.62715873000550237</v>
      </c>
      <c r="M821" s="56">
        <f t="shared" si="124"/>
        <v>0.37284126999449757</v>
      </c>
      <c r="O821" s="2">
        <v>36627</v>
      </c>
      <c r="R821" s="2">
        <v>48470</v>
      </c>
      <c r="S821" s="36"/>
    </row>
    <row r="822" spans="1:19" hidden="1" x14ac:dyDescent="0.25">
      <c r="A822" s="55" t="s">
        <v>30</v>
      </c>
      <c r="B822" s="1">
        <v>45745</v>
      </c>
      <c r="C822" s="36">
        <f t="shared" si="117"/>
        <v>4616.8</v>
      </c>
      <c r="D822" s="2">
        <v>6930</v>
      </c>
      <c r="E822" s="36">
        <f t="shared" si="118"/>
        <v>0</v>
      </c>
      <c r="F822" s="2">
        <v>0</v>
      </c>
      <c r="G822" s="2">
        <f t="shared" si="116"/>
        <v>11546.8</v>
      </c>
      <c r="H822" s="3">
        <f t="shared" si="119"/>
        <v>0.39983372016489421</v>
      </c>
      <c r="I822" s="3">
        <f t="shared" si="120"/>
        <v>0</v>
      </c>
      <c r="J822" s="3">
        <f t="shared" si="121"/>
        <v>0.60016627983510584</v>
      </c>
      <c r="K822" s="3">
        <f t="shared" si="122"/>
        <v>0</v>
      </c>
      <c r="L822" s="3">
        <f t="shared" si="123"/>
        <v>0.39983372016489421</v>
      </c>
      <c r="M822" s="56">
        <f t="shared" si="124"/>
        <v>0.60016627983510584</v>
      </c>
      <c r="O822" s="2">
        <v>31494</v>
      </c>
      <c r="R822" s="2">
        <v>30414</v>
      </c>
      <c r="S822" s="36"/>
    </row>
    <row r="823" spans="1:19" hidden="1" x14ac:dyDescent="0.25">
      <c r="A823" s="55" t="s">
        <v>31</v>
      </c>
      <c r="B823" s="1">
        <v>45746</v>
      </c>
      <c r="C823" s="36">
        <f t="shared" si="117"/>
        <v>10594.400000000001</v>
      </c>
      <c r="D823" s="2">
        <v>6517</v>
      </c>
      <c r="E823" s="36">
        <f t="shared" si="118"/>
        <v>36014.400000000001</v>
      </c>
      <c r="F823" s="2">
        <v>22550</v>
      </c>
      <c r="G823" s="2">
        <f t="shared" si="116"/>
        <v>75675.8</v>
      </c>
      <c r="H823" s="3">
        <f t="shared" si="119"/>
        <v>0.13999719857603093</v>
      </c>
      <c r="I823" s="3">
        <f t="shared" si="120"/>
        <v>0.47590378958663138</v>
      </c>
      <c r="J823" s="3">
        <f t="shared" si="121"/>
        <v>8.6117358521482432E-2</v>
      </c>
      <c r="K823" s="3">
        <f t="shared" si="122"/>
        <v>0.29798165331585524</v>
      </c>
      <c r="L823" s="3">
        <f t="shared" si="123"/>
        <v>0.61590098816266237</v>
      </c>
      <c r="M823" s="56">
        <f t="shared" si="124"/>
        <v>0.38409901183733769</v>
      </c>
      <c r="O823" s="2">
        <v>27776</v>
      </c>
      <c r="R823" s="2">
        <v>22974</v>
      </c>
      <c r="S823" s="36"/>
    </row>
    <row r="824" spans="1:19" hidden="1" x14ac:dyDescent="0.25">
      <c r="A824" s="55" t="s">
        <v>129</v>
      </c>
      <c r="B824" s="1">
        <v>45747</v>
      </c>
      <c r="C824" s="36">
        <f t="shared" si="117"/>
        <v>42856.800000000003</v>
      </c>
      <c r="D824" s="2">
        <v>25098</v>
      </c>
      <c r="E824" s="36">
        <f t="shared" si="118"/>
        <v>45976.800000000003</v>
      </c>
      <c r="F824" s="2">
        <v>20408</v>
      </c>
      <c r="G824" s="2">
        <f t="shared" si="116"/>
        <v>134339.6</v>
      </c>
      <c r="H824" s="3">
        <f t="shared" si="119"/>
        <v>0.31901836837388231</v>
      </c>
      <c r="I824" s="3">
        <f t="shared" si="120"/>
        <v>0.34224309138928505</v>
      </c>
      <c r="J824" s="3">
        <f t="shared" si="121"/>
        <v>0.18682503148736485</v>
      </c>
      <c r="K824" s="3">
        <f t="shared" si="122"/>
        <v>0.15191350874946777</v>
      </c>
      <c r="L824" s="3">
        <f t="shared" si="123"/>
        <v>0.66126145976316741</v>
      </c>
      <c r="M824" s="56">
        <f t="shared" si="124"/>
        <v>0.33873854023683259</v>
      </c>
      <c r="O824" s="2">
        <v>27196</v>
      </c>
      <c r="R824" s="2">
        <v>16515</v>
      </c>
      <c r="S824" s="36"/>
    </row>
    <row r="825" spans="1:19" hidden="1" x14ac:dyDescent="0.25">
      <c r="A825" s="55" t="s">
        <v>14</v>
      </c>
      <c r="B825" s="1">
        <v>45748</v>
      </c>
      <c r="C825" s="36">
        <f t="shared" si="117"/>
        <v>54234.400000000001</v>
      </c>
      <c r="D825" s="2">
        <v>20064</v>
      </c>
      <c r="E825" s="36">
        <f t="shared" si="118"/>
        <v>53918.400000000001</v>
      </c>
      <c r="F825" s="2">
        <v>15918</v>
      </c>
      <c r="G825" s="2">
        <f t="shared" si="116"/>
        <v>144134.79999999999</v>
      </c>
      <c r="H825" s="3">
        <f t="shared" si="119"/>
        <v>0.37627554206201419</v>
      </c>
      <c r="I825" s="3">
        <f t="shared" si="120"/>
        <v>0.37408314994019493</v>
      </c>
      <c r="J825" s="3">
        <f t="shared" si="121"/>
        <v>0.13920302383602018</v>
      </c>
      <c r="K825" s="3">
        <f t="shared" si="122"/>
        <v>0.11043828416177079</v>
      </c>
      <c r="L825" s="3">
        <f t="shared" si="123"/>
        <v>0.75035869200220917</v>
      </c>
      <c r="M825" s="56">
        <f t="shared" si="124"/>
        <v>0.24964130799779097</v>
      </c>
      <c r="O825" s="2">
        <v>32921</v>
      </c>
      <c r="R825" s="2">
        <v>27204</v>
      </c>
      <c r="S825" s="36"/>
    </row>
    <row r="826" spans="1:19" hidden="1" x14ac:dyDescent="0.25">
      <c r="A826" s="55" t="s">
        <v>21</v>
      </c>
      <c r="B826" s="1">
        <v>45749</v>
      </c>
      <c r="C826" s="36">
        <f t="shared" si="117"/>
        <v>42243.200000000004</v>
      </c>
      <c r="D826" s="2">
        <v>23837</v>
      </c>
      <c r="E826" s="36">
        <f t="shared" si="118"/>
        <v>38637.599999999999</v>
      </c>
      <c r="F826" s="2">
        <v>13148</v>
      </c>
      <c r="G826" s="2">
        <f t="shared" si="116"/>
        <v>117865.80000000002</v>
      </c>
      <c r="H826" s="3">
        <f t="shared" si="119"/>
        <v>0.35840082534543521</v>
      </c>
      <c r="I826" s="3">
        <f t="shared" si="120"/>
        <v>0.32781010267609428</v>
      </c>
      <c r="J826" s="3">
        <f t="shared" si="121"/>
        <v>0.20223847799785855</v>
      </c>
      <c r="K826" s="3">
        <f t="shared" si="122"/>
        <v>0.11155059398061183</v>
      </c>
      <c r="L826" s="3">
        <f t="shared" si="123"/>
        <v>0.6862109280215295</v>
      </c>
      <c r="M826" s="56">
        <f t="shared" si="124"/>
        <v>0.31378907197847039</v>
      </c>
      <c r="O826" s="2">
        <v>49070</v>
      </c>
      <c r="R826" s="2">
        <v>38730</v>
      </c>
      <c r="S826" s="36"/>
    </row>
    <row r="827" spans="1:19" x14ac:dyDescent="0.25">
      <c r="A827" s="55" t="s">
        <v>26</v>
      </c>
      <c r="B827" s="1">
        <v>45750</v>
      </c>
      <c r="C827" s="36">
        <f t="shared" si="117"/>
        <v>47248</v>
      </c>
      <c r="D827" s="2">
        <v>15520</v>
      </c>
      <c r="E827" s="36">
        <f t="shared" si="118"/>
        <v>29152.800000000003</v>
      </c>
      <c r="F827" s="2">
        <v>15361</v>
      </c>
      <c r="G827" s="2">
        <f t="shared" si="116"/>
        <v>107281.8</v>
      </c>
      <c r="H827" s="3">
        <f t="shared" si="119"/>
        <v>0.44041020937381736</v>
      </c>
      <c r="I827" s="3">
        <f t="shared" si="120"/>
        <v>0.27174040704015034</v>
      </c>
      <c r="J827" s="3">
        <f t="shared" si="121"/>
        <v>0.14466573081361422</v>
      </c>
      <c r="K827" s="3">
        <f t="shared" si="122"/>
        <v>0.14318365277241807</v>
      </c>
      <c r="L827" s="3">
        <f t="shared" si="123"/>
        <v>0.71215061641396771</v>
      </c>
      <c r="M827" s="56">
        <f t="shared" si="124"/>
        <v>0.28784938358603229</v>
      </c>
      <c r="O827" s="2">
        <v>46009</v>
      </c>
      <c r="R827" s="2">
        <v>40686</v>
      </c>
      <c r="S827" s="36"/>
    </row>
    <row r="828" spans="1:19" hidden="1" x14ac:dyDescent="0.25">
      <c r="A828" s="55" t="s">
        <v>7</v>
      </c>
      <c r="B828" s="1">
        <v>45751</v>
      </c>
      <c r="C828" s="36">
        <f t="shared" si="117"/>
        <v>43557.600000000006</v>
      </c>
      <c r="D828" s="2">
        <v>16760</v>
      </c>
      <c r="E828" s="36">
        <f t="shared" si="118"/>
        <v>45663.200000000004</v>
      </c>
      <c r="F828" s="2">
        <v>19608</v>
      </c>
      <c r="G828" s="2">
        <f t="shared" si="116"/>
        <v>125588.80000000002</v>
      </c>
      <c r="H828" s="3">
        <f t="shared" si="119"/>
        <v>0.34682710560177338</v>
      </c>
      <c r="I828" s="3">
        <f t="shared" si="120"/>
        <v>0.36359293185379588</v>
      </c>
      <c r="J828" s="3">
        <f t="shared" si="121"/>
        <v>0.13345139056985972</v>
      </c>
      <c r="K828" s="3">
        <f t="shared" si="122"/>
        <v>0.15612857197457095</v>
      </c>
      <c r="L828" s="3">
        <f t="shared" si="123"/>
        <v>0.71042003745556936</v>
      </c>
      <c r="M828" s="56">
        <f t="shared" si="124"/>
        <v>0.28957996254443069</v>
      </c>
      <c r="O828" s="2">
        <v>41107</v>
      </c>
      <c r="R828" s="2">
        <v>30701</v>
      </c>
      <c r="S828" s="36"/>
    </row>
    <row r="829" spans="1:19" hidden="1" x14ac:dyDescent="0.25">
      <c r="A829" s="55" t="s">
        <v>30</v>
      </c>
      <c r="B829" s="1">
        <v>45752</v>
      </c>
      <c r="C829" s="36">
        <f t="shared" si="117"/>
        <v>51268</v>
      </c>
      <c r="D829" s="2">
        <v>21355</v>
      </c>
      <c r="E829" s="36">
        <f t="shared" si="118"/>
        <v>37648</v>
      </c>
      <c r="F829" s="2">
        <v>28800</v>
      </c>
      <c r="G829" s="2">
        <f t="shared" si="116"/>
        <v>139071</v>
      </c>
      <c r="H829" s="3">
        <f t="shared" si="119"/>
        <v>0.36864623106183175</v>
      </c>
      <c r="I829" s="3">
        <f t="shared" si="120"/>
        <v>0.27071064420332058</v>
      </c>
      <c r="J829" s="3">
        <f t="shared" si="121"/>
        <v>0.15355465913094751</v>
      </c>
      <c r="K829" s="3">
        <f t="shared" si="122"/>
        <v>0.20708846560390018</v>
      </c>
      <c r="L829" s="3">
        <f t="shared" si="123"/>
        <v>0.63935687526515228</v>
      </c>
      <c r="M829" s="56">
        <f t="shared" si="124"/>
        <v>0.36064312473484766</v>
      </c>
      <c r="O829" s="2">
        <v>50643</v>
      </c>
      <c r="R829" s="2">
        <v>23280</v>
      </c>
      <c r="S829" s="36"/>
    </row>
    <row r="830" spans="1:19" hidden="1" x14ac:dyDescent="0.25">
      <c r="A830" s="55" t="s">
        <v>31</v>
      </c>
      <c r="B830" s="1">
        <v>45753</v>
      </c>
      <c r="C830" s="36">
        <f t="shared" si="117"/>
        <v>26675.200000000001</v>
      </c>
      <c r="D830" s="2">
        <v>18185</v>
      </c>
      <c r="E830" s="36">
        <f t="shared" si="118"/>
        <v>50399.200000000004</v>
      </c>
      <c r="F830" s="2">
        <v>31149</v>
      </c>
      <c r="G830" s="2">
        <f t="shared" si="116"/>
        <v>126408.4</v>
      </c>
      <c r="H830" s="3">
        <f t="shared" si="119"/>
        <v>0.2110239509399692</v>
      </c>
      <c r="I830" s="3">
        <f t="shared" si="120"/>
        <v>0.39870135212533347</v>
      </c>
      <c r="J830" s="3">
        <f t="shared" si="121"/>
        <v>0.14385911062872406</v>
      </c>
      <c r="K830" s="3">
        <f t="shared" si="122"/>
        <v>0.24641558630597335</v>
      </c>
      <c r="L830" s="3">
        <f t="shared" si="123"/>
        <v>0.6097253030653027</v>
      </c>
      <c r="M830" s="56">
        <f t="shared" si="124"/>
        <v>0.39027469693469741</v>
      </c>
      <c r="O830" s="2">
        <v>42509</v>
      </c>
      <c r="R830" s="2">
        <v>17154</v>
      </c>
      <c r="S830" s="36"/>
    </row>
    <row r="831" spans="1:19" hidden="1" x14ac:dyDescent="0.25">
      <c r="A831" s="55" t="s">
        <v>129</v>
      </c>
      <c r="B831" s="1">
        <v>45754</v>
      </c>
      <c r="C831" s="36">
        <f t="shared" si="117"/>
        <v>39507.200000000004</v>
      </c>
      <c r="D831" s="2">
        <v>20141</v>
      </c>
      <c r="E831" s="36">
        <f t="shared" si="118"/>
        <v>51532</v>
      </c>
      <c r="F831" s="2">
        <v>21582</v>
      </c>
      <c r="G831" s="2">
        <f t="shared" si="116"/>
        <v>132762.20000000001</v>
      </c>
      <c r="H831" s="3">
        <f t="shared" si="119"/>
        <v>0.29757867826836254</v>
      </c>
      <c r="I831" s="3">
        <f t="shared" si="120"/>
        <v>0.38815265188434656</v>
      </c>
      <c r="J831" s="3">
        <f t="shared" si="121"/>
        <v>0.15170733838396772</v>
      </c>
      <c r="K831" s="3">
        <f t="shared" si="122"/>
        <v>0.16256133146332313</v>
      </c>
      <c r="L831" s="3">
        <f t="shared" si="123"/>
        <v>0.68573133015270915</v>
      </c>
      <c r="M831" s="56">
        <f t="shared" si="124"/>
        <v>0.31426866984729085</v>
      </c>
      <c r="O831" s="2">
        <v>25968</v>
      </c>
      <c r="R831" s="2">
        <v>23824</v>
      </c>
      <c r="S831" s="36"/>
    </row>
    <row r="832" spans="1:19" hidden="1" x14ac:dyDescent="0.25">
      <c r="A832" s="55" t="s">
        <v>14</v>
      </c>
      <c r="B832" s="1">
        <v>45755</v>
      </c>
      <c r="C832" s="36">
        <f t="shared" si="117"/>
        <v>39972</v>
      </c>
      <c r="D832" s="2">
        <v>25176</v>
      </c>
      <c r="E832" s="36">
        <f t="shared" si="118"/>
        <v>47813.600000000006</v>
      </c>
      <c r="F832" s="2">
        <v>20333</v>
      </c>
      <c r="G832" s="2">
        <f t="shared" si="116"/>
        <v>133294.6</v>
      </c>
      <c r="H832" s="3">
        <f t="shared" si="119"/>
        <v>0.29987711430170461</v>
      </c>
      <c r="I832" s="3">
        <f t="shared" si="120"/>
        <v>0.35870620415230625</v>
      </c>
      <c r="J832" s="3">
        <f t="shared" si="121"/>
        <v>0.18887486814919732</v>
      </c>
      <c r="K832" s="3">
        <f t="shared" si="122"/>
        <v>0.15254181339679176</v>
      </c>
      <c r="L832" s="3">
        <f t="shared" si="123"/>
        <v>0.65858331845401086</v>
      </c>
      <c r="M832" s="56">
        <f t="shared" si="124"/>
        <v>0.34141668154598909</v>
      </c>
      <c r="O832" s="2">
        <v>41959</v>
      </c>
      <c r="R832" s="2">
        <v>18925</v>
      </c>
      <c r="S832" s="36"/>
    </row>
    <row r="833" spans="1:19" hidden="1" x14ac:dyDescent="0.25">
      <c r="A833" s="55" t="s">
        <v>21</v>
      </c>
      <c r="B833" s="1">
        <v>45756</v>
      </c>
      <c r="C833" s="36">
        <f t="shared" si="117"/>
        <v>25021.600000000002</v>
      </c>
      <c r="D833" s="2">
        <v>14923</v>
      </c>
      <c r="E833" s="36">
        <f t="shared" si="118"/>
        <v>35388</v>
      </c>
      <c r="F833" s="2">
        <v>18020</v>
      </c>
      <c r="G833" s="2">
        <f t="shared" si="116"/>
        <v>93352.6</v>
      </c>
      <c r="H833" s="3">
        <f t="shared" si="119"/>
        <v>0.26803324170939002</v>
      </c>
      <c r="I833" s="3">
        <f t="shared" si="120"/>
        <v>0.3790788901433918</v>
      </c>
      <c r="J833" s="3">
        <f t="shared" si="121"/>
        <v>0.15985628680936578</v>
      </c>
      <c r="K833" s="3">
        <f t="shared" si="122"/>
        <v>0.19303158133785239</v>
      </c>
      <c r="L833" s="3">
        <f t="shared" si="123"/>
        <v>0.64711213185278182</v>
      </c>
      <c r="M833" s="56">
        <f t="shared" si="124"/>
        <v>0.35288786814721818</v>
      </c>
      <c r="O833" s="2">
        <v>47575</v>
      </c>
      <c r="R833" s="2">
        <v>37819</v>
      </c>
      <c r="S833" s="36"/>
    </row>
    <row r="834" spans="1:19" x14ac:dyDescent="0.25">
      <c r="A834" s="55" t="s">
        <v>26</v>
      </c>
      <c r="B834" s="1">
        <v>45757</v>
      </c>
      <c r="C834" s="36">
        <f t="shared" si="117"/>
        <v>35134.400000000001</v>
      </c>
      <c r="D834" s="2">
        <v>16933</v>
      </c>
      <c r="E834" s="36">
        <f t="shared" si="118"/>
        <v>28394.400000000001</v>
      </c>
      <c r="F834" s="2">
        <v>16903</v>
      </c>
      <c r="G834" s="2">
        <f t="shared" si="116"/>
        <v>97364.800000000003</v>
      </c>
      <c r="H834" s="3">
        <f t="shared" si="119"/>
        <v>0.36085320362184281</v>
      </c>
      <c r="I834" s="3">
        <f t="shared" si="120"/>
        <v>0.29162900760849919</v>
      </c>
      <c r="J834" s="3">
        <f t="shared" si="121"/>
        <v>0.17391295416824148</v>
      </c>
      <c r="K834" s="3">
        <f t="shared" si="122"/>
        <v>0.17360483460141651</v>
      </c>
      <c r="L834" s="3">
        <f t="shared" si="123"/>
        <v>0.652482211230342</v>
      </c>
      <c r="M834" s="56">
        <f t="shared" si="124"/>
        <v>0.347517788769658</v>
      </c>
      <c r="O834" s="2">
        <v>39918</v>
      </c>
      <c r="R834" s="2">
        <v>37905</v>
      </c>
      <c r="S834" s="36"/>
    </row>
    <row r="835" spans="1:19" hidden="1" x14ac:dyDescent="0.25">
      <c r="A835" s="55" t="s">
        <v>7</v>
      </c>
      <c r="B835" s="1">
        <v>45758</v>
      </c>
      <c r="C835" s="36">
        <f t="shared" si="117"/>
        <v>36140.800000000003</v>
      </c>
      <c r="D835" s="2">
        <v>18399</v>
      </c>
      <c r="E835" s="36">
        <f t="shared" si="118"/>
        <v>31519.200000000001</v>
      </c>
      <c r="F835" s="2">
        <v>17914</v>
      </c>
      <c r="G835" s="2">
        <f t="shared" si="116"/>
        <v>103973</v>
      </c>
      <c r="H835" s="3">
        <f t="shared" si="119"/>
        <v>0.34759793407903977</v>
      </c>
      <c r="I835" s="3">
        <f t="shared" si="120"/>
        <v>0.30314793263635753</v>
      </c>
      <c r="J835" s="3">
        <f t="shared" si="121"/>
        <v>0.17695940292191242</v>
      </c>
      <c r="K835" s="3">
        <f t="shared" si="122"/>
        <v>0.1722947303626903</v>
      </c>
      <c r="L835" s="3">
        <f t="shared" si="123"/>
        <v>0.65074586671539725</v>
      </c>
      <c r="M835" s="56">
        <f t="shared" si="124"/>
        <v>0.34925413328460275</v>
      </c>
      <c r="O835" s="2">
        <v>43945</v>
      </c>
      <c r="R835" s="2">
        <v>47369</v>
      </c>
      <c r="S835" s="36"/>
    </row>
    <row r="836" spans="1:19" hidden="1" x14ac:dyDescent="0.25">
      <c r="A836" s="55" t="s">
        <v>30</v>
      </c>
      <c r="B836" s="1">
        <v>45759</v>
      </c>
      <c r="C836" s="36">
        <f t="shared" si="117"/>
        <v>44295.200000000004</v>
      </c>
      <c r="D836" s="2">
        <v>24045</v>
      </c>
      <c r="E836" s="36">
        <f t="shared" si="118"/>
        <v>30290.400000000001</v>
      </c>
      <c r="F836" s="2">
        <v>25311</v>
      </c>
      <c r="G836" s="2">
        <f t="shared" ref="G836:G899" si="125">SUM(C836:F836)</f>
        <v>123941.6</v>
      </c>
      <c r="H836" s="3">
        <f t="shared" si="119"/>
        <v>0.35738767290401285</v>
      </c>
      <c r="I836" s="3">
        <f t="shared" si="120"/>
        <v>0.24439252034829306</v>
      </c>
      <c r="J836" s="3">
        <f t="shared" si="121"/>
        <v>0.19400265931696864</v>
      </c>
      <c r="K836" s="3">
        <f t="shared" si="122"/>
        <v>0.20421714743072542</v>
      </c>
      <c r="L836" s="3">
        <f t="shared" si="123"/>
        <v>0.60178019325230592</v>
      </c>
      <c r="M836" s="56">
        <f t="shared" si="124"/>
        <v>0.39821980674769408</v>
      </c>
      <c r="O836" s="2">
        <v>50935</v>
      </c>
      <c r="R836" s="2">
        <v>47332</v>
      </c>
      <c r="S836" s="36"/>
    </row>
    <row r="837" spans="1:19" hidden="1" x14ac:dyDescent="0.25">
      <c r="A837" s="55" t="s">
        <v>31</v>
      </c>
      <c r="B837" s="1">
        <v>45760</v>
      </c>
      <c r="C837" s="36">
        <f t="shared" ref="C837:C900" si="126">O862*$P$27</f>
        <v>27299.200000000001</v>
      </c>
      <c r="D837" s="2">
        <v>22435</v>
      </c>
      <c r="E837" s="36">
        <f t="shared" ref="E837:E900" si="127">R862*$P$27</f>
        <v>46620</v>
      </c>
      <c r="F837" s="2">
        <v>27542</v>
      </c>
      <c r="G837" s="2">
        <f t="shared" si="125"/>
        <v>123896.2</v>
      </c>
      <c r="H837" s="3">
        <f t="shared" ref="H837:H900" si="128">IFERROR(C837/G837,0)</f>
        <v>0.22033928401355329</v>
      </c>
      <c r="I837" s="3">
        <f t="shared" ref="I837:I900" si="129">IFERROR(E837/G837,0)</f>
        <v>0.37628272699243398</v>
      </c>
      <c r="J837" s="3">
        <f t="shared" ref="J837:J900" si="130">IFERROR(D837/G837,0)</f>
        <v>0.18107900000161425</v>
      </c>
      <c r="K837" s="3">
        <f t="shared" ref="K837:K900" si="131">IFERROR(F837/G837,0)</f>
        <v>0.22229898899239847</v>
      </c>
      <c r="L837" s="3">
        <f t="shared" ref="L837:L900" si="132">IFERROR((C837+E837)/G837, 0)</f>
        <v>0.59662201100598722</v>
      </c>
      <c r="M837" s="56">
        <f t="shared" ref="M837:M900" si="133">IFERROR((D837+F837)/G837, 0)</f>
        <v>0.40337798899401273</v>
      </c>
      <c r="O837" s="2">
        <v>32490</v>
      </c>
      <c r="R837" s="2">
        <v>27250</v>
      </c>
      <c r="S837" s="36"/>
    </row>
    <row r="838" spans="1:19" hidden="1" x14ac:dyDescent="0.25">
      <c r="A838" s="55" t="s">
        <v>129</v>
      </c>
      <c r="B838" s="1">
        <v>45761</v>
      </c>
      <c r="C838" s="36">
        <f t="shared" si="126"/>
        <v>43060.800000000003</v>
      </c>
      <c r="D838" s="2">
        <v>25413</v>
      </c>
      <c r="E838" s="36">
        <f t="shared" si="127"/>
        <v>48244</v>
      </c>
      <c r="F838" s="2">
        <v>15776</v>
      </c>
      <c r="G838" s="2">
        <f t="shared" si="125"/>
        <v>132493.79999999999</v>
      </c>
      <c r="H838" s="3">
        <f t="shared" si="128"/>
        <v>0.32500237746973826</v>
      </c>
      <c r="I838" s="3">
        <f t="shared" si="129"/>
        <v>0.36412269857155583</v>
      </c>
      <c r="J838" s="3">
        <f t="shared" si="130"/>
        <v>0.19180520145093582</v>
      </c>
      <c r="K838" s="3">
        <f t="shared" si="131"/>
        <v>0.11906972250777019</v>
      </c>
      <c r="L838" s="3">
        <f t="shared" si="132"/>
        <v>0.68912507604129414</v>
      </c>
      <c r="M838" s="56">
        <f t="shared" si="133"/>
        <v>0.31087492395870603</v>
      </c>
      <c r="O838" s="2">
        <v>31610</v>
      </c>
      <c r="R838" s="2">
        <v>20772</v>
      </c>
      <c r="S838" s="36"/>
    </row>
    <row r="839" spans="1:19" hidden="1" x14ac:dyDescent="0.25">
      <c r="A839" s="55" t="s">
        <v>14</v>
      </c>
      <c r="B839" s="1">
        <v>45762</v>
      </c>
      <c r="C839" s="36">
        <f t="shared" si="126"/>
        <v>36839.200000000004</v>
      </c>
      <c r="D839" s="2">
        <v>22071</v>
      </c>
      <c r="E839" s="36">
        <f t="shared" si="127"/>
        <v>30593.600000000002</v>
      </c>
      <c r="F839" s="2">
        <v>20166</v>
      </c>
      <c r="G839" s="2">
        <f t="shared" si="125"/>
        <v>109669.8</v>
      </c>
      <c r="H839" s="3">
        <f t="shared" si="128"/>
        <v>0.33591015940577995</v>
      </c>
      <c r="I839" s="3">
        <f t="shared" si="129"/>
        <v>0.27896102664543931</v>
      </c>
      <c r="J839" s="3">
        <f t="shared" si="130"/>
        <v>0.20124956916124584</v>
      </c>
      <c r="K839" s="3">
        <f t="shared" si="131"/>
        <v>0.18387924478753495</v>
      </c>
      <c r="L839" s="3">
        <f t="shared" si="132"/>
        <v>0.61487118605121927</v>
      </c>
      <c r="M839" s="56">
        <f t="shared" si="133"/>
        <v>0.38512881394878079</v>
      </c>
      <c r="O839" s="2">
        <v>41596</v>
      </c>
      <c r="R839" s="2">
        <v>36196</v>
      </c>
      <c r="S839" s="36"/>
    </row>
    <row r="840" spans="1:19" hidden="1" x14ac:dyDescent="0.25">
      <c r="A840" s="55" t="s">
        <v>21</v>
      </c>
      <c r="B840" s="1">
        <v>45763</v>
      </c>
      <c r="C840" s="36">
        <f t="shared" si="126"/>
        <v>40603.200000000004</v>
      </c>
      <c r="D840" s="2">
        <v>15430</v>
      </c>
      <c r="E840" s="36">
        <f t="shared" si="127"/>
        <v>14976</v>
      </c>
      <c r="F840" s="2">
        <v>11639</v>
      </c>
      <c r="G840" s="2">
        <f t="shared" si="125"/>
        <v>82648.200000000012</v>
      </c>
      <c r="H840" s="3">
        <f t="shared" si="128"/>
        <v>0.4912774869870124</v>
      </c>
      <c r="I840" s="3">
        <f t="shared" si="129"/>
        <v>0.18120176845956715</v>
      </c>
      <c r="J840" s="3">
        <f t="shared" si="130"/>
        <v>0.1866949310450802</v>
      </c>
      <c r="K840" s="3">
        <f t="shared" si="131"/>
        <v>0.14082581350834014</v>
      </c>
      <c r="L840" s="3">
        <f t="shared" si="132"/>
        <v>0.6724792554465796</v>
      </c>
      <c r="M840" s="56">
        <f t="shared" si="133"/>
        <v>0.32752074455342034</v>
      </c>
      <c r="O840" s="2">
        <v>38939</v>
      </c>
      <c r="R840" s="2">
        <v>54935</v>
      </c>
      <c r="S840" s="36"/>
    </row>
    <row r="841" spans="1:19" x14ac:dyDescent="0.25">
      <c r="A841" s="55" t="s">
        <v>26</v>
      </c>
      <c r="B841" s="1">
        <v>45764</v>
      </c>
      <c r="C841" s="36">
        <f t="shared" si="126"/>
        <v>33417.599999999999</v>
      </c>
      <c r="D841" s="2">
        <v>14781</v>
      </c>
      <c r="E841" s="36">
        <f t="shared" si="127"/>
        <v>22638.400000000001</v>
      </c>
      <c r="F841" s="2">
        <v>12906</v>
      </c>
      <c r="G841" s="2">
        <f t="shared" si="125"/>
        <v>83743</v>
      </c>
      <c r="H841" s="3">
        <f t="shared" si="128"/>
        <v>0.39904947279175573</v>
      </c>
      <c r="I841" s="3">
        <f t="shared" si="129"/>
        <v>0.27033184863212451</v>
      </c>
      <c r="J841" s="3">
        <f t="shared" si="130"/>
        <v>0.17650430483741925</v>
      </c>
      <c r="K841" s="3">
        <f t="shared" si="131"/>
        <v>0.15411437373870054</v>
      </c>
      <c r="L841" s="3">
        <f t="shared" si="132"/>
        <v>0.66938132142388018</v>
      </c>
      <c r="M841" s="56">
        <f t="shared" si="133"/>
        <v>0.33061867857611982</v>
      </c>
      <c r="O841" s="2">
        <v>35348</v>
      </c>
      <c r="R841" s="2">
        <v>49697</v>
      </c>
      <c r="S841" s="36"/>
    </row>
    <row r="842" spans="1:19" hidden="1" x14ac:dyDescent="0.25">
      <c r="A842" s="55" t="s">
        <v>7</v>
      </c>
      <c r="B842" s="1">
        <v>45765</v>
      </c>
      <c r="C842" s="36">
        <f t="shared" si="126"/>
        <v>36182.400000000001</v>
      </c>
      <c r="D842" s="2">
        <v>19955</v>
      </c>
      <c r="E842" s="36">
        <f t="shared" si="127"/>
        <v>30784.800000000003</v>
      </c>
      <c r="F842" s="2">
        <v>14230</v>
      </c>
      <c r="G842" s="2">
        <f t="shared" si="125"/>
        <v>101152.20000000001</v>
      </c>
      <c r="H842" s="3">
        <f t="shared" si="128"/>
        <v>0.35770255120501576</v>
      </c>
      <c r="I842" s="3">
        <f t="shared" si="129"/>
        <v>0.30434137863536331</v>
      </c>
      <c r="J842" s="3">
        <f t="shared" si="130"/>
        <v>0.19727697469753497</v>
      </c>
      <c r="K842" s="3">
        <f t="shared" si="131"/>
        <v>0.14067909546208582</v>
      </c>
      <c r="L842" s="3">
        <f t="shared" si="132"/>
        <v>0.66204392984037919</v>
      </c>
      <c r="M842" s="56">
        <f t="shared" si="133"/>
        <v>0.33795607015962081</v>
      </c>
      <c r="O842" s="2">
        <v>63471</v>
      </c>
      <c r="R842" s="2">
        <v>49930</v>
      </c>
      <c r="S842" s="36"/>
    </row>
    <row r="843" spans="1:19" hidden="1" x14ac:dyDescent="0.25">
      <c r="A843" s="55" t="s">
        <v>30</v>
      </c>
      <c r="B843" s="1">
        <v>45766</v>
      </c>
      <c r="C843" s="36">
        <f t="shared" si="126"/>
        <v>35720.800000000003</v>
      </c>
      <c r="D843" s="2">
        <v>24968</v>
      </c>
      <c r="E843" s="36">
        <f t="shared" si="127"/>
        <v>32084.800000000003</v>
      </c>
      <c r="F843" s="2">
        <v>21257</v>
      </c>
      <c r="G843" s="2">
        <f t="shared" si="125"/>
        <v>114030.6</v>
      </c>
      <c r="H843" s="3">
        <f t="shared" si="128"/>
        <v>0.31325626630044917</v>
      </c>
      <c r="I843" s="3">
        <f t="shared" si="129"/>
        <v>0.28137008837978578</v>
      </c>
      <c r="J843" s="3">
        <f t="shared" si="130"/>
        <v>0.21895877071593062</v>
      </c>
      <c r="K843" s="3">
        <f t="shared" si="131"/>
        <v>0.18641487460383441</v>
      </c>
      <c r="L843" s="3">
        <f t="shared" si="132"/>
        <v>0.59462635468023495</v>
      </c>
      <c r="M843" s="56">
        <f t="shared" si="133"/>
        <v>0.40537364531976505</v>
      </c>
      <c r="O843" s="2">
        <v>60199</v>
      </c>
      <c r="R843" s="2">
        <v>24607</v>
      </c>
      <c r="S843" s="36"/>
    </row>
    <row r="844" spans="1:19" hidden="1" x14ac:dyDescent="0.25">
      <c r="A844" s="55" t="s">
        <v>31</v>
      </c>
      <c r="B844" s="1">
        <v>45767</v>
      </c>
      <c r="C844" s="36">
        <f t="shared" si="126"/>
        <v>34378.400000000001</v>
      </c>
      <c r="D844" s="2">
        <v>25738</v>
      </c>
      <c r="E844" s="36">
        <f t="shared" si="127"/>
        <v>32796</v>
      </c>
      <c r="F844" s="2">
        <v>22365</v>
      </c>
      <c r="G844" s="2">
        <f t="shared" si="125"/>
        <v>115277.4</v>
      </c>
      <c r="H844" s="3">
        <f t="shared" si="128"/>
        <v>0.29822324237014369</v>
      </c>
      <c r="I844" s="3">
        <f t="shared" si="129"/>
        <v>0.28449635401214812</v>
      </c>
      <c r="J844" s="3">
        <f t="shared" si="130"/>
        <v>0.2232701292707851</v>
      </c>
      <c r="K844" s="3">
        <f t="shared" si="131"/>
        <v>0.19401027434692317</v>
      </c>
      <c r="L844" s="3">
        <f t="shared" si="132"/>
        <v>0.58271959638229176</v>
      </c>
      <c r="M844" s="56">
        <f t="shared" si="133"/>
        <v>0.41728040361770824</v>
      </c>
      <c r="O844" s="2">
        <v>47641</v>
      </c>
      <c r="R844" s="2">
        <v>35618</v>
      </c>
      <c r="S844" s="36"/>
    </row>
    <row r="845" spans="1:19" hidden="1" x14ac:dyDescent="0.25">
      <c r="A845" s="55" t="s">
        <v>129</v>
      </c>
      <c r="B845" s="1">
        <v>45768</v>
      </c>
      <c r="C845" s="36">
        <f t="shared" si="126"/>
        <v>39255.200000000004</v>
      </c>
      <c r="D845" s="2">
        <v>20868</v>
      </c>
      <c r="E845" s="36">
        <f t="shared" si="127"/>
        <v>42653.600000000006</v>
      </c>
      <c r="F845" s="2">
        <v>17024</v>
      </c>
      <c r="G845" s="2">
        <f t="shared" si="125"/>
        <v>119800.80000000002</v>
      </c>
      <c r="H845" s="3">
        <f t="shared" si="128"/>
        <v>0.32767059986243829</v>
      </c>
      <c r="I845" s="3">
        <f t="shared" si="129"/>
        <v>0.35603768923078977</v>
      </c>
      <c r="J845" s="3">
        <f t="shared" si="130"/>
        <v>0.17418915399563273</v>
      </c>
      <c r="K845" s="3">
        <f t="shared" si="131"/>
        <v>0.14210255691113913</v>
      </c>
      <c r="L845" s="3">
        <f t="shared" si="132"/>
        <v>0.68370828909322812</v>
      </c>
      <c r="M845" s="56">
        <f t="shared" si="133"/>
        <v>0.31629171090677188</v>
      </c>
      <c r="O845" s="2">
        <v>23969</v>
      </c>
      <c r="R845" s="2">
        <v>30081</v>
      </c>
      <c r="S845" s="36"/>
    </row>
    <row r="846" spans="1:19" hidden="1" x14ac:dyDescent="0.25">
      <c r="A846" s="55" t="s">
        <v>14</v>
      </c>
      <c r="B846" s="1">
        <v>45769</v>
      </c>
      <c r="C846" s="36">
        <f t="shared" si="126"/>
        <v>46819.200000000004</v>
      </c>
      <c r="D846" s="2">
        <v>23894</v>
      </c>
      <c r="E846" s="36">
        <f t="shared" si="127"/>
        <v>26762.400000000001</v>
      </c>
      <c r="F846" s="2">
        <v>21455</v>
      </c>
      <c r="G846" s="2">
        <f t="shared" si="125"/>
        <v>118930.6</v>
      </c>
      <c r="H846" s="3">
        <f t="shared" si="128"/>
        <v>0.39366824013332147</v>
      </c>
      <c r="I846" s="3">
        <f t="shared" si="129"/>
        <v>0.22502535091893927</v>
      </c>
      <c r="J846" s="3">
        <f t="shared" si="130"/>
        <v>0.20090708362692192</v>
      </c>
      <c r="K846" s="3">
        <f t="shared" si="131"/>
        <v>0.18039932532081734</v>
      </c>
      <c r="L846" s="3">
        <f t="shared" si="132"/>
        <v>0.61869359105226074</v>
      </c>
      <c r="M846" s="56">
        <f t="shared" si="133"/>
        <v>0.38130640894773926</v>
      </c>
      <c r="O846" s="2">
        <v>47177</v>
      </c>
      <c r="R846" s="2">
        <v>34033</v>
      </c>
      <c r="S846" s="36"/>
    </row>
    <row r="847" spans="1:19" hidden="1" x14ac:dyDescent="0.25">
      <c r="A847" s="55" t="s">
        <v>21</v>
      </c>
      <c r="B847" s="1">
        <v>45770</v>
      </c>
      <c r="C847" s="36">
        <f t="shared" si="126"/>
        <v>31681.600000000002</v>
      </c>
      <c r="D847" s="2">
        <v>14240</v>
      </c>
      <c r="E847" s="36">
        <f t="shared" si="127"/>
        <v>23437.600000000002</v>
      </c>
      <c r="F847" s="2">
        <v>19308</v>
      </c>
      <c r="G847" s="2">
        <f t="shared" si="125"/>
        <v>88667.200000000012</v>
      </c>
      <c r="H847" s="3">
        <f t="shared" si="128"/>
        <v>0.35730912896764527</v>
      </c>
      <c r="I847" s="3">
        <f t="shared" si="129"/>
        <v>0.26433224461807747</v>
      </c>
      <c r="J847" s="3">
        <f t="shared" si="130"/>
        <v>0.16060053774112634</v>
      </c>
      <c r="K847" s="3">
        <f t="shared" si="131"/>
        <v>0.2177580886731508</v>
      </c>
      <c r="L847" s="3">
        <f t="shared" si="132"/>
        <v>0.6216413735857228</v>
      </c>
      <c r="M847" s="56">
        <f t="shared" si="133"/>
        <v>0.37835862641427714</v>
      </c>
      <c r="O847" s="2">
        <v>5771</v>
      </c>
      <c r="R847" s="2">
        <v>0</v>
      </c>
      <c r="S847" s="36"/>
    </row>
    <row r="848" spans="1:19" x14ac:dyDescent="0.25">
      <c r="A848" s="55" t="s">
        <v>26</v>
      </c>
      <c r="B848" s="1">
        <v>45771</v>
      </c>
      <c r="C848" s="36">
        <f t="shared" si="126"/>
        <v>36772.800000000003</v>
      </c>
      <c r="D848" s="2">
        <v>11669</v>
      </c>
      <c r="E848" s="36">
        <f t="shared" si="127"/>
        <v>34547.200000000004</v>
      </c>
      <c r="F848" s="2">
        <v>16372</v>
      </c>
      <c r="G848" s="2">
        <f t="shared" si="125"/>
        <v>99361</v>
      </c>
      <c r="H848" s="3">
        <f t="shared" si="128"/>
        <v>0.37009289359004038</v>
      </c>
      <c r="I848" s="3">
        <f t="shared" si="129"/>
        <v>0.34769376314650624</v>
      </c>
      <c r="J848" s="3">
        <f t="shared" si="130"/>
        <v>0.11744044443997141</v>
      </c>
      <c r="K848" s="3">
        <f t="shared" si="131"/>
        <v>0.16477289882348206</v>
      </c>
      <c r="L848" s="3">
        <f t="shared" si="132"/>
        <v>0.71778665673654651</v>
      </c>
      <c r="M848" s="56">
        <f t="shared" si="133"/>
        <v>0.28221334326345349</v>
      </c>
      <c r="O848" s="2">
        <v>13243</v>
      </c>
      <c r="R848" s="2">
        <v>45018</v>
      </c>
      <c r="S848" s="36"/>
    </row>
    <row r="849" spans="1:19" hidden="1" x14ac:dyDescent="0.25">
      <c r="A849" s="55" t="s">
        <v>7</v>
      </c>
      <c r="B849" s="1">
        <v>45772</v>
      </c>
      <c r="C849" s="36">
        <f t="shared" si="126"/>
        <v>26276</v>
      </c>
      <c r="D849" s="2">
        <v>18663</v>
      </c>
      <c r="E849" s="36">
        <f t="shared" si="127"/>
        <v>34278.400000000001</v>
      </c>
      <c r="F849" s="2">
        <v>24740</v>
      </c>
      <c r="G849" s="2">
        <f t="shared" si="125"/>
        <v>103957.4</v>
      </c>
      <c r="H849" s="3">
        <f t="shared" si="128"/>
        <v>0.25275737946505011</v>
      </c>
      <c r="I849" s="3">
        <f t="shared" si="129"/>
        <v>0.329735064555289</v>
      </c>
      <c r="J849" s="3">
        <f t="shared" si="130"/>
        <v>0.17952545946705092</v>
      </c>
      <c r="K849" s="3">
        <f t="shared" si="131"/>
        <v>0.23798209651260999</v>
      </c>
      <c r="L849" s="3">
        <f t="shared" si="132"/>
        <v>0.58249244402033917</v>
      </c>
      <c r="M849" s="56">
        <f t="shared" si="133"/>
        <v>0.41750755597966094</v>
      </c>
      <c r="O849" s="2">
        <v>53571</v>
      </c>
      <c r="R849" s="2">
        <v>57471</v>
      </c>
      <c r="S849" s="36"/>
    </row>
    <row r="850" spans="1:19" hidden="1" x14ac:dyDescent="0.25">
      <c r="A850" s="55" t="s">
        <v>30</v>
      </c>
      <c r="B850" s="1">
        <v>45773</v>
      </c>
      <c r="C850" s="36">
        <f t="shared" si="126"/>
        <v>37815.200000000004</v>
      </c>
      <c r="D850" s="2">
        <v>21435</v>
      </c>
      <c r="E850" s="36">
        <f t="shared" si="127"/>
        <v>33705.599999999999</v>
      </c>
      <c r="F850" s="2">
        <v>25559</v>
      </c>
      <c r="G850" s="2">
        <f t="shared" si="125"/>
        <v>118514.8</v>
      </c>
      <c r="H850" s="3">
        <f t="shared" si="128"/>
        <v>0.31907576100200147</v>
      </c>
      <c r="I850" s="3">
        <f t="shared" si="129"/>
        <v>0.2843999230475856</v>
      </c>
      <c r="J850" s="3">
        <f t="shared" si="130"/>
        <v>0.1808634870919075</v>
      </c>
      <c r="K850" s="3">
        <f t="shared" si="131"/>
        <v>0.21566082885850543</v>
      </c>
      <c r="L850" s="3">
        <f t="shared" si="132"/>
        <v>0.60347568404958707</v>
      </c>
      <c r="M850" s="56">
        <f t="shared" si="133"/>
        <v>0.39652431595041293</v>
      </c>
      <c r="O850" s="2">
        <v>67793</v>
      </c>
      <c r="R850" s="2">
        <v>67398</v>
      </c>
      <c r="S850" s="36"/>
    </row>
    <row r="851" spans="1:19" hidden="1" x14ac:dyDescent="0.25">
      <c r="A851" s="55" t="s">
        <v>31</v>
      </c>
      <c r="B851" s="1">
        <v>45774</v>
      </c>
      <c r="C851" s="36">
        <f t="shared" si="126"/>
        <v>46950.400000000001</v>
      </c>
      <c r="D851" s="2">
        <v>21727</v>
      </c>
      <c r="E851" s="36">
        <f t="shared" si="127"/>
        <v>39148</v>
      </c>
      <c r="F851" s="2">
        <v>31018</v>
      </c>
      <c r="G851" s="2">
        <f t="shared" si="125"/>
        <v>138843.4</v>
      </c>
      <c r="H851" s="3">
        <f t="shared" si="128"/>
        <v>0.33815363207757809</v>
      </c>
      <c r="I851" s="3">
        <f t="shared" si="129"/>
        <v>0.28195794686675779</v>
      </c>
      <c r="J851" s="3">
        <f t="shared" si="130"/>
        <v>0.15648565218080226</v>
      </c>
      <c r="K851" s="3">
        <f t="shared" si="131"/>
        <v>0.22340276887486191</v>
      </c>
      <c r="L851" s="3">
        <f t="shared" si="132"/>
        <v>0.62011157894433588</v>
      </c>
      <c r="M851" s="56">
        <f t="shared" si="133"/>
        <v>0.37988842105566417</v>
      </c>
      <c r="O851" s="2">
        <v>52804</v>
      </c>
      <c r="R851" s="2">
        <v>48297</v>
      </c>
      <c r="S851" s="36"/>
    </row>
    <row r="852" spans="1:19" hidden="1" x14ac:dyDescent="0.25">
      <c r="A852" s="55" t="s">
        <v>129</v>
      </c>
      <c r="B852" s="1">
        <v>45775</v>
      </c>
      <c r="C852" s="36">
        <f t="shared" si="126"/>
        <v>39076.800000000003</v>
      </c>
      <c r="D852" s="2">
        <v>21735</v>
      </c>
      <c r="E852" s="36">
        <f t="shared" si="127"/>
        <v>47841.600000000006</v>
      </c>
      <c r="F852" s="2">
        <v>23088</v>
      </c>
      <c r="G852" s="2">
        <f t="shared" si="125"/>
        <v>131741.40000000002</v>
      </c>
      <c r="H852" s="3">
        <f t="shared" si="128"/>
        <v>0.29661746421398283</v>
      </c>
      <c r="I852" s="3">
        <f t="shared" si="129"/>
        <v>0.36314780319626172</v>
      </c>
      <c r="J852" s="3">
        <f t="shared" si="130"/>
        <v>0.16498230624541713</v>
      </c>
      <c r="K852" s="3">
        <f t="shared" si="131"/>
        <v>0.17525242634433819</v>
      </c>
      <c r="L852" s="3">
        <f t="shared" si="132"/>
        <v>0.65976526741024455</v>
      </c>
      <c r="M852" s="56">
        <f t="shared" si="133"/>
        <v>0.34023473258975534</v>
      </c>
      <c r="O852" s="2">
        <v>59060</v>
      </c>
      <c r="R852" s="2">
        <v>36441</v>
      </c>
      <c r="S852" s="36"/>
    </row>
    <row r="853" spans="1:19" hidden="1" x14ac:dyDescent="0.25">
      <c r="A853" s="55" t="s">
        <v>14</v>
      </c>
      <c r="B853" s="1">
        <v>45776</v>
      </c>
      <c r="C853" s="36">
        <f t="shared" si="126"/>
        <v>23588.800000000003</v>
      </c>
      <c r="D853" s="2">
        <v>18418</v>
      </c>
      <c r="E853" s="36">
        <f t="shared" si="127"/>
        <v>35790.400000000001</v>
      </c>
      <c r="F853" s="2">
        <v>17935</v>
      </c>
      <c r="G853" s="2">
        <f t="shared" si="125"/>
        <v>95732.200000000012</v>
      </c>
      <c r="H853" s="3">
        <f t="shared" si="128"/>
        <v>0.24640403124549526</v>
      </c>
      <c r="I853" s="3">
        <f t="shared" si="129"/>
        <v>0.37385957911758005</v>
      </c>
      <c r="J853" s="3">
        <f t="shared" si="130"/>
        <v>0.19239085699482514</v>
      </c>
      <c r="K853" s="3">
        <f t="shared" si="131"/>
        <v>0.18734553264209949</v>
      </c>
      <c r="L853" s="3">
        <f t="shared" si="132"/>
        <v>0.62026361036307531</v>
      </c>
      <c r="M853" s="56">
        <f t="shared" si="133"/>
        <v>0.37973638963692463</v>
      </c>
      <c r="O853" s="2">
        <v>54447</v>
      </c>
      <c r="R853" s="2">
        <v>57079</v>
      </c>
      <c r="S853" s="36"/>
    </row>
    <row r="854" spans="1:19" hidden="1" x14ac:dyDescent="0.25">
      <c r="A854" s="55" t="s">
        <v>21</v>
      </c>
      <c r="B854" s="1">
        <v>45777</v>
      </c>
      <c r="C854" s="36">
        <f t="shared" si="126"/>
        <v>21762.400000000001</v>
      </c>
      <c r="D854" s="2">
        <v>12303</v>
      </c>
      <c r="E854" s="36">
        <f t="shared" si="127"/>
        <v>28482.400000000001</v>
      </c>
      <c r="F854" s="2">
        <v>13184</v>
      </c>
      <c r="G854" s="2">
        <f t="shared" si="125"/>
        <v>75731.8</v>
      </c>
      <c r="H854" s="3">
        <f t="shared" si="128"/>
        <v>0.28736145186038098</v>
      </c>
      <c r="I854" s="3">
        <f t="shared" si="129"/>
        <v>0.37609564278149998</v>
      </c>
      <c r="J854" s="3">
        <f t="shared" si="130"/>
        <v>0.16245487364620939</v>
      </c>
      <c r="K854" s="3">
        <f t="shared" si="131"/>
        <v>0.17408803171190965</v>
      </c>
      <c r="L854" s="3">
        <f t="shared" si="132"/>
        <v>0.66345709464188096</v>
      </c>
      <c r="M854" s="56">
        <f t="shared" si="133"/>
        <v>0.33654290535811904</v>
      </c>
      <c r="O854" s="2">
        <v>64085</v>
      </c>
      <c r="R854" s="2">
        <v>47060</v>
      </c>
      <c r="S854" s="36"/>
    </row>
    <row r="855" spans="1:19" x14ac:dyDescent="0.25">
      <c r="A855" s="55" t="s">
        <v>26</v>
      </c>
      <c r="B855" s="1">
        <v>45778</v>
      </c>
      <c r="C855" s="36">
        <f t="shared" si="126"/>
        <v>29268</v>
      </c>
      <c r="D855" s="2">
        <v>9070</v>
      </c>
      <c r="E855" s="36">
        <f t="shared" si="127"/>
        <v>34542.400000000001</v>
      </c>
      <c r="F855" s="2">
        <v>14892</v>
      </c>
      <c r="G855" s="2">
        <f t="shared" si="125"/>
        <v>87772.4</v>
      </c>
      <c r="H855" s="3">
        <f t="shared" si="128"/>
        <v>0.33345334068568255</v>
      </c>
      <c r="I855" s="3">
        <f t="shared" si="129"/>
        <v>0.39354512352402354</v>
      </c>
      <c r="J855" s="3">
        <f t="shared" si="130"/>
        <v>0.10333544485510252</v>
      </c>
      <c r="K855" s="3">
        <f t="shared" si="131"/>
        <v>0.16966609093519147</v>
      </c>
      <c r="L855" s="3">
        <f t="shared" si="132"/>
        <v>0.72699846420970604</v>
      </c>
      <c r="M855" s="56">
        <f t="shared" si="133"/>
        <v>0.27300153579029401</v>
      </c>
      <c r="O855" s="2">
        <v>33344</v>
      </c>
      <c r="R855" s="2">
        <v>62999</v>
      </c>
      <c r="S855" s="36"/>
    </row>
    <row r="856" spans="1:19" hidden="1" x14ac:dyDescent="0.25">
      <c r="A856" s="55" t="s">
        <v>7</v>
      </c>
      <c r="B856" s="1">
        <v>45779</v>
      </c>
      <c r="C856" s="36">
        <f t="shared" si="126"/>
        <v>36043.200000000004</v>
      </c>
      <c r="D856" s="2">
        <v>18805</v>
      </c>
      <c r="E856" s="36">
        <f t="shared" si="127"/>
        <v>32895.200000000004</v>
      </c>
      <c r="F856" s="2">
        <v>17545</v>
      </c>
      <c r="G856" s="2">
        <f t="shared" si="125"/>
        <v>105288.40000000001</v>
      </c>
      <c r="H856" s="3">
        <f t="shared" si="128"/>
        <v>0.34232830967134081</v>
      </c>
      <c r="I856" s="3">
        <f t="shared" si="129"/>
        <v>0.31242947941083732</v>
      </c>
      <c r="J856" s="3">
        <f t="shared" si="130"/>
        <v>0.17860467059999011</v>
      </c>
      <c r="K856" s="3">
        <f t="shared" si="131"/>
        <v>0.16663754031783176</v>
      </c>
      <c r="L856" s="3">
        <f t="shared" si="132"/>
        <v>0.65475778908217808</v>
      </c>
      <c r="M856" s="56">
        <f t="shared" si="133"/>
        <v>0.34524221091782187</v>
      </c>
      <c r="O856" s="2">
        <v>49384</v>
      </c>
      <c r="R856" s="2">
        <v>64415</v>
      </c>
      <c r="S856" s="36"/>
    </row>
    <row r="857" spans="1:19" hidden="1" x14ac:dyDescent="0.25">
      <c r="A857" s="55" t="s">
        <v>30</v>
      </c>
      <c r="B857" s="1">
        <v>45780</v>
      </c>
      <c r="C857" s="36">
        <f t="shared" si="126"/>
        <v>41950.400000000001</v>
      </c>
      <c r="D857" s="2">
        <v>23833</v>
      </c>
      <c r="E857" s="36">
        <f t="shared" si="127"/>
        <v>43013.600000000006</v>
      </c>
      <c r="F857" s="2">
        <v>24399</v>
      </c>
      <c r="G857" s="2">
        <f t="shared" si="125"/>
        <v>133196</v>
      </c>
      <c r="H857" s="3">
        <f t="shared" si="128"/>
        <v>0.3149524009730022</v>
      </c>
      <c r="I857" s="3">
        <f t="shared" si="129"/>
        <v>0.32293462266134121</v>
      </c>
      <c r="J857" s="3">
        <f t="shared" si="130"/>
        <v>0.17893179975374635</v>
      </c>
      <c r="K857" s="3">
        <f t="shared" si="131"/>
        <v>0.18318117661191027</v>
      </c>
      <c r="L857" s="3">
        <f t="shared" si="132"/>
        <v>0.63788702363434335</v>
      </c>
      <c r="M857" s="56">
        <f t="shared" si="133"/>
        <v>0.36211297636565665</v>
      </c>
      <c r="O857" s="2">
        <v>49965</v>
      </c>
      <c r="R857" s="2">
        <v>59767</v>
      </c>
      <c r="S857" s="36"/>
    </row>
    <row r="858" spans="1:19" hidden="1" x14ac:dyDescent="0.25">
      <c r="A858" s="55" t="s">
        <v>31</v>
      </c>
      <c r="B858" s="1">
        <v>45781</v>
      </c>
      <c r="C858" s="36">
        <f t="shared" si="126"/>
        <v>34460.800000000003</v>
      </c>
      <c r="D858" s="2">
        <v>22755</v>
      </c>
      <c r="E858" s="36">
        <f t="shared" si="127"/>
        <v>50479.200000000004</v>
      </c>
      <c r="F858" s="2">
        <v>25005</v>
      </c>
      <c r="G858" s="2">
        <f t="shared" si="125"/>
        <v>132700</v>
      </c>
      <c r="H858" s="3">
        <f t="shared" si="128"/>
        <v>0.25968952524491334</v>
      </c>
      <c r="I858" s="3">
        <f t="shared" si="129"/>
        <v>0.38040090429540319</v>
      </c>
      <c r="J858" s="3">
        <f t="shared" si="130"/>
        <v>0.17147701582516955</v>
      </c>
      <c r="K858" s="3">
        <f t="shared" si="131"/>
        <v>0.18843255463451394</v>
      </c>
      <c r="L858" s="3">
        <f t="shared" si="132"/>
        <v>0.64009042954031647</v>
      </c>
      <c r="M858" s="56">
        <f t="shared" si="133"/>
        <v>0.35990957045968347</v>
      </c>
      <c r="O858" s="2">
        <v>31277</v>
      </c>
      <c r="R858" s="2">
        <v>44235</v>
      </c>
      <c r="S858" s="36"/>
    </row>
    <row r="859" spans="1:19" hidden="1" x14ac:dyDescent="0.25">
      <c r="A859" s="55" t="s">
        <v>129</v>
      </c>
      <c r="B859" s="1">
        <v>45782</v>
      </c>
      <c r="C859" s="36">
        <f t="shared" si="126"/>
        <v>33697.599999999999</v>
      </c>
      <c r="D859" s="2">
        <v>27909</v>
      </c>
      <c r="E859" s="36">
        <f t="shared" si="127"/>
        <v>56788.800000000003</v>
      </c>
      <c r="F859" s="2">
        <v>20334</v>
      </c>
      <c r="G859" s="2">
        <f t="shared" si="125"/>
        <v>138729.4</v>
      </c>
      <c r="H859" s="3">
        <f t="shared" si="128"/>
        <v>0.24290164882137455</v>
      </c>
      <c r="I859" s="3">
        <f t="shared" si="129"/>
        <v>0.40934942413071784</v>
      </c>
      <c r="J859" s="3">
        <f t="shared" si="130"/>
        <v>0.20117581421097475</v>
      </c>
      <c r="K859" s="3">
        <f t="shared" si="131"/>
        <v>0.14657311283693292</v>
      </c>
      <c r="L859" s="3">
        <f t="shared" si="132"/>
        <v>0.65225107295209228</v>
      </c>
      <c r="M859" s="56">
        <f t="shared" si="133"/>
        <v>0.34774892704790766</v>
      </c>
      <c r="O859" s="2">
        <v>43918</v>
      </c>
      <c r="R859" s="2">
        <v>35493</v>
      </c>
      <c r="S859" s="36"/>
    </row>
    <row r="860" spans="1:19" hidden="1" x14ac:dyDescent="0.25">
      <c r="A860" s="55" t="s">
        <v>14</v>
      </c>
      <c r="B860" s="1">
        <v>45783</v>
      </c>
      <c r="C860" s="36">
        <f t="shared" si="126"/>
        <v>45364</v>
      </c>
      <c r="D860" s="2">
        <v>20999</v>
      </c>
      <c r="E860" s="36">
        <f t="shared" si="127"/>
        <v>34084.800000000003</v>
      </c>
      <c r="F860" s="2">
        <v>12921</v>
      </c>
      <c r="G860" s="2">
        <f t="shared" si="125"/>
        <v>113368.8</v>
      </c>
      <c r="H860" s="3">
        <f t="shared" si="128"/>
        <v>0.40014536627361319</v>
      </c>
      <c r="I860" s="3">
        <f t="shared" si="129"/>
        <v>0.30065414823125941</v>
      </c>
      <c r="J860" s="3">
        <f t="shared" si="130"/>
        <v>0.18522732885943927</v>
      </c>
      <c r="K860" s="3">
        <f t="shared" si="131"/>
        <v>0.11397315663568812</v>
      </c>
      <c r="L860" s="3">
        <f t="shared" si="132"/>
        <v>0.70079951450487266</v>
      </c>
      <c r="M860" s="56">
        <f t="shared" si="133"/>
        <v>0.2992004854951274</v>
      </c>
      <c r="O860" s="2">
        <v>45176</v>
      </c>
      <c r="R860" s="2">
        <v>39399</v>
      </c>
      <c r="S860" s="36"/>
    </row>
    <row r="861" spans="1:19" hidden="1" x14ac:dyDescent="0.25">
      <c r="A861" s="55" t="s">
        <v>21</v>
      </c>
      <c r="B861" s="1">
        <v>45784</v>
      </c>
      <c r="C861" s="36">
        <f t="shared" si="126"/>
        <v>34414.400000000001</v>
      </c>
      <c r="D861" s="2">
        <v>13175</v>
      </c>
      <c r="E861" s="36">
        <f t="shared" si="127"/>
        <v>22919.200000000001</v>
      </c>
      <c r="F861" s="2">
        <v>12972</v>
      </c>
      <c r="G861" s="2">
        <f t="shared" si="125"/>
        <v>83480.600000000006</v>
      </c>
      <c r="H861" s="3">
        <f t="shared" si="128"/>
        <v>0.41224428190501744</v>
      </c>
      <c r="I861" s="3">
        <f t="shared" si="129"/>
        <v>0.27454522368071144</v>
      </c>
      <c r="J861" s="3">
        <f t="shared" si="130"/>
        <v>0.15782109855463425</v>
      </c>
      <c r="K861" s="3">
        <f t="shared" si="131"/>
        <v>0.15538939585963685</v>
      </c>
      <c r="L861" s="3">
        <f t="shared" si="132"/>
        <v>0.68678950558572893</v>
      </c>
      <c r="M861" s="56">
        <f t="shared" si="133"/>
        <v>0.31321049441427107</v>
      </c>
      <c r="O861" s="2">
        <v>55369</v>
      </c>
      <c r="R861" s="2">
        <v>37863</v>
      </c>
      <c r="S861" s="36"/>
    </row>
    <row r="862" spans="1:19" x14ac:dyDescent="0.25">
      <c r="A862" s="55" t="s">
        <v>26</v>
      </c>
      <c r="B862" s="1">
        <v>45785</v>
      </c>
      <c r="C862" s="36">
        <f t="shared" si="126"/>
        <v>28616</v>
      </c>
      <c r="D862" s="2">
        <v>14833</v>
      </c>
      <c r="E862" s="36">
        <f t="shared" si="127"/>
        <v>31447.200000000001</v>
      </c>
      <c r="F862" s="2">
        <v>14678</v>
      </c>
      <c r="G862" s="2">
        <f t="shared" si="125"/>
        <v>89574.2</v>
      </c>
      <c r="H862" s="3">
        <f t="shared" si="128"/>
        <v>0.31946698937863804</v>
      </c>
      <c r="I862" s="3">
        <f t="shared" si="129"/>
        <v>0.35107430487796709</v>
      </c>
      <c r="J862" s="3">
        <f t="shared" si="130"/>
        <v>0.16559455736138309</v>
      </c>
      <c r="K862" s="3">
        <f t="shared" si="131"/>
        <v>0.1638641483820118</v>
      </c>
      <c r="L862" s="3">
        <f t="shared" si="132"/>
        <v>0.67054129425660514</v>
      </c>
      <c r="M862" s="56">
        <f t="shared" si="133"/>
        <v>0.32945870574339486</v>
      </c>
      <c r="O862" s="2">
        <v>34124</v>
      </c>
      <c r="R862" s="2">
        <v>58275</v>
      </c>
      <c r="S862" s="36"/>
    </row>
    <row r="863" spans="1:19" hidden="1" x14ac:dyDescent="0.25">
      <c r="A863" s="55" t="s">
        <v>7</v>
      </c>
      <c r="B863" s="1">
        <v>45786</v>
      </c>
      <c r="C863" s="36">
        <f t="shared" si="126"/>
        <v>23136</v>
      </c>
      <c r="D863" s="2">
        <v>13112</v>
      </c>
      <c r="E863" s="36">
        <f t="shared" si="127"/>
        <v>19188.8</v>
      </c>
      <c r="F863" s="2">
        <v>14992</v>
      </c>
      <c r="G863" s="2">
        <f t="shared" si="125"/>
        <v>70428.800000000003</v>
      </c>
      <c r="H863" s="3">
        <f t="shared" si="128"/>
        <v>0.32850197646417373</v>
      </c>
      <c r="I863" s="3">
        <f t="shared" si="129"/>
        <v>0.27245672224998863</v>
      </c>
      <c r="J863" s="3">
        <f t="shared" si="130"/>
        <v>0.18617383797537371</v>
      </c>
      <c r="K863" s="3">
        <f t="shared" si="131"/>
        <v>0.21286746331046388</v>
      </c>
      <c r="L863" s="3">
        <f t="shared" si="132"/>
        <v>0.60095869871416241</v>
      </c>
      <c r="M863" s="56">
        <f t="shared" si="133"/>
        <v>0.39904130128583759</v>
      </c>
      <c r="O863" s="2">
        <v>53826</v>
      </c>
      <c r="R863" s="2">
        <v>60305</v>
      </c>
      <c r="S863" s="36"/>
    </row>
    <row r="864" spans="1:19" hidden="1" x14ac:dyDescent="0.25">
      <c r="A864" s="55" t="s">
        <v>30</v>
      </c>
      <c r="B864" s="1">
        <v>45787</v>
      </c>
      <c r="C864" s="36">
        <f t="shared" si="126"/>
        <v>50750.400000000001</v>
      </c>
      <c r="D864" s="2">
        <v>24809</v>
      </c>
      <c r="E864" s="36">
        <f t="shared" si="127"/>
        <v>43700</v>
      </c>
      <c r="F864" s="2">
        <v>28699</v>
      </c>
      <c r="G864" s="2">
        <f t="shared" si="125"/>
        <v>147958.39999999999</v>
      </c>
      <c r="H864" s="3">
        <f t="shared" si="128"/>
        <v>0.34300452018945871</v>
      </c>
      <c r="I864" s="3">
        <f t="shared" si="129"/>
        <v>0.29535328849190046</v>
      </c>
      <c r="J864" s="3">
        <f t="shared" si="130"/>
        <v>0.16767550879166038</v>
      </c>
      <c r="K864" s="3">
        <f t="shared" si="131"/>
        <v>0.19396668252698057</v>
      </c>
      <c r="L864" s="3">
        <f t="shared" si="132"/>
        <v>0.63835780868135905</v>
      </c>
      <c r="M864" s="56">
        <f t="shared" si="133"/>
        <v>0.36164219131864095</v>
      </c>
      <c r="O864" s="2">
        <v>46049</v>
      </c>
      <c r="R864" s="2">
        <v>38242</v>
      </c>
      <c r="S864" s="36"/>
    </row>
    <row r="865" spans="1:19" hidden="1" x14ac:dyDescent="0.25">
      <c r="A865" s="55" t="s">
        <v>31</v>
      </c>
      <c r="B865" s="1">
        <v>45788</v>
      </c>
      <c r="C865" s="36">
        <f t="shared" si="126"/>
        <v>35588.800000000003</v>
      </c>
      <c r="D865" s="2">
        <v>25555</v>
      </c>
      <c r="E865" s="36">
        <f t="shared" si="127"/>
        <v>43671.200000000004</v>
      </c>
      <c r="F865" s="2">
        <v>27630</v>
      </c>
      <c r="G865" s="2">
        <f t="shared" si="125"/>
        <v>132445</v>
      </c>
      <c r="H865" s="3">
        <f t="shared" si="128"/>
        <v>0.26870625542678095</v>
      </c>
      <c r="I865" s="3">
        <f t="shared" si="129"/>
        <v>0.32973083166597461</v>
      </c>
      <c r="J865" s="3">
        <f t="shared" si="130"/>
        <v>0.19294801615765034</v>
      </c>
      <c r="K865" s="3">
        <f t="shared" si="131"/>
        <v>0.20861489674959416</v>
      </c>
      <c r="L865" s="3">
        <f t="shared" si="132"/>
        <v>0.59843708709275545</v>
      </c>
      <c r="M865" s="56">
        <f t="shared" si="133"/>
        <v>0.4015629129072445</v>
      </c>
      <c r="O865" s="2">
        <v>50754</v>
      </c>
      <c r="R865" s="2">
        <v>18720</v>
      </c>
      <c r="S865" s="36"/>
    </row>
    <row r="866" spans="1:19" hidden="1" x14ac:dyDescent="0.25">
      <c r="A866" s="55" t="s">
        <v>129</v>
      </c>
      <c r="B866" s="1">
        <v>45789</v>
      </c>
      <c r="C866" s="36">
        <f t="shared" si="126"/>
        <v>40674.400000000001</v>
      </c>
      <c r="D866" s="2">
        <v>22931</v>
      </c>
      <c r="E866" s="36">
        <f t="shared" si="127"/>
        <v>44641.600000000006</v>
      </c>
      <c r="F866" s="2">
        <v>22899</v>
      </c>
      <c r="G866" s="2">
        <f t="shared" si="125"/>
        <v>131146</v>
      </c>
      <c r="H866" s="3">
        <f t="shared" si="128"/>
        <v>0.31014594421484454</v>
      </c>
      <c r="I866" s="3">
        <f t="shared" si="129"/>
        <v>0.34039619965534601</v>
      </c>
      <c r="J866" s="3">
        <f t="shared" si="130"/>
        <v>0.1748509294984216</v>
      </c>
      <c r="K866" s="3">
        <f t="shared" si="131"/>
        <v>0.17460692663138791</v>
      </c>
      <c r="L866" s="3">
        <f t="shared" si="132"/>
        <v>0.65054214387019049</v>
      </c>
      <c r="M866" s="56">
        <f t="shared" si="133"/>
        <v>0.34945785612980951</v>
      </c>
      <c r="O866" s="2">
        <v>41772</v>
      </c>
      <c r="R866" s="2">
        <v>28298</v>
      </c>
      <c r="S866" s="36"/>
    </row>
    <row r="867" spans="1:19" hidden="1" x14ac:dyDescent="0.25">
      <c r="A867" s="55" t="s">
        <v>14</v>
      </c>
      <c r="B867" s="1">
        <v>45790</v>
      </c>
      <c r="C867" s="36">
        <f t="shared" si="126"/>
        <v>47052</v>
      </c>
      <c r="D867" s="2">
        <v>13660</v>
      </c>
      <c r="E867" s="36">
        <f t="shared" si="127"/>
        <v>32316</v>
      </c>
      <c r="F867" s="2">
        <v>19736</v>
      </c>
      <c r="G867" s="2">
        <f t="shared" si="125"/>
        <v>112764</v>
      </c>
      <c r="H867" s="3">
        <f t="shared" si="128"/>
        <v>0.41726082792380548</v>
      </c>
      <c r="I867" s="3">
        <f t="shared" si="129"/>
        <v>0.28658082366712778</v>
      </c>
      <c r="J867" s="3">
        <f t="shared" si="130"/>
        <v>0.12113795182859778</v>
      </c>
      <c r="K867" s="3">
        <f t="shared" si="131"/>
        <v>0.17502039658046895</v>
      </c>
      <c r="L867" s="3">
        <f t="shared" si="132"/>
        <v>0.70384165159093326</v>
      </c>
      <c r="M867" s="56">
        <f t="shared" si="133"/>
        <v>0.29615834840906674</v>
      </c>
      <c r="O867" s="2">
        <v>45228</v>
      </c>
      <c r="R867" s="2">
        <v>38481</v>
      </c>
      <c r="S867" s="36"/>
    </row>
    <row r="868" spans="1:19" hidden="1" x14ac:dyDescent="0.25">
      <c r="A868" s="55" t="s">
        <v>21</v>
      </c>
      <c r="B868" s="1">
        <v>45791</v>
      </c>
      <c r="C868" s="36">
        <f t="shared" si="126"/>
        <v>32316</v>
      </c>
      <c r="D868" s="2">
        <v>14694</v>
      </c>
      <c r="E868" s="36">
        <f t="shared" si="127"/>
        <v>26004.800000000003</v>
      </c>
      <c r="F868" s="2">
        <v>16348</v>
      </c>
      <c r="G868" s="2">
        <f t="shared" si="125"/>
        <v>89362.8</v>
      </c>
      <c r="H868" s="3">
        <f t="shared" si="128"/>
        <v>0.36162698572560392</v>
      </c>
      <c r="I868" s="3">
        <f t="shared" si="129"/>
        <v>0.29100252006427735</v>
      </c>
      <c r="J868" s="3">
        <f t="shared" si="130"/>
        <v>0.16443083699257408</v>
      </c>
      <c r="K868" s="3">
        <f t="shared" si="131"/>
        <v>0.18293965721754465</v>
      </c>
      <c r="L868" s="3">
        <f t="shared" si="132"/>
        <v>0.65262950578988121</v>
      </c>
      <c r="M868" s="56">
        <f t="shared" si="133"/>
        <v>0.34737049421011873</v>
      </c>
      <c r="O868" s="2">
        <v>44651</v>
      </c>
      <c r="R868" s="2">
        <v>40106</v>
      </c>
      <c r="S868" s="36"/>
    </row>
    <row r="869" spans="1:19" x14ac:dyDescent="0.25">
      <c r="A869" s="55" t="s">
        <v>26</v>
      </c>
      <c r="B869" s="1">
        <v>45792</v>
      </c>
      <c r="C869" s="36">
        <f t="shared" si="126"/>
        <v>33242.400000000001</v>
      </c>
      <c r="D869" s="2">
        <v>12578</v>
      </c>
      <c r="E869" s="36">
        <f t="shared" si="127"/>
        <v>34944.800000000003</v>
      </c>
      <c r="F869" s="2">
        <v>16251</v>
      </c>
      <c r="G869" s="2">
        <f t="shared" si="125"/>
        <v>97016.200000000012</v>
      </c>
      <c r="H869" s="3">
        <f t="shared" si="128"/>
        <v>0.3426479289025956</v>
      </c>
      <c r="I869" s="3">
        <f t="shared" si="129"/>
        <v>0.36019551373894254</v>
      </c>
      <c r="J869" s="3">
        <f t="shared" si="130"/>
        <v>0.12964845046497386</v>
      </c>
      <c r="K869" s="3">
        <f t="shared" si="131"/>
        <v>0.16750810689348788</v>
      </c>
      <c r="L869" s="3">
        <f t="shared" si="132"/>
        <v>0.70284344264153831</v>
      </c>
      <c r="M869" s="56">
        <f t="shared" si="133"/>
        <v>0.29715655735846175</v>
      </c>
      <c r="O869" s="2">
        <v>42973</v>
      </c>
      <c r="R869" s="2">
        <v>40995</v>
      </c>
      <c r="S869" s="36"/>
    </row>
    <row r="870" spans="1:19" hidden="1" x14ac:dyDescent="0.25">
      <c r="A870" s="55" t="s">
        <v>7</v>
      </c>
      <c r="B870" s="1">
        <v>45793</v>
      </c>
      <c r="C870" s="36">
        <f t="shared" si="126"/>
        <v>31760</v>
      </c>
      <c r="D870" s="2">
        <v>20142</v>
      </c>
      <c r="E870" s="36">
        <f t="shared" si="127"/>
        <v>30212.800000000003</v>
      </c>
      <c r="F870" s="2">
        <v>18120</v>
      </c>
      <c r="G870" s="2">
        <f t="shared" si="125"/>
        <v>100234.8</v>
      </c>
      <c r="H870" s="3">
        <f t="shared" si="128"/>
        <v>0.31685602206020264</v>
      </c>
      <c r="I870" s="3">
        <f t="shared" si="129"/>
        <v>0.30142026521726989</v>
      </c>
      <c r="J870" s="3">
        <f t="shared" si="130"/>
        <v>0.20094817368818016</v>
      </c>
      <c r="K870" s="3">
        <f t="shared" si="131"/>
        <v>0.18077553903434734</v>
      </c>
      <c r="L870" s="3">
        <f t="shared" si="132"/>
        <v>0.61827628727747252</v>
      </c>
      <c r="M870" s="56">
        <f t="shared" si="133"/>
        <v>0.38172371272252748</v>
      </c>
      <c r="O870" s="2">
        <v>49069</v>
      </c>
      <c r="R870" s="2">
        <v>53317</v>
      </c>
      <c r="S870" s="36"/>
    </row>
    <row r="871" spans="1:19" hidden="1" x14ac:dyDescent="0.25">
      <c r="A871" s="55" t="s">
        <v>30</v>
      </c>
      <c r="B871" s="1">
        <v>45794</v>
      </c>
      <c r="C871" s="36">
        <f t="shared" si="126"/>
        <v>49713.600000000006</v>
      </c>
      <c r="D871" s="2">
        <v>22778</v>
      </c>
      <c r="E871" s="36">
        <f t="shared" si="127"/>
        <v>53254.400000000001</v>
      </c>
      <c r="F871" s="2">
        <v>23498</v>
      </c>
      <c r="G871" s="2">
        <f t="shared" si="125"/>
        <v>149244</v>
      </c>
      <c r="H871" s="3">
        <f t="shared" si="128"/>
        <v>0.33310283830505755</v>
      </c>
      <c r="I871" s="3">
        <f t="shared" si="129"/>
        <v>0.35682774516898502</v>
      </c>
      <c r="J871" s="3">
        <f t="shared" si="130"/>
        <v>0.15262255099032457</v>
      </c>
      <c r="K871" s="3">
        <f t="shared" si="131"/>
        <v>0.15744686553563292</v>
      </c>
      <c r="L871" s="3">
        <f t="shared" si="132"/>
        <v>0.68993058347404246</v>
      </c>
      <c r="M871" s="56">
        <f t="shared" si="133"/>
        <v>0.31006941652595749</v>
      </c>
      <c r="O871" s="2">
        <v>58524</v>
      </c>
      <c r="R871" s="2">
        <v>33453</v>
      </c>
      <c r="S871" s="36"/>
    </row>
    <row r="872" spans="1:19" hidden="1" x14ac:dyDescent="0.25">
      <c r="A872" s="55" t="s">
        <v>31</v>
      </c>
      <c r="B872" s="1">
        <v>45795</v>
      </c>
      <c r="C872" s="36">
        <f t="shared" si="126"/>
        <v>51039.200000000004</v>
      </c>
      <c r="D872" s="2">
        <v>24797</v>
      </c>
      <c r="E872" s="36">
        <f t="shared" si="127"/>
        <v>41825.600000000006</v>
      </c>
      <c r="F872" s="2">
        <v>22510</v>
      </c>
      <c r="G872" s="2">
        <f t="shared" si="125"/>
        <v>140171.80000000002</v>
      </c>
      <c r="H872" s="3">
        <f t="shared" si="128"/>
        <v>0.36411888839267242</v>
      </c>
      <c r="I872" s="3">
        <f t="shared" si="129"/>
        <v>0.29838812086311228</v>
      </c>
      <c r="J872" s="3">
        <f t="shared" si="130"/>
        <v>0.17690434167214802</v>
      </c>
      <c r="K872" s="3">
        <f t="shared" si="131"/>
        <v>0.16058864907206727</v>
      </c>
      <c r="L872" s="3">
        <f t="shared" si="132"/>
        <v>0.66250700925578476</v>
      </c>
      <c r="M872" s="56">
        <f t="shared" si="133"/>
        <v>0.33749299074421529</v>
      </c>
      <c r="O872" s="2">
        <v>39602</v>
      </c>
      <c r="R872" s="2">
        <v>29297</v>
      </c>
      <c r="S872" s="36"/>
    </row>
    <row r="873" spans="1:19" hidden="1" x14ac:dyDescent="0.25">
      <c r="A873" s="55" t="s">
        <v>129</v>
      </c>
      <c r="B873" s="1">
        <v>45796</v>
      </c>
      <c r="C873" s="36">
        <f t="shared" si="126"/>
        <v>48378.400000000001</v>
      </c>
      <c r="D873" s="2">
        <v>20481</v>
      </c>
      <c r="E873" s="36">
        <f t="shared" si="127"/>
        <v>59192.800000000003</v>
      </c>
      <c r="F873" s="2">
        <v>20611</v>
      </c>
      <c r="G873" s="2">
        <f t="shared" si="125"/>
        <v>148663.20000000001</v>
      </c>
      <c r="H873" s="3">
        <f t="shared" si="128"/>
        <v>0.32542283497193653</v>
      </c>
      <c r="I873" s="3">
        <f t="shared" si="129"/>
        <v>0.39816713214837296</v>
      </c>
      <c r="J873" s="3">
        <f t="shared" si="130"/>
        <v>0.13776778651340749</v>
      </c>
      <c r="K873" s="3">
        <f t="shared" si="131"/>
        <v>0.13864224636628297</v>
      </c>
      <c r="L873" s="3">
        <f t="shared" si="132"/>
        <v>0.72358996712030954</v>
      </c>
      <c r="M873" s="56">
        <f t="shared" si="133"/>
        <v>0.27641003287969046</v>
      </c>
      <c r="O873" s="2">
        <v>45966</v>
      </c>
      <c r="R873" s="2">
        <v>43184</v>
      </c>
      <c r="S873" s="36"/>
    </row>
    <row r="874" spans="1:19" hidden="1" x14ac:dyDescent="0.25">
      <c r="A874" s="55" t="s">
        <v>14</v>
      </c>
      <c r="B874" s="1">
        <v>45797</v>
      </c>
      <c r="C874" s="36">
        <f t="shared" si="126"/>
        <v>54515.200000000004</v>
      </c>
      <c r="D874" s="2">
        <v>18655</v>
      </c>
      <c r="E874" s="36">
        <f t="shared" si="127"/>
        <v>45987.200000000004</v>
      </c>
      <c r="F874" s="2">
        <v>18018</v>
      </c>
      <c r="G874" s="2">
        <f t="shared" si="125"/>
        <v>137175.40000000002</v>
      </c>
      <c r="H874" s="3">
        <f t="shared" si="128"/>
        <v>0.39741236402445335</v>
      </c>
      <c r="I874" s="3">
        <f t="shared" si="129"/>
        <v>0.33524378277737843</v>
      </c>
      <c r="J874" s="3">
        <f t="shared" si="130"/>
        <v>0.13599377147797634</v>
      </c>
      <c r="K874" s="3">
        <f t="shared" si="131"/>
        <v>0.1313500817201918</v>
      </c>
      <c r="L874" s="3">
        <f t="shared" si="132"/>
        <v>0.73265614680183178</v>
      </c>
      <c r="M874" s="56">
        <f t="shared" si="133"/>
        <v>0.26734385319816811</v>
      </c>
      <c r="O874" s="2">
        <v>32845</v>
      </c>
      <c r="R874" s="2">
        <v>42848</v>
      </c>
      <c r="S874" s="36"/>
    </row>
    <row r="875" spans="1:19" hidden="1" x14ac:dyDescent="0.25">
      <c r="A875" s="55" t="s">
        <v>21</v>
      </c>
      <c r="B875" s="1">
        <v>45798</v>
      </c>
      <c r="C875" s="36">
        <f t="shared" si="126"/>
        <v>27926.400000000001</v>
      </c>
      <c r="D875" s="2">
        <v>23519</v>
      </c>
      <c r="E875" s="36">
        <f t="shared" si="127"/>
        <v>38876.800000000003</v>
      </c>
      <c r="F875" s="2">
        <v>14657</v>
      </c>
      <c r="G875" s="2">
        <f t="shared" si="125"/>
        <v>104979.20000000001</v>
      </c>
      <c r="H875" s="3">
        <f t="shared" si="128"/>
        <v>0.26601841126623177</v>
      </c>
      <c r="I875" s="3">
        <f t="shared" si="129"/>
        <v>0.37032859842711696</v>
      </c>
      <c r="J875" s="3">
        <f t="shared" si="130"/>
        <v>0.22403485642870205</v>
      </c>
      <c r="K875" s="3">
        <f t="shared" si="131"/>
        <v>0.13961813387794914</v>
      </c>
      <c r="L875" s="3">
        <f t="shared" si="132"/>
        <v>0.63634700969334879</v>
      </c>
      <c r="M875" s="56">
        <f t="shared" si="133"/>
        <v>0.36365299030665116</v>
      </c>
      <c r="O875" s="2">
        <v>47269</v>
      </c>
      <c r="R875" s="2">
        <v>42132</v>
      </c>
      <c r="S875" s="36"/>
    </row>
    <row r="876" spans="1:19" x14ac:dyDescent="0.25">
      <c r="A876" s="55" t="s">
        <v>26</v>
      </c>
      <c r="B876" s="1">
        <v>45799</v>
      </c>
      <c r="C876" s="36">
        <f t="shared" si="126"/>
        <v>40632</v>
      </c>
      <c r="D876" s="2">
        <v>16229</v>
      </c>
      <c r="E876" s="36">
        <f t="shared" si="127"/>
        <v>31475.200000000001</v>
      </c>
      <c r="F876" s="2">
        <v>17439</v>
      </c>
      <c r="G876" s="2">
        <f t="shared" si="125"/>
        <v>105775.2</v>
      </c>
      <c r="H876" s="3">
        <f t="shared" si="128"/>
        <v>0.38413541170331045</v>
      </c>
      <c r="I876" s="3">
        <f t="shared" si="129"/>
        <v>0.29756691549626002</v>
      </c>
      <c r="J876" s="3">
        <f t="shared" si="130"/>
        <v>0.15342915919799727</v>
      </c>
      <c r="K876" s="3">
        <f t="shared" si="131"/>
        <v>0.16486851360243232</v>
      </c>
      <c r="L876" s="3">
        <f t="shared" si="132"/>
        <v>0.68170232719957036</v>
      </c>
      <c r="M876" s="56">
        <f t="shared" si="133"/>
        <v>0.31829767280042959</v>
      </c>
      <c r="O876" s="2">
        <v>58688</v>
      </c>
      <c r="R876" s="2">
        <v>48935</v>
      </c>
      <c r="S876" s="36"/>
    </row>
    <row r="877" spans="1:19" hidden="1" x14ac:dyDescent="0.25">
      <c r="A877" s="55" t="s">
        <v>7</v>
      </c>
      <c r="B877" s="1">
        <v>45800</v>
      </c>
      <c r="C877" s="36">
        <f t="shared" si="126"/>
        <v>31535.200000000001</v>
      </c>
      <c r="D877" s="2">
        <v>15104</v>
      </c>
      <c r="E877" s="36">
        <f t="shared" si="127"/>
        <v>36085.599999999999</v>
      </c>
      <c r="F877" s="2">
        <v>13942</v>
      </c>
      <c r="G877" s="2">
        <f t="shared" si="125"/>
        <v>96666.799999999988</v>
      </c>
      <c r="H877" s="3">
        <f t="shared" si="128"/>
        <v>0.32622575692999051</v>
      </c>
      <c r="I877" s="3">
        <f t="shared" si="129"/>
        <v>0.37329879544993733</v>
      </c>
      <c r="J877" s="3">
        <f t="shared" si="130"/>
        <v>0.15624806034750299</v>
      </c>
      <c r="K877" s="3">
        <f t="shared" si="131"/>
        <v>0.14422738727256929</v>
      </c>
      <c r="L877" s="3">
        <f t="shared" si="132"/>
        <v>0.69952455237992783</v>
      </c>
      <c r="M877" s="56">
        <f t="shared" si="133"/>
        <v>0.30047544762007228</v>
      </c>
      <c r="O877" s="2">
        <v>48846</v>
      </c>
      <c r="R877" s="2">
        <v>59802</v>
      </c>
      <c r="S877" s="36"/>
    </row>
    <row r="878" spans="1:19" hidden="1" x14ac:dyDescent="0.25">
      <c r="A878" s="55" t="s">
        <v>30</v>
      </c>
      <c r="B878" s="1">
        <v>45801</v>
      </c>
      <c r="C878" s="36">
        <f t="shared" si="126"/>
        <v>51828.800000000003</v>
      </c>
      <c r="D878" s="2">
        <v>24240</v>
      </c>
      <c r="E878" s="36">
        <f t="shared" si="127"/>
        <v>54229.600000000006</v>
      </c>
      <c r="F878" s="2">
        <v>24757</v>
      </c>
      <c r="G878" s="2">
        <f t="shared" si="125"/>
        <v>155055.40000000002</v>
      </c>
      <c r="H878" s="3">
        <f t="shared" si="128"/>
        <v>0.33425988388666239</v>
      </c>
      <c r="I878" s="3">
        <f t="shared" si="129"/>
        <v>0.34974338204280531</v>
      </c>
      <c r="J878" s="3">
        <f t="shared" si="130"/>
        <v>0.15633122097005325</v>
      </c>
      <c r="K878" s="3">
        <f t="shared" si="131"/>
        <v>0.15966551310047891</v>
      </c>
      <c r="L878" s="3">
        <f t="shared" si="132"/>
        <v>0.6840032659294677</v>
      </c>
      <c r="M878" s="56">
        <f t="shared" si="133"/>
        <v>0.31599673407053214</v>
      </c>
      <c r="O878" s="2">
        <v>29486</v>
      </c>
      <c r="R878" s="2">
        <v>44738</v>
      </c>
      <c r="S878" s="36"/>
    </row>
    <row r="879" spans="1:19" hidden="1" x14ac:dyDescent="0.25">
      <c r="A879" s="55" t="s">
        <v>31</v>
      </c>
      <c r="B879" s="1">
        <v>45802</v>
      </c>
      <c r="C879" s="36">
        <f t="shared" si="126"/>
        <v>32129.600000000002</v>
      </c>
      <c r="D879" s="2">
        <v>28436</v>
      </c>
      <c r="E879" s="36">
        <f t="shared" si="127"/>
        <v>40538.400000000001</v>
      </c>
      <c r="F879" s="2">
        <v>25817</v>
      </c>
      <c r="G879" s="2">
        <f t="shared" si="125"/>
        <v>126921</v>
      </c>
      <c r="H879" s="3">
        <f t="shared" si="128"/>
        <v>0.25314644542668274</v>
      </c>
      <c r="I879" s="3">
        <f t="shared" si="129"/>
        <v>0.31939868106932662</v>
      </c>
      <c r="J879" s="3">
        <f t="shared" si="130"/>
        <v>0.22404487831012992</v>
      </c>
      <c r="K879" s="3">
        <f t="shared" si="131"/>
        <v>0.20340999519386074</v>
      </c>
      <c r="L879" s="3">
        <f t="shared" si="132"/>
        <v>0.5725451264960093</v>
      </c>
      <c r="M879" s="56">
        <f t="shared" si="133"/>
        <v>0.4274548735039907</v>
      </c>
      <c r="O879" s="2">
        <v>27203</v>
      </c>
      <c r="R879" s="2">
        <v>35603</v>
      </c>
      <c r="S879" s="36"/>
    </row>
    <row r="880" spans="1:19" hidden="1" x14ac:dyDescent="0.25">
      <c r="A880" s="55" t="s">
        <v>129</v>
      </c>
      <c r="B880" s="1">
        <v>45803</v>
      </c>
      <c r="C880" s="36">
        <f t="shared" si="126"/>
        <v>43844</v>
      </c>
      <c r="D880" s="2">
        <v>27924</v>
      </c>
      <c r="E880" s="36">
        <f t="shared" si="127"/>
        <v>61468.800000000003</v>
      </c>
      <c r="F880" s="2">
        <v>21578</v>
      </c>
      <c r="G880" s="2">
        <f t="shared" si="125"/>
        <v>154814.79999999999</v>
      </c>
      <c r="H880" s="3">
        <f t="shared" si="128"/>
        <v>0.28320289791415293</v>
      </c>
      <c r="I880" s="3">
        <f t="shared" si="129"/>
        <v>0.39704731072223076</v>
      </c>
      <c r="J880" s="3">
        <f t="shared" si="130"/>
        <v>0.18037035218855046</v>
      </c>
      <c r="K880" s="3">
        <f t="shared" si="131"/>
        <v>0.13937943917506596</v>
      </c>
      <c r="L880" s="3">
        <f t="shared" si="132"/>
        <v>0.68025020863638364</v>
      </c>
      <c r="M880" s="56">
        <f t="shared" si="133"/>
        <v>0.31974979136361642</v>
      </c>
      <c r="O880" s="2">
        <v>36585</v>
      </c>
      <c r="R880" s="2">
        <v>43178</v>
      </c>
      <c r="S880" s="36"/>
    </row>
    <row r="881" spans="1:19" hidden="1" x14ac:dyDescent="0.25">
      <c r="A881" s="55" t="s">
        <v>14</v>
      </c>
      <c r="B881" s="1">
        <v>45804</v>
      </c>
      <c r="C881" s="36">
        <f t="shared" si="126"/>
        <v>26750.400000000001</v>
      </c>
      <c r="D881" s="2">
        <v>19685</v>
      </c>
      <c r="E881" s="36">
        <f t="shared" si="127"/>
        <v>22650.400000000001</v>
      </c>
      <c r="F881" s="2">
        <v>13996</v>
      </c>
      <c r="G881" s="2">
        <f t="shared" si="125"/>
        <v>83081.8</v>
      </c>
      <c r="H881" s="3">
        <f t="shared" si="128"/>
        <v>0.32197665433344008</v>
      </c>
      <c r="I881" s="3">
        <f t="shared" si="129"/>
        <v>0.2726276994480139</v>
      </c>
      <c r="J881" s="3">
        <f t="shared" si="130"/>
        <v>0.23693516510234491</v>
      </c>
      <c r="K881" s="3">
        <f t="shared" si="131"/>
        <v>0.16846048111620113</v>
      </c>
      <c r="L881" s="3">
        <f t="shared" si="132"/>
        <v>0.59460435378145393</v>
      </c>
      <c r="M881" s="56">
        <f t="shared" si="133"/>
        <v>0.40539564621854607</v>
      </c>
      <c r="O881" s="2">
        <v>45054</v>
      </c>
      <c r="R881" s="2">
        <v>41119</v>
      </c>
      <c r="S881" s="36"/>
    </row>
    <row r="882" spans="1:19" hidden="1" x14ac:dyDescent="0.25">
      <c r="A882" s="55" t="s">
        <v>21</v>
      </c>
      <c r="B882" s="1">
        <v>45805</v>
      </c>
      <c r="C882" s="36">
        <f t="shared" si="126"/>
        <v>35271.200000000004</v>
      </c>
      <c r="D882" s="2">
        <v>17815</v>
      </c>
      <c r="E882" s="36">
        <f t="shared" si="127"/>
        <v>18524.8</v>
      </c>
      <c r="F882" s="2">
        <v>10183</v>
      </c>
      <c r="G882" s="2">
        <f t="shared" si="125"/>
        <v>81794</v>
      </c>
      <c r="H882" s="3">
        <f t="shared" si="128"/>
        <v>0.43121989387974674</v>
      </c>
      <c r="I882" s="3">
        <f t="shared" si="129"/>
        <v>0.22648115998728513</v>
      </c>
      <c r="J882" s="3">
        <f t="shared" si="130"/>
        <v>0.21780326185294765</v>
      </c>
      <c r="K882" s="3">
        <f t="shared" si="131"/>
        <v>0.12449568428002054</v>
      </c>
      <c r="L882" s="3">
        <f t="shared" si="132"/>
        <v>0.65770105386703182</v>
      </c>
      <c r="M882" s="56">
        <f t="shared" si="133"/>
        <v>0.34229894613296818</v>
      </c>
      <c r="O882" s="2">
        <v>52438</v>
      </c>
      <c r="R882" s="2">
        <v>53767</v>
      </c>
      <c r="S882" s="36"/>
    </row>
    <row r="883" spans="1:19" x14ac:dyDescent="0.25">
      <c r="A883" s="55" t="s">
        <v>26</v>
      </c>
      <c r="B883" s="1">
        <v>45806</v>
      </c>
      <c r="C883" s="36">
        <f t="shared" si="126"/>
        <v>26294.400000000001</v>
      </c>
      <c r="D883" s="2">
        <v>13497</v>
      </c>
      <c r="E883" s="36">
        <f t="shared" si="127"/>
        <v>17824</v>
      </c>
      <c r="F883" s="2">
        <v>15486</v>
      </c>
      <c r="G883" s="2">
        <f t="shared" si="125"/>
        <v>73101.399999999994</v>
      </c>
      <c r="H883" s="3">
        <f t="shared" si="128"/>
        <v>0.35969762549007273</v>
      </c>
      <c r="I883" s="3">
        <f t="shared" si="129"/>
        <v>0.24382569964460327</v>
      </c>
      <c r="J883" s="3">
        <f t="shared" si="130"/>
        <v>0.18463394681907599</v>
      </c>
      <c r="K883" s="3">
        <f t="shared" si="131"/>
        <v>0.2118427280462481</v>
      </c>
      <c r="L883" s="3">
        <f t="shared" si="132"/>
        <v>0.60352332513467599</v>
      </c>
      <c r="M883" s="56">
        <f t="shared" si="133"/>
        <v>0.39647667486532406</v>
      </c>
      <c r="O883" s="2">
        <v>43076</v>
      </c>
      <c r="R883" s="2">
        <v>63099</v>
      </c>
      <c r="S883" s="36"/>
    </row>
    <row r="884" spans="1:19" hidden="1" x14ac:dyDescent="0.25">
      <c r="A884" s="55" t="s">
        <v>7</v>
      </c>
      <c r="B884" s="1">
        <v>45807</v>
      </c>
      <c r="C884" s="36">
        <f t="shared" si="126"/>
        <v>32564</v>
      </c>
      <c r="D884" s="2">
        <v>17378</v>
      </c>
      <c r="E884" s="36">
        <f t="shared" si="127"/>
        <v>30708</v>
      </c>
      <c r="F884" s="2">
        <v>19126</v>
      </c>
      <c r="G884" s="2">
        <f t="shared" si="125"/>
        <v>99776</v>
      </c>
      <c r="H884" s="3">
        <f t="shared" si="128"/>
        <v>0.32637107119948683</v>
      </c>
      <c r="I884" s="3">
        <f t="shared" si="129"/>
        <v>0.30776940346375881</v>
      </c>
      <c r="J884" s="3">
        <f t="shared" si="130"/>
        <v>0.17417014111610007</v>
      </c>
      <c r="K884" s="3">
        <f t="shared" si="131"/>
        <v>0.19168938422065426</v>
      </c>
      <c r="L884" s="3">
        <f t="shared" si="132"/>
        <v>0.63414047466324563</v>
      </c>
      <c r="M884" s="56">
        <f t="shared" si="133"/>
        <v>0.36585952533675431</v>
      </c>
      <c r="O884" s="2">
        <v>42122</v>
      </c>
      <c r="R884" s="2">
        <v>70986</v>
      </c>
      <c r="S884" s="36"/>
    </row>
    <row r="885" spans="1:19" hidden="1" x14ac:dyDescent="0.25">
      <c r="A885" s="55" t="s">
        <v>30</v>
      </c>
      <c r="B885" s="1">
        <v>45808</v>
      </c>
      <c r="C885" s="36">
        <f t="shared" si="126"/>
        <v>40888.800000000003</v>
      </c>
      <c r="D885" s="2">
        <v>24583</v>
      </c>
      <c r="E885" s="36">
        <f t="shared" si="127"/>
        <v>54948</v>
      </c>
      <c r="F885" s="2">
        <v>24670</v>
      </c>
      <c r="G885" s="2">
        <f t="shared" si="125"/>
        <v>145089.79999999999</v>
      </c>
      <c r="H885" s="3">
        <f t="shared" si="128"/>
        <v>0.28181719183567699</v>
      </c>
      <c r="I885" s="3">
        <f t="shared" si="129"/>
        <v>0.37871718067017807</v>
      </c>
      <c r="J885" s="3">
        <f t="shared" si="130"/>
        <v>0.16943299942518358</v>
      </c>
      <c r="K885" s="3">
        <f t="shared" si="131"/>
        <v>0.17003262806896144</v>
      </c>
      <c r="L885" s="3">
        <f t="shared" si="132"/>
        <v>0.66053437250585512</v>
      </c>
      <c r="M885" s="56">
        <f t="shared" si="133"/>
        <v>0.33946562749414505</v>
      </c>
      <c r="O885" s="2">
        <v>56705</v>
      </c>
      <c r="R885" s="2">
        <v>42606</v>
      </c>
      <c r="S885" s="36"/>
    </row>
    <row r="886" spans="1:19" hidden="1" x14ac:dyDescent="0.25">
      <c r="A886" s="55" t="s">
        <v>31</v>
      </c>
      <c r="B886" s="1">
        <v>45809</v>
      </c>
      <c r="C886" s="36">
        <f t="shared" si="126"/>
        <v>40784</v>
      </c>
      <c r="D886" s="2">
        <v>23180</v>
      </c>
      <c r="E886" s="36">
        <f t="shared" si="127"/>
        <v>45224.800000000003</v>
      </c>
      <c r="F886" s="2">
        <v>28645</v>
      </c>
      <c r="G886" s="2">
        <f t="shared" si="125"/>
        <v>137833.79999999999</v>
      </c>
      <c r="H886" s="3">
        <f t="shared" si="128"/>
        <v>0.29589258948095465</v>
      </c>
      <c r="I886" s="3">
        <f t="shared" si="129"/>
        <v>0.32811110192129944</v>
      </c>
      <c r="J886" s="3">
        <f t="shared" si="130"/>
        <v>0.16817355394685485</v>
      </c>
      <c r="K886" s="3">
        <f t="shared" si="131"/>
        <v>0.20782275465089117</v>
      </c>
      <c r="L886" s="3">
        <f t="shared" si="132"/>
        <v>0.62400369140225409</v>
      </c>
      <c r="M886" s="56">
        <f t="shared" si="133"/>
        <v>0.37599630859774602</v>
      </c>
      <c r="O886" s="2">
        <v>43018</v>
      </c>
      <c r="R886" s="2">
        <v>28649</v>
      </c>
      <c r="S886" s="36"/>
    </row>
    <row r="887" spans="1:19" hidden="1" x14ac:dyDescent="0.25">
      <c r="A887" s="55" t="s">
        <v>129</v>
      </c>
      <c r="B887" s="1">
        <v>45810</v>
      </c>
      <c r="C887" s="36">
        <f t="shared" si="126"/>
        <v>39532</v>
      </c>
      <c r="D887" s="2">
        <v>14777</v>
      </c>
      <c r="E887" s="36">
        <f t="shared" si="127"/>
        <v>54782.400000000001</v>
      </c>
      <c r="F887" s="2">
        <v>17558</v>
      </c>
      <c r="G887" s="2">
        <f t="shared" si="125"/>
        <v>126649.4</v>
      </c>
      <c r="H887" s="3">
        <f t="shared" si="128"/>
        <v>0.31213728608268182</v>
      </c>
      <c r="I887" s="3">
        <f t="shared" si="129"/>
        <v>0.43255159519113395</v>
      </c>
      <c r="J887" s="3">
        <f t="shared" si="130"/>
        <v>0.11667643115561543</v>
      </c>
      <c r="K887" s="3">
        <f t="shared" si="131"/>
        <v>0.13863468757056885</v>
      </c>
      <c r="L887" s="3">
        <f t="shared" si="132"/>
        <v>0.74468888127381572</v>
      </c>
      <c r="M887" s="56">
        <f t="shared" si="133"/>
        <v>0.25531111872618428</v>
      </c>
      <c r="O887" s="2">
        <v>35770</v>
      </c>
      <c r="R887" s="2">
        <v>39309</v>
      </c>
      <c r="S887" s="36"/>
    </row>
    <row r="888" spans="1:19" hidden="1" x14ac:dyDescent="0.25">
      <c r="A888" s="55" t="s">
        <v>14</v>
      </c>
      <c r="B888" s="1">
        <v>45811</v>
      </c>
      <c r="C888" s="36">
        <f t="shared" si="126"/>
        <v>51828</v>
      </c>
      <c r="D888" s="2">
        <v>21898</v>
      </c>
      <c r="E888" s="36">
        <f t="shared" si="127"/>
        <v>32620</v>
      </c>
      <c r="F888" s="2">
        <v>14559</v>
      </c>
      <c r="G888" s="2">
        <f t="shared" si="125"/>
        <v>120905</v>
      </c>
      <c r="H888" s="3">
        <f t="shared" si="128"/>
        <v>0.4286671353542037</v>
      </c>
      <c r="I888" s="3">
        <f t="shared" si="129"/>
        <v>0.26979860220834539</v>
      </c>
      <c r="J888" s="3">
        <f t="shared" si="130"/>
        <v>0.18111740622803027</v>
      </c>
      <c r="K888" s="3">
        <f t="shared" si="131"/>
        <v>0.12041685620942062</v>
      </c>
      <c r="L888" s="3">
        <f t="shared" si="132"/>
        <v>0.69846573756254915</v>
      </c>
      <c r="M888" s="56">
        <f t="shared" si="133"/>
        <v>0.30153426243745091</v>
      </c>
      <c r="O888" s="2">
        <v>28920</v>
      </c>
      <c r="R888" s="2">
        <v>23986</v>
      </c>
      <c r="S888" s="36"/>
    </row>
    <row r="889" spans="1:19" hidden="1" x14ac:dyDescent="0.25">
      <c r="A889" s="55" t="s">
        <v>21</v>
      </c>
      <c r="B889" s="1">
        <v>45812</v>
      </c>
      <c r="C889" s="36">
        <f t="shared" si="126"/>
        <v>31524.800000000003</v>
      </c>
      <c r="D889" s="2">
        <v>14796</v>
      </c>
      <c r="E889" s="36">
        <f t="shared" si="127"/>
        <v>23689.600000000002</v>
      </c>
      <c r="F889" s="2">
        <v>14689</v>
      </c>
      <c r="G889" s="2">
        <f t="shared" si="125"/>
        <v>84699.400000000009</v>
      </c>
      <c r="H889" s="3">
        <f t="shared" si="128"/>
        <v>0.37219626113053927</v>
      </c>
      <c r="I889" s="3">
        <f t="shared" si="129"/>
        <v>0.27969029296547554</v>
      </c>
      <c r="J889" s="3">
        <f t="shared" si="130"/>
        <v>0.17468836851264588</v>
      </c>
      <c r="K889" s="3">
        <f t="shared" si="131"/>
        <v>0.17342507739133925</v>
      </c>
      <c r="L889" s="3">
        <f t="shared" si="132"/>
        <v>0.65188655409601493</v>
      </c>
      <c r="M889" s="56">
        <f t="shared" si="133"/>
        <v>0.34811344590398513</v>
      </c>
      <c r="O889" s="2">
        <v>63438</v>
      </c>
      <c r="R889" s="2">
        <v>54625</v>
      </c>
      <c r="S889" s="36"/>
    </row>
    <row r="890" spans="1:19" x14ac:dyDescent="0.25">
      <c r="A890" s="55" t="s">
        <v>26</v>
      </c>
      <c r="B890" s="1">
        <v>45813</v>
      </c>
      <c r="C890" s="36">
        <f t="shared" si="126"/>
        <v>22661.600000000002</v>
      </c>
      <c r="D890" s="2">
        <v>16801</v>
      </c>
      <c r="E890" s="36">
        <f t="shared" si="127"/>
        <v>31670.400000000001</v>
      </c>
      <c r="F890" s="2">
        <v>10996</v>
      </c>
      <c r="G890" s="2">
        <f t="shared" si="125"/>
        <v>82129</v>
      </c>
      <c r="H890" s="3">
        <f t="shared" si="128"/>
        <v>0.27592689549367461</v>
      </c>
      <c r="I890" s="3">
        <f t="shared" si="129"/>
        <v>0.38561774768961027</v>
      </c>
      <c r="J890" s="3">
        <f t="shared" si="130"/>
        <v>0.20456842284698462</v>
      </c>
      <c r="K890" s="3">
        <f t="shared" si="131"/>
        <v>0.13388693396973056</v>
      </c>
      <c r="L890" s="3">
        <f t="shared" si="132"/>
        <v>0.66154464318328488</v>
      </c>
      <c r="M890" s="56">
        <f t="shared" si="133"/>
        <v>0.33845535681671518</v>
      </c>
      <c r="O890" s="2">
        <v>44486</v>
      </c>
      <c r="R890" s="2">
        <v>54589</v>
      </c>
      <c r="S890" s="36"/>
    </row>
    <row r="891" spans="1:19" hidden="1" x14ac:dyDescent="0.25">
      <c r="A891" s="55" t="s">
        <v>7</v>
      </c>
      <c r="B891" s="1">
        <v>45814</v>
      </c>
      <c r="C891" s="36">
        <f t="shared" si="126"/>
        <v>28599.200000000001</v>
      </c>
      <c r="D891" s="2">
        <v>13960</v>
      </c>
      <c r="E891" s="36">
        <f t="shared" si="127"/>
        <v>27372.800000000003</v>
      </c>
      <c r="F891" s="2">
        <v>16526</v>
      </c>
      <c r="G891" s="2">
        <f t="shared" si="125"/>
        <v>86458</v>
      </c>
      <c r="H891" s="3">
        <f t="shared" si="128"/>
        <v>0.33078720303499964</v>
      </c>
      <c r="I891" s="3">
        <f t="shared" si="129"/>
        <v>0.31660228087626363</v>
      </c>
      <c r="J891" s="3">
        <f t="shared" si="130"/>
        <v>0.16146568275925882</v>
      </c>
      <c r="K891" s="3">
        <f t="shared" si="131"/>
        <v>0.1911448333294779</v>
      </c>
      <c r="L891" s="3">
        <f t="shared" si="132"/>
        <v>0.64738948391126327</v>
      </c>
      <c r="M891" s="56">
        <f t="shared" si="133"/>
        <v>0.35261051608873673</v>
      </c>
      <c r="O891" s="2">
        <v>50843</v>
      </c>
      <c r="R891" s="2">
        <v>55802</v>
      </c>
      <c r="S891" s="36"/>
    </row>
    <row r="892" spans="1:19" hidden="1" x14ac:dyDescent="0.25">
      <c r="A892" s="55" t="s">
        <v>30</v>
      </c>
      <c r="B892" s="1">
        <v>45815</v>
      </c>
      <c r="C892" s="36">
        <f t="shared" si="126"/>
        <v>50736</v>
      </c>
      <c r="D892" s="2">
        <v>22800</v>
      </c>
      <c r="E892" s="36">
        <f t="shared" si="127"/>
        <v>50746.400000000001</v>
      </c>
      <c r="F892" s="2">
        <v>26486</v>
      </c>
      <c r="G892" s="2">
        <f t="shared" si="125"/>
        <v>150768.4</v>
      </c>
      <c r="H892" s="3">
        <f t="shared" si="128"/>
        <v>0.33651613998689384</v>
      </c>
      <c r="I892" s="3">
        <f t="shared" si="129"/>
        <v>0.33658511995882429</v>
      </c>
      <c r="J892" s="3">
        <f t="shared" si="130"/>
        <v>0.15122532307831085</v>
      </c>
      <c r="K892" s="3">
        <f t="shared" si="131"/>
        <v>0.17567341697597111</v>
      </c>
      <c r="L892" s="3">
        <f t="shared" si="132"/>
        <v>0.67310125994571801</v>
      </c>
      <c r="M892" s="56">
        <f t="shared" si="133"/>
        <v>0.32689874005428193</v>
      </c>
      <c r="O892" s="2">
        <v>58815</v>
      </c>
      <c r="R892" s="2">
        <v>40395</v>
      </c>
      <c r="S892" s="36"/>
    </row>
    <row r="893" spans="1:19" hidden="1" x14ac:dyDescent="0.25">
      <c r="A893" s="55" t="s">
        <v>31</v>
      </c>
      <c r="B893" s="1">
        <v>45816</v>
      </c>
      <c r="C893" s="36">
        <f t="shared" si="126"/>
        <v>28419.200000000001</v>
      </c>
      <c r="D893" s="2">
        <v>24946</v>
      </c>
      <c r="E893" s="36">
        <f t="shared" si="127"/>
        <v>60005.600000000006</v>
      </c>
      <c r="F893" s="2">
        <v>26613</v>
      </c>
      <c r="G893" s="2">
        <f t="shared" si="125"/>
        <v>139983.79999999999</v>
      </c>
      <c r="H893" s="3">
        <f t="shared" si="128"/>
        <v>0.20301777777142785</v>
      </c>
      <c r="I893" s="3">
        <f t="shared" si="129"/>
        <v>0.42866103077641848</v>
      </c>
      <c r="J893" s="3">
        <f t="shared" si="130"/>
        <v>0.17820633530451382</v>
      </c>
      <c r="K893" s="3">
        <f t="shared" si="131"/>
        <v>0.19011485614763995</v>
      </c>
      <c r="L893" s="3">
        <f t="shared" si="132"/>
        <v>0.6316788085478463</v>
      </c>
      <c r="M893" s="56">
        <f t="shared" si="133"/>
        <v>0.36832119145215381</v>
      </c>
      <c r="O893" s="2">
        <v>40395</v>
      </c>
      <c r="R893" s="2">
        <v>32506</v>
      </c>
      <c r="S893" s="36"/>
    </row>
    <row r="894" spans="1:19" hidden="1" x14ac:dyDescent="0.25">
      <c r="A894" s="55" t="s">
        <v>129</v>
      </c>
      <c r="B894" s="1">
        <v>45817</v>
      </c>
      <c r="C894" s="36">
        <f t="shared" si="126"/>
        <v>26208.800000000003</v>
      </c>
      <c r="D894" s="2">
        <v>22291</v>
      </c>
      <c r="E894" s="36">
        <f t="shared" si="127"/>
        <v>45163.200000000004</v>
      </c>
      <c r="F894" s="2">
        <v>19800</v>
      </c>
      <c r="G894" s="2">
        <f t="shared" si="125"/>
        <v>113463</v>
      </c>
      <c r="H894" s="3">
        <f t="shared" si="128"/>
        <v>0.2309898380970008</v>
      </c>
      <c r="I894" s="3">
        <f t="shared" si="129"/>
        <v>0.39804341503397589</v>
      </c>
      <c r="J894" s="3">
        <f t="shared" si="130"/>
        <v>0.19646052016957069</v>
      </c>
      <c r="K894" s="3">
        <f t="shared" si="131"/>
        <v>0.17450622669945268</v>
      </c>
      <c r="L894" s="3">
        <f t="shared" si="132"/>
        <v>0.62903325313097658</v>
      </c>
      <c r="M894" s="56">
        <f t="shared" si="133"/>
        <v>0.37096674686902337</v>
      </c>
      <c r="O894" s="2">
        <v>41553</v>
      </c>
      <c r="R894" s="2">
        <v>43681</v>
      </c>
      <c r="S894" s="36"/>
    </row>
    <row r="895" spans="1:19" hidden="1" x14ac:dyDescent="0.25">
      <c r="A895" s="55" t="s">
        <v>14</v>
      </c>
      <c r="B895" s="1">
        <v>45818</v>
      </c>
      <c r="C895" s="36">
        <f t="shared" si="126"/>
        <v>46729.600000000006</v>
      </c>
      <c r="D895" s="2">
        <v>19684</v>
      </c>
      <c r="E895" s="36">
        <f t="shared" si="127"/>
        <v>23120.800000000003</v>
      </c>
      <c r="F895" s="2">
        <v>14629</v>
      </c>
      <c r="G895" s="2">
        <f t="shared" si="125"/>
        <v>104163.40000000001</v>
      </c>
      <c r="H895" s="3">
        <f t="shared" si="128"/>
        <v>0.44861822866765105</v>
      </c>
      <c r="I895" s="3">
        <f t="shared" si="129"/>
        <v>0.22196664087385781</v>
      </c>
      <c r="J895" s="3">
        <f t="shared" si="130"/>
        <v>0.18897232617214874</v>
      </c>
      <c r="K895" s="3">
        <f t="shared" si="131"/>
        <v>0.1404428042863424</v>
      </c>
      <c r="L895" s="3">
        <f t="shared" si="132"/>
        <v>0.67058486954150887</v>
      </c>
      <c r="M895" s="56">
        <f t="shared" si="133"/>
        <v>0.32941513045849113</v>
      </c>
      <c r="O895" s="2">
        <v>39700</v>
      </c>
      <c r="R895" s="2">
        <v>37766</v>
      </c>
      <c r="S895" s="36"/>
    </row>
    <row r="896" spans="1:19" hidden="1" x14ac:dyDescent="0.25">
      <c r="A896" s="55" t="s">
        <v>21</v>
      </c>
      <c r="B896" s="1">
        <v>45819</v>
      </c>
      <c r="C896" s="36">
        <f t="shared" si="126"/>
        <v>35137.599999999999</v>
      </c>
      <c r="D896" s="2">
        <v>12218</v>
      </c>
      <c r="E896" s="36">
        <f t="shared" si="127"/>
        <v>24552.800000000003</v>
      </c>
      <c r="F896" s="2">
        <v>16714</v>
      </c>
      <c r="G896" s="2">
        <f t="shared" si="125"/>
        <v>88622.399999999994</v>
      </c>
      <c r="H896" s="3">
        <f t="shared" si="128"/>
        <v>0.39648666702774921</v>
      </c>
      <c r="I896" s="3">
        <f t="shared" si="129"/>
        <v>0.27704959468486529</v>
      </c>
      <c r="J896" s="3">
        <f t="shared" si="130"/>
        <v>0.13786582173355721</v>
      </c>
      <c r="K896" s="3">
        <f t="shared" si="131"/>
        <v>0.18859791655382838</v>
      </c>
      <c r="L896" s="3">
        <f t="shared" si="132"/>
        <v>0.67353626171261449</v>
      </c>
      <c r="M896" s="56">
        <f t="shared" si="133"/>
        <v>0.32646373828738562</v>
      </c>
      <c r="O896" s="2">
        <v>62142</v>
      </c>
      <c r="R896" s="2">
        <v>66568</v>
      </c>
      <c r="S896" s="36"/>
    </row>
    <row r="897" spans="1:19" x14ac:dyDescent="0.25">
      <c r="A897" s="55" t="s">
        <v>26</v>
      </c>
      <c r="B897" s="1">
        <v>45820</v>
      </c>
      <c r="C897" s="36">
        <f t="shared" si="126"/>
        <v>28065.600000000002</v>
      </c>
      <c r="D897" s="2">
        <v>11221</v>
      </c>
      <c r="E897" s="36">
        <f t="shared" si="127"/>
        <v>27258.400000000001</v>
      </c>
      <c r="F897" s="2">
        <v>12457</v>
      </c>
      <c r="G897" s="2">
        <f t="shared" si="125"/>
        <v>79002</v>
      </c>
      <c r="H897" s="3">
        <f t="shared" si="128"/>
        <v>0.3552517657780816</v>
      </c>
      <c r="I897" s="3">
        <f t="shared" si="129"/>
        <v>0.3450343029290398</v>
      </c>
      <c r="J897" s="3">
        <f t="shared" si="130"/>
        <v>0.14203437887648415</v>
      </c>
      <c r="K897" s="3">
        <f t="shared" si="131"/>
        <v>0.15767955241639453</v>
      </c>
      <c r="L897" s="3">
        <f t="shared" si="132"/>
        <v>0.70028606870712129</v>
      </c>
      <c r="M897" s="56">
        <f t="shared" si="133"/>
        <v>0.29971393129287865</v>
      </c>
      <c r="O897" s="2">
        <v>63799</v>
      </c>
      <c r="R897" s="2">
        <v>52282</v>
      </c>
      <c r="S897" s="36"/>
    </row>
    <row r="898" spans="1:19" hidden="1" x14ac:dyDescent="0.25">
      <c r="A898" s="55" t="s">
        <v>7</v>
      </c>
      <c r="B898" s="1">
        <v>45821</v>
      </c>
      <c r="C898" s="36">
        <f t="shared" si="126"/>
        <v>24404</v>
      </c>
      <c r="D898" s="2">
        <v>15393</v>
      </c>
      <c r="E898" s="36">
        <f t="shared" si="127"/>
        <v>35322.400000000001</v>
      </c>
      <c r="F898" s="2">
        <v>13062</v>
      </c>
      <c r="G898" s="2">
        <f t="shared" si="125"/>
        <v>88181.4</v>
      </c>
      <c r="H898" s="3">
        <f t="shared" si="128"/>
        <v>0.27674770416437028</v>
      </c>
      <c r="I898" s="3">
        <f t="shared" si="129"/>
        <v>0.40056519855661177</v>
      </c>
      <c r="J898" s="3">
        <f t="shared" si="130"/>
        <v>0.1745606216276902</v>
      </c>
      <c r="K898" s="3">
        <f t="shared" si="131"/>
        <v>0.14812647565132783</v>
      </c>
      <c r="L898" s="3">
        <f t="shared" si="132"/>
        <v>0.67731290272098199</v>
      </c>
      <c r="M898" s="56">
        <f t="shared" si="133"/>
        <v>0.32268709727901806</v>
      </c>
      <c r="O898" s="2">
        <v>60473</v>
      </c>
      <c r="R898" s="2">
        <v>73991</v>
      </c>
      <c r="S898" s="36"/>
    </row>
    <row r="899" spans="1:19" hidden="1" x14ac:dyDescent="0.25">
      <c r="A899" s="55" t="s">
        <v>30</v>
      </c>
      <c r="B899" s="1">
        <v>45822</v>
      </c>
      <c r="C899" s="36">
        <f t="shared" si="126"/>
        <v>42617.600000000006</v>
      </c>
      <c r="D899" s="2">
        <v>26071</v>
      </c>
      <c r="E899" s="36">
        <f t="shared" si="127"/>
        <v>61476</v>
      </c>
      <c r="F899" s="2">
        <v>23901</v>
      </c>
      <c r="G899" s="2">
        <f t="shared" si="125"/>
        <v>154065.60000000001</v>
      </c>
      <c r="H899" s="3">
        <f t="shared" si="128"/>
        <v>0.27661982947523656</v>
      </c>
      <c r="I899" s="3">
        <f t="shared" si="129"/>
        <v>0.39902483098108854</v>
      </c>
      <c r="J899" s="3">
        <f t="shared" si="130"/>
        <v>0.1692201244145351</v>
      </c>
      <c r="K899" s="3">
        <f t="shared" si="131"/>
        <v>0.1551352151291398</v>
      </c>
      <c r="L899" s="3">
        <f t="shared" si="132"/>
        <v>0.6756446604563251</v>
      </c>
      <c r="M899" s="56">
        <f t="shared" si="133"/>
        <v>0.3243553395436749</v>
      </c>
      <c r="O899" s="2">
        <v>68144</v>
      </c>
      <c r="R899" s="2">
        <v>57484</v>
      </c>
      <c r="S899" s="36"/>
    </row>
    <row r="900" spans="1:19" hidden="1" x14ac:dyDescent="0.25">
      <c r="A900" s="55" t="s">
        <v>31</v>
      </c>
      <c r="B900" s="1">
        <v>45823</v>
      </c>
      <c r="C900" s="36">
        <f t="shared" si="126"/>
        <v>37054.400000000001</v>
      </c>
      <c r="D900" s="2">
        <v>25631</v>
      </c>
      <c r="E900" s="36">
        <f t="shared" si="127"/>
        <v>46820.800000000003</v>
      </c>
      <c r="F900" s="2">
        <v>22937</v>
      </c>
      <c r="G900" s="2">
        <f t="shared" ref="G900:G946" si="134">SUM(C900:F900)</f>
        <v>132443.20000000001</v>
      </c>
      <c r="H900" s="3">
        <f t="shared" si="128"/>
        <v>0.27977578312816359</v>
      </c>
      <c r="I900" s="3">
        <f t="shared" si="129"/>
        <v>0.35351607330538676</v>
      </c>
      <c r="J900" s="3">
        <f t="shared" si="130"/>
        <v>0.19352446935743017</v>
      </c>
      <c r="K900" s="3">
        <f t="shared" si="131"/>
        <v>0.17318367420901939</v>
      </c>
      <c r="L900" s="3">
        <f t="shared" si="132"/>
        <v>0.63329185643355046</v>
      </c>
      <c r="M900" s="56">
        <f t="shared" si="133"/>
        <v>0.3667081435664496</v>
      </c>
      <c r="O900" s="2">
        <v>34908</v>
      </c>
      <c r="R900" s="2">
        <v>48596</v>
      </c>
      <c r="S900" s="36"/>
    </row>
    <row r="901" spans="1:19" hidden="1" x14ac:dyDescent="0.25">
      <c r="A901" s="55" t="s">
        <v>129</v>
      </c>
      <c r="B901" s="1">
        <v>45824</v>
      </c>
      <c r="C901" s="36">
        <f t="shared" ref="C901:C946" si="135">O926*$P$27</f>
        <v>40068</v>
      </c>
      <c r="D901" s="2">
        <v>18498</v>
      </c>
      <c r="E901" s="36">
        <f t="shared" ref="E901:E946" si="136">R926*$P$27</f>
        <v>43303.200000000004</v>
      </c>
      <c r="F901" s="2">
        <v>19511</v>
      </c>
      <c r="G901" s="2">
        <f t="shared" si="134"/>
        <v>121380.20000000001</v>
      </c>
      <c r="H901" s="3">
        <f t="shared" ref="H901:H946" si="137">IFERROR(C901/G901,0)</f>
        <v>0.33010326231131598</v>
      </c>
      <c r="I901" s="3">
        <f t="shared" ref="I901:I946" si="138">IFERROR(E901/G901,0)</f>
        <v>0.35675670331734499</v>
      </c>
      <c r="J901" s="3">
        <f t="shared" ref="J901:J944" si="139">IFERROR(D901/G901,0)</f>
        <v>0.15239717845249884</v>
      </c>
      <c r="K901" s="3">
        <f t="shared" ref="K901:K944" si="140">IFERROR(F901/G901,0)</f>
        <v>0.16074285591884013</v>
      </c>
      <c r="L901" s="3">
        <f t="shared" ref="L901:L946" si="141">IFERROR((C901+E901)/G901, 0)</f>
        <v>0.68685996562866103</v>
      </c>
      <c r="M901" s="56">
        <f t="shared" ref="M901:M944" si="142">IFERROR((D901+F901)/G901, 0)</f>
        <v>0.31314003437133897</v>
      </c>
      <c r="O901" s="2">
        <v>50790</v>
      </c>
      <c r="R901" s="2">
        <v>39344</v>
      </c>
      <c r="S901" s="36"/>
    </row>
    <row r="902" spans="1:19" hidden="1" x14ac:dyDescent="0.25">
      <c r="A902" s="55" t="s">
        <v>14</v>
      </c>
      <c r="B902" s="1">
        <v>45825</v>
      </c>
      <c r="C902" s="36">
        <f t="shared" si="135"/>
        <v>45249.600000000006</v>
      </c>
      <c r="D902" s="2">
        <v>17170</v>
      </c>
      <c r="E902" s="36">
        <f t="shared" si="136"/>
        <v>32576</v>
      </c>
      <c r="F902" s="2">
        <v>18362</v>
      </c>
      <c r="G902" s="2">
        <f t="shared" si="134"/>
        <v>113357.6</v>
      </c>
      <c r="H902" s="3">
        <f t="shared" si="137"/>
        <v>0.39917570590767626</v>
      </c>
      <c r="I902" s="3">
        <f t="shared" si="138"/>
        <v>0.28737376232383183</v>
      </c>
      <c r="J902" s="3">
        <f t="shared" si="139"/>
        <v>0.15146756812070827</v>
      </c>
      <c r="K902" s="3">
        <f t="shared" si="140"/>
        <v>0.16198296364778364</v>
      </c>
      <c r="L902" s="3">
        <f t="shared" si="141"/>
        <v>0.68654946823150809</v>
      </c>
      <c r="M902" s="56">
        <f t="shared" si="142"/>
        <v>0.31345053176849191</v>
      </c>
      <c r="O902" s="2">
        <v>39419</v>
      </c>
      <c r="R902" s="2">
        <v>45107</v>
      </c>
      <c r="S902" s="36"/>
    </row>
    <row r="903" spans="1:19" hidden="1" x14ac:dyDescent="0.25">
      <c r="A903" s="55" t="s">
        <v>21</v>
      </c>
      <c r="B903" s="1">
        <v>45826</v>
      </c>
      <c r="C903" s="36">
        <f t="shared" si="135"/>
        <v>28528.800000000003</v>
      </c>
      <c r="D903" s="2">
        <v>19674</v>
      </c>
      <c r="E903" s="36">
        <f t="shared" si="136"/>
        <v>45414.400000000001</v>
      </c>
      <c r="F903" s="2">
        <v>16831</v>
      </c>
      <c r="G903" s="2">
        <f t="shared" si="134"/>
        <v>110448.20000000001</v>
      </c>
      <c r="H903" s="3">
        <f t="shared" si="137"/>
        <v>0.25830027107730141</v>
      </c>
      <c r="I903" s="3">
        <f t="shared" si="138"/>
        <v>0.41118279881428577</v>
      </c>
      <c r="J903" s="3">
        <f t="shared" si="139"/>
        <v>0.17812875175874299</v>
      </c>
      <c r="K903" s="3">
        <f t="shared" si="140"/>
        <v>0.15238817834966978</v>
      </c>
      <c r="L903" s="3">
        <f t="shared" si="141"/>
        <v>0.66948306989158723</v>
      </c>
      <c r="M903" s="56">
        <f t="shared" si="142"/>
        <v>0.33051693010841277</v>
      </c>
      <c r="O903" s="2">
        <v>64786</v>
      </c>
      <c r="R903" s="2">
        <v>67787</v>
      </c>
      <c r="S903" s="36"/>
    </row>
    <row r="904" spans="1:19" x14ac:dyDescent="0.25">
      <c r="A904" s="55" t="s">
        <v>26</v>
      </c>
      <c r="B904" s="1">
        <v>45827</v>
      </c>
      <c r="C904" s="36">
        <f t="shared" si="135"/>
        <v>26488</v>
      </c>
      <c r="D904" s="2">
        <v>16888</v>
      </c>
      <c r="E904" s="36">
        <f t="shared" si="136"/>
        <v>36946.400000000001</v>
      </c>
      <c r="F904" s="2">
        <v>13323</v>
      </c>
      <c r="G904" s="2">
        <f t="shared" si="134"/>
        <v>93645.4</v>
      </c>
      <c r="H904" s="3">
        <f t="shared" si="137"/>
        <v>0.28285425658921848</v>
      </c>
      <c r="I904" s="3">
        <f t="shared" si="138"/>
        <v>0.39453512932829593</v>
      </c>
      <c r="J904" s="3">
        <f t="shared" si="139"/>
        <v>0.18033987787974637</v>
      </c>
      <c r="K904" s="3">
        <f t="shared" si="140"/>
        <v>0.14227073620273928</v>
      </c>
      <c r="L904" s="3">
        <f t="shared" si="141"/>
        <v>0.67738938591751441</v>
      </c>
      <c r="M904" s="56">
        <f t="shared" si="142"/>
        <v>0.32261061408248565</v>
      </c>
      <c r="O904" s="2">
        <v>40162</v>
      </c>
      <c r="R904" s="2">
        <v>50673</v>
      </c>
      <c r="S904" s="36"/>
    </row>
    <row r="905" spans="1:19" hidden="1" x14ac:dyDescent="0.25">
      <c r="A905" s="55" t="s">
        <v>7</v>
      </c>
      <c r="B905" s="1">
        <v>45828</v>
      </c>
      <c r="C905" s="36">
        <f t="shared" si="135"/>
        <v>32996.800000000003</v>
      </c>
      <c r="D905" s="2">
        <v>13534</v>
      </c>
      <c r="E905" s="36">
        <f t="shared" si="136"/>
        <v>40035.200000000004</v>
      </c>
      <c r="F905" s="2">
        <v>15706</v>
      </c>
      <c r="G905" s="2">
        <f t="shared" si="134"/>
        <v>102272</v>
      </c>
      <c r="H905" s="3">
        <f t="shared" si="137"/>
        <v>0.32263767209011268</v>
      </c>
      <c r="I905" s="3">
        <f t="shared" si="138"/>
        <v>0.39145807259073845</v>
      </c>
      <c r="J905" s="3">
        <f t="shared" si="139"/>
        <v>0.13233338548185231</v>
      </c>
      <c r="K905" s="3">
        <f t="shared" si="140"/>
        <v>0.15357086983729662</v>
      </c>
      <c r="L905" s="3">
        <f t="shared" si="141"/>
        <v>0.71409574468085102</v>
      </c>
      <c r="M905" s="56">
        <f t="shared" si="142"/>
        <v>0.28590425531914893</v>
      </c>
      <c r="O905" s="2">
        <v>54805</v>
      </c>
      <c r="R905" s="2">
        <v>76836</v>
      </c>
      <c r="S905" s="36"/>
    </row>
    <row r="906" spans="1:19" hidden="1" x14ac:dyDescent="0.25">
      <c r="A906" s="55" t="s">
        <v>30</v>
      </c>
      <c r="B906" s="1">
        <v>45829</v>
      </c>
      <c r="C906" s="36">
        <f t="shared" si="135"/>
        <v>29998.400000000001</v>
      </c>
      <c r="D906" s="2">
        <v>20704</v>
      </c>
      <c r="E906" s="36">
        <f t="shared" si="136"/>
        <v>49828</v>
      </c>
      <c r="F906" s="2">
        <v>24254</v>
      </c>
      <c r="G906" s="2">
        <f t="shared" si="134"/>
        <v>124784.4</v>
      </c>
      <c r="H906" s="3">
        <f t="shared" si="137"/>
        <v>0.2404018451024327</v>
      </c>
      <c r="I906" s="3">
        <f t="shared" si="138"/>
        <v>0.39931273460464611</v>
      </c>
      <c r="J906" s="3">
        <f t="shared" si="139"/>
        <v>0.16591817566939457</v>
      </c>
      <c r="K906" s="3">
        <f t="shared" si="140"/>
        <v>0.19436724462352667</v>
      </c>
      <c r="L906" s="3">
        <f t="shared" si="141"/>
        <v>0.63971457970707879</v>
      </c>
      <c r="M906" s="56">
        <f t="shared" si="142"/>
        <v>0.36028542029292127</v>
      </c>
      <c r="O906" s="2">
        <v>33438</v>
      </c>
      <c r="R906" s="2">
        <v>28313</v>
      </c>
      <c r="S906" s="36"/>
    </row>
    <row r="907" spans="1:19" hidden="1" x14ac:dyDescent="0.25">
      <c r="A907" s="55" t="s">
        <v>31</v>
      </c>
      <c r="B907" s="1">
        <v>45830</v>
      </c>
      <c r="C907" s="36">
        <f t="shared" si="135"/>
        <v>40844</v>
      </c>
      <c r="D907" s="2">
        <v>30755</v>
      </c>
      <c r="E907" s="36">
        <f t="shared" si="136"/>
        <v>64291.200000000004</v>
      </c>
      <c r="F907" s="2">
        <v>26319</v>
      </c>
      <c r="G907" s="2">
        <f t="shared" si="134"/>
        <v>162209.20000000001</v>
      </c>
      <c r="H907" s="3">
        <f t="shared" si="137"/>
        <v>0.25179829504121837</v>
      </c>
      <c r="I907" s="3">
        <f t="shared" si="138"/>
        <v>0.39634743282131962</v>
      </c>
      <c r="J907" s="3">
        <f t="shared" si="139"/>
        <v>0.18960083645070686</v>
      </c>
      <c r="K907" s="3">
        <f t="shared" si="140"/>
        <v>0.16225343568675513</v>
      </c>
      <c r="L907" s="3">
        <f t="shared" si="141"/>
        <v>0.64814572786253799</v>
      </c>
      <c r="M907" s="56">
        <f t="shared" si="142"/>
        <v>0.35185427213746195</v>
      </c>
      <c r="O907" s="2">
        <v>44089</v>
      </c>
      <c r="R907" s="2">
        <v>23156</v>
      </c>
      <c r="S907" s="36"/>
    </row>
    <row r="908" spans="1:19" hidden="1" x14ac:dyDescent="0.25">
      <c r="A908" s="55" t="s">
        <v>129</v>
      </c>
      <c r="B908" s="1">
        <v>45831</v>
      </c>
      <c r="C908" s="36">
        <f t="shared" si="135"/>
        <v>44698.400000000001</v>
      </c>
      <c r="D908" s="2">
        <v>21011</v>
      </c>
      <c r="E908" s="36">
        <f t="shared" si="136"/>
        <v>50859.200000000004</v>
      </c>
      <c r="F908" s="2">
        <v>22354</v>
      </c>
      <c r="G908" s="2">
        <f t="shared" si="134"/>
        <v>138922.6</v>
      </c>
      <c r="H908" s="3">
        <f t="shared" si="137"/>
        <v>0.32175038474661433</v>
      </c>
      <c r="I908" s="3">
        <f t="shared" si="138"/>
        <v>0.36609738084372162</v>
      </c>
      <c r="J908" s="3">
        <f t="shared" si="139"/>
        <v>0.15124249042272458</v>
      </c>
      <c r="K908" s="3">
        <f t="shared" si="140"/>
        <v>0.1609097439869395</v>
      </c>
      <c r="L908" s="3">
        <f t="shared" si="141"/>
        <v>0.68784776559033589</v>
      </c>
      <c r="M908" s="56">
        <f t="shared" si="142"/>
        <v>0.31215223440966405</v>
      </c>
      <c r="O908" s="2">
        <v>32868</v>
      </c>
      <c r="R908" s="2">
        <v>22280</v>
      </c>
      <c r="S908" s="36"/>
    </row>
    <row r="909" spans="1:19" hidden="1" x14ac:dyDescent="0.25">
      <c r="A909" s="55" t="s">
        <v>14</v>
      </c>
      <c r="B909" s="1">
        <v>45832</v>
      </c>
      <c r="C909" s="36">
        <f t="shared" si="135"/>
        <v>47601.600000000006</v>
      </c>
      <c r="D909" s="2">
        <v>24028</v>
      </c>
      <c r="E909" s="36">
        <f t="shared" si="136"/>
        <v>45147.200000000004</v>
      </c>
      <c r="F909" s="2">
        <v>18067</v>
      </c>
      <c r="G909" s="2">
        <f t="shared" si="134"/>
        <v>134843.80000000002</v>
      </c>
      <c r="H909" s="3">
        <f t="shared" si="137"/>
        <v>0.35301289343670234</v>
      </c>
      <c r="I909" s="3">
        <f t="shared" si="138"/>
        <v>0.3348110925381812</v>
      </c>
      <c r="J909" s="3">
        <f t="shared" si="139"/>
        <v>0.178191359187445</v>
      </c>
      <c r="K909" s="3">
        <f t="shared" si="140"/>
        <v>0.13398465483767141</v>
      </c>
      <c r="L909" s="3">
        <f t="shared" si="141"/>
        <v>0.68782398597488359</v>
      </c>
      <c r="M909" s="56">
        <f t="shared" si="142"/>
        <v>0.31217601402511641</v>
      </c>
      <c r="O909" s="2">
        <v>40705</v>
      </c>
      <c r="R909" s="2">
        <v>38385</v>
      </c>
      <c r="S909" s="36"/>
    </row>
    <row r="910" spans="1:19" hidden="1" x14ac:dyDescent="0.25">
      <c r="A910" s="55" t="s">
        <v>21</v>
      </c>
      <c r="B910" s="1">
        <v>45833</v>
      </c>
      <c r="C910" s="36">
        <f t="shared" si="135"/>
        <v>50946.400000000001</v>
      </c>
      <c r="D910" s="2">
        <v>21661</v>
      </c>
      <c r="E910" s="36">
        <f t="shared" si="136"/>
        <v>47031.200000000004</v>
      </c>
      <c r="F910" s="2">
        <v>14458</v>
      </c>
      <c r="G910" s="2">
        <f t="shared" si="134"/>
        <v>134096.6</v>
      </c>
      <c r="H910" s="3">
        <f t="shared" si="137"/>
        <v>0.37992313004207412</v>
      </c>
      <c r="I910" s="3">
        <f t="shared" si="138"/>
        <v>0.35072626748180047</v>
      </c>
      <c r="J910" s="3">
        <f t="shared" si="139"/>
        <v>0.16153280545517187</v>
      </c>
      <c r="K910" s="3">
        <f t="shared" si="140"/>
        <v>0.10781779702095355</v>
      </c>
      <c r="L910" s="3">
        <f t="shared" si="141"/>
        <v>0.73064939752387459</v>
      </c>
      <c r="M910" s="56">
        <f t="shared" si="142"/>
        <v>0.26935060247612541</v>
      </c>
      <c r="O910" s="2">
        <v>51111</v>
      </c>
      <c r="R910" s="2">
        <v>68685</v>
      </c>
      <c r="S910" s="36"/>
    </row>
    <row r="911" spans="1:19" x14ac:dyDescent="0.25">
      <c r="A911" s="55" t="s">
        <v>26</v>
      </c>
      <c r="B911" s="1">
        <v>45834</v>
      </c>
      <c r="C911" s="36">
        <f t="shared" si="135"/>
        <v>39516</v>
      </c>
      <c r="D911" s="2">
        <v>19169</v>
      </c>
      <c r="E911" s="36">
        <f t="shared" si="136"/>
        <v>41981.600000000006</v>
      </c>
      <c r="F911" s="2">
        <v>13034</v>
      </c>
      <c r="G911" s="2">
        <f t="shared" si="134"/>
        <v>113700.6</v>
      </c>
      <c r="H911" s="3">
        <f t="shared" si="137"/>
        <v>0.34754434013540825</v>
      </c>
      <c r="I911" s="3">
        <f t="shared" si="138"/>
        <v>0.36922936202623385</v>
      </c>
      <c r="J911" s="3">
        <f t="shared" si="139"/>
        <v>0.16859189837168845</v>
      </c>
      <c r="K911" s="3">
        <f t="shared" si="140"/>
        <v>0.11463439946666948</v>
      </c>
      <c r="L911" s="3">
        <f t="shared" si="141"/>
        <v>0.71677370216164205</v>
      </c>
      <c r="M911" s="56">
        <f t="shared" si="142"/>
        <v>0.2832262978383579</v>
      </c>
      <c r="O911" s="2">
        <v>50980</v>
      </c>
      <c r="R911" s="2">
        <v>56531</v>
      </c>
      <c r="S911" s="36"/>
    </row>
    <row r="912" spans="1:19" hidden="1" x14ac:dyDescent="0.25">
      <c r="A912" s="55" t="s">
        <v>7</v>
      </c>
      <c r="B912" s="1">
        <v>45835</v>
      </c>
      <c r="C912" s="36">
        <f t="shared" si="135"/>
        <v>46473.600000000006</v>
      </c>
      <c r="D912" s="2">
        <v>17919</v>
      </c>
      <c r="E912" s="36">
        <f t="shared" si="136"/>
        <v>42373.600000000006</v>
      </c>
      <c r="F912" s="2">
        <v>17427</v>
      </c>
      <c r="G912" s="2">
        <f t="shared" si="134"/>
        <v>124193.20000000001</v>
      </c>
      <c r="H912" s="3">
        <f t="shared" si="137"/>
        <v>0.37420406270230577</v>
      </c>
      <c r="I912" s="3">
        <f t="shared" si="138"/>
        <v>0.34119098308119933</v>
      </c>
      <c r="J912" s="3">
        <f t="shared" si="139"/>
        <v>0.14428326188551385</v>
      </c>
      <c r="K912" s="3">
        <f t="shared" si="140"/>
        <v>0.14032169233098107</v>
      </c>
      <c r="L912" s="3">
        <f t="shared" si="141"/>
        <v>0.7153950457835051</v>
      </c>
      <c r="M912" s="56">
        <f t="shared" si="142"/>
        <v>0.2846049542164949</v>
      </c>
      <c r="O912" s="2">
        <v>49415</v>
      </c>
      <c r="R912" s="2">
        <v>68478</v>
      </c>
      <c r="S912" s="36"/>
    </row>
    <row r="913" spans="1:19" hidden="1" x14ac:dyDescent="0.25">
      <c r="A913" s="55" t="s">
        <v>30</v>
      </c>
      <c r="B913" s="1">
        <v>45836</v>
      </c>
      <c r="C913" s="36">
        <f t="shared" si="135"/>
        <v>41663.200000000004</v>
      </c>
      <c r="D913" s="2">
        <v>23147</v>
      </c>
      <c r="E913" s="36">
        <f t="shared" si="136"/>
        <v>51808</v>
      </c>
      <c r="F913" s="2">
        <v>29247</v>
      </c>
      <c r="G913" s="2">
        <f t="shared" si="134"/>
        <v>145865.20000000001</v>
      </c>
      <c r="H913" s="3">
        <f t="shared" si="137"/>
        <v>0.28562810046536119</v>
      </c>
      <c r="I913" s="3">
        <f t="shared" si="138"/>
        <v>0.35517724584068028</v>
      </c>
      <c r="J913" s="3">
        <f t="shared" si="139"/>
        <v>0.15868761020449015</v>
      </c>
      <c r="K913" s="3">
        <f t="shared" si="140"/>
        <v>0.20050704348946835</v>
      </c>
      <c r="L913" s="3">
        <f t="shared" si="141"/>
        <v>0.64080534630604147</v>
      </c>
      <c r="M913" s="56">
        <f t="shared" si="142"/>
        <v>0.35919465369395848</v>
      </c>
      <c r="O913" s="2">
        <v>64785</v>
      </c>
      <c r="R913" s="2">
        <v>40775</v>
      </c>
      <c r="S913" s="36"/>
    </row>
    <row r="914" spans="1:19" hidden="1" x14ac:dyDescent="0.25">
      <c r="A914" s="55" t="s">
        <v>31</v>
      </c>
      <c r="B914" s="1">
        <v>45837</v>
      </c>
      <c r="C914" s="36">
        <f t="shared" si="135"/>
        <v>32716</v>
      </c>
      <c r="D914" s="2">
        <v>17962</v>
      </c>
      <c r="E914" s="36">
        <f t="shared" si="136"/>
        <v>46572.800000000003</v>
      </c>
      <c r="F914" s="2">
        <v>26852</v>
      </c>
      <c r="G914" s="2">
        <f t="shared" si="134"/>
        <v>124102.8</v>
      </c>
      <c r="H914" s="3">
        <f t="shared" si="137"/>
        <v>0.26362016006085276</v>
      </c>
      <c r="I914" s="3">
        <f t="shared" si="138"/>
        <v>0.37527598088036696</v>
      </c>
      <c r="J914" s="3">
        <f t="shared" si="139"/>
        <v>0.14473484885111376</v>
      </c>
      <c r="K914" s="3">
        <f t="shared" si="140"/>
        <v>0.21636901020766655</v>
      </c>
      <c r="L914" s="3">
        <f t="shared" si="141"/>
        <v>0.63889614094121971</v>
      </c>
      <c r="M914" s="56">
        <f t="shared" si="142"/>
        <v>0.36110385905878029</v>
      </c>
      <c r="O914" s="2">
        <v>39406</v>
      </c>
      <c r="R914" s="2">
        <v>29612</v>
      </c>
      <c r="S914" s="36"/>
    </row>
    <row r="915" spans="1:19" hidden="1" x14ac:dyDescent="0.25">
      <c r="A915" s="55" t="s">
        <v>129</v>
      </c>
      <c r="B915" s="1">
        <v>45838</v>
      </c>
      <c r="C915" s="36">
        <f t="shared" si="135"/>
        <v>34691.200000000004</v>
      </c>
      <c r="D915" s="2">
        <v>15694</v>
      </c>
      <c r="E915" s="36">
        <f t="shared" si="136"/>
        <v>48937.600000000006</v>
      </c>
      <c r="F915" s="2">
        <v>24144</v>
      </c>
      <c r="G915" s="2">
        <f t="shared" si="134"/>
        <v>123466.80000000002</v>
      </c>
      <c r="H915" s="3">
        <f t="shared" si="137"/>
        <v>0.28097593847090879</v>
      </c>
      <c r="I915" s="3">
        <f t="shared" si="138"/>
        <v>0.39636242293474844</v>
      </c>
      <c r="J915" s="3">
        <f t="shared" si="139"/>
        <v>0.12711109383251204</v>
      </c>
      <c r="K915" s="3">
        <f t="shared" si="140"/>
        <v>0.19555054476183067</v>
      </c>
      <c r="L915" s="3">
        <f t="shared" si="141"/>
        <v>0.67733836140565729</v>
      </c>
      <c r="M915" s="56">
        <f t="shared" si="142"/>
        <v>0.32266163859434271</v>
      </c>
      <c r="O915" s="2">
        <v>28327</v>
      </c>
      <c r="R915" s="2">
        <v>39588</v>
      </c>
      <c r="S915" s="36"/>
    </row>
    <row r="916" spans="1:19" hidden="1" x14ac:dyDescent="0.25">
      <c r="A916" s="55" t="s">
        <v>14</v>
      </c>
      <c r="B916" s="1">
        <v>45839</v>
      </c>
      <c r="C916" s="36">
        <f t="shared" si="135"/>
        <v>34268.800000000003</v>
      </c>
      <c r="D916" s="2">
        <v>25593</v>
      </c>
      <c r="E916" s="36">
        <f t="shared" si="136"/>
        <v>28660.800000000003</v>
      </c>
      <c r="F916" s="2">
        <v>16237</v>
      </c>
      <c r="G916" s="2">
        <f t="shared" si="134"/>
        <v>104759.6</v>
      </c>
      <c r="H916" s="3">
        <f t="shared" si="137"/>
        <v>0.32711846933359806</v>
      </c>
      <c r="I916" s="3">
        <f t="shared" si="138"/>
        <v>0.27358638253677947</v>
      </c>
      <c r="J916" s="3">
        <f t="shared" si="139"/>
        <v>0.24430219283006044</v>
      </c>
      <c r="K916" s="3">
        <f t="shared" si="140"/>
        <v>0.15499295529956203</v>
      </c>
      <c r="L916" s="3">
        <f t="shared" si="141"/>
        <v>0.60070485187037759</v>
      </c>
      <c r="M916" s="56">
        <f t="shared" si="142"/>
        <v>0.39929514812962247</v>
      </c>
      <c r="O916" s="2">
        <v>35749</v>
      </c>
      <c r="R916" s="2">
        <v>34216</v>
      </c>
      <c r="S916" s="36"/>
    </row>
    <row r="917" spans="1:19" hidden="1" x14ac:dyDescent="0.25">
      <c r="A917" s="55" t="s">
        <v>21</v>
      </c>
      <c r="B917" s="1">
        <v>45840</v>
      </c>
      <c r="C917" s="36">
        <f t="shared" si="135"/>
        <v>44696.800000000003</v>
      </c>
      <c r="D917" s="2">
        <v>16528</v>
      </c>
      <c r="E917" s="36">
        <f t="shared" si="136"/>
        <v>24345.600000000002</v>
      </c>
      <c r="F917" s="2">
        <v>15038</v>
      </c>
      <c r="G917" s="2">
        <f t="shared" si="134"/>
        <v>100608.40000000001</v>
      </c>
      <c r="H917" s="3">
        <f t="shared" si="137"/>
        <v>0.44426509118522906</v>
      </c>
      <c r="I917" s="3">
        <f t="shared" si="138"/>
        <v>0.24198377073882499</v>
      </c>
      <c r="J917" s="3">
        <f t="shared" si="139"/>
        <v>0.16428051733254875</v>
      </c>
      <c r="K917" s="3">
        <f t="shared" si="140"/>
        <v>0.14947062074339715</v>
      </c>
      <c r="L917" s="3">
        <f t="shared" si="141"/>
        <v>0.6862488619240541</v>
      </c>
      <c r="M917" s="56">
        <f t="shared" si="142"/>
        <v>0.3137511380759459</v>
      </c>
      <c r="O917" s="2">
        <v>63420</v>
      </c>
      <c r="R917" s="2">
        <v>63433</v>
      </c>
      <c r="S917" s="36"/>
    </row>
    <row r="918" spans="1:19" x14ac:dyDescent="0.25">
      <c r="A918" s="55" t="s">
        <v>26</v>
      </c>
      <c r="B918" s="1">
        <v>45841</v>
      </c>
      <c r="C918" s="36">
        <f t="shared" si="135"/>
        <v>24908.800000000003</v>
      </c>
      <c r="D918" s="2">
        <v>16186</v>
      </c>
      <c r="E918" s="36">
        <f t="shared" si="136"/>
        <v>22668</v>
      </c>
      <c r="F918" s="2">
        <v>12178</v>
      </c>
      <c r="G918" s="2">
        <f t="shared" si="134"/>
        <v>75940.800000000003</v>
      </c>
      <c r="H918" s="3">
        <f t="shared" si="137"/>
        <v>0.32800286538988266</v>
      </c>
      <c r="I918" s="3">
        <f t="shared" si="138"/>
        <v>0.29849567031161112</v>
      </c>
      <c r="J918" s="3">
        <f t="shared" si="139"/>
        <v>0.2131397088258222</v>
      </c>
      <c r="K918" s="3">
        <f t="shared" si="140"/>
        <v>0.16036175547268397</v>
      </c>
      <c r="L918" s="3">
        <f t="shared" si="141"/>
        <v>0.62649853570149383</v>
      </c>
      <c r="M918" s="56">
        <f t="shared" si="142"/>
        <v>0.37350146429850617</v>
      </c>
      <c r="O918" s="2">
        <v>35524</v>
      </c>
      <c r="R918" s="2">
        <v>75007</v>
      </c>
      <c r="S918" s="36"/>
    </row>
    <row r="919" spans="1:19" hidden="1" x14ac:dyDescent="0.25">
      <c r="A919" s="55" t="s">
        <v>7</v>
      </c>
      <c r="B919" s="1">
        <v>45842</v>
      </c>
      <c r="C919" s="36">
        <f t="shared" si="135"/>
        <v>37127.200000000004</v>
      </c>
      <c r="D919" s="2">
        <v>15463</v>
      </c>
      <c r="E919" s="36">
        <f t="shared" si="136"/>
        <v>19187.2</v>
      </c>
      <c r="F919" s="2">
        <v>7627</v>
      </c>
      <c r="G919" s="2">
        <f t="shared" si="134"/>
        <v>79404.400000000009</v>
      </c>
      <c r="H919" s="3">
        <f t="shared" si="137"/>
        <v>0.46757106659076825</v>
      </c>
      <c r="I919" s="3">
        <f t="shared" si="138"/>
        <v>0.24163900237266447</v>
      </c>
      <c r="J919" s="3">
        <f t="shared" si="139"/>
        <v>0.19473731934250493</v>
      </c>
      <c r="K919" s="3">
        <f t="shared" si="140"/>
        <v>9.605261169406229E-2</v>
      </c>
      <c r="L919" s="3">
        <f t="shared" si="141"/>
        <v>0.70921006896343275</v>
      </c>
      <c r="M919" s="56">
        <f t="shared" si="142"/>
        <v>0.2907899310365672</v>
      </c>
      <c r="O919" s="2">
        <v>32761</v>
      </c>
      <c r="R919" s="2">
        <v>56454</v>
      </c>
      <c r="S919" s="36"/>
    </row>
    <row r="920" spans="1:19" hidden="1" x14ac:dyDescent="0.25">
      <c r="A920" s="55" t="s">
        <v>30</v>
      </c>
      <c r="B920" s="1">
        <v>45843</v>
      </c>
      <c r="C920" s="36">
        <f t="shared" si="135"/>
        <v>48893.600000000006</v>
      </c>
      <c r="D920" s="2">
        <v>25674</v>
      </c>
      <c r="E920" s="36">
        <f t="shared" si="136"/>
        <v>47092</v>
      </c>
      <c r="F920" s="2">
        <v>30950</v>
      </c>
      <c r="G920" s="2">
        <f t="shared" si="134"/>
        <v>152609.60000000001</v>
      </c>
      <c r="H920" s="3">
        <f t="shared" si="137"/>
        <v>0.3203835145364381</v>
      </c>
      <c r="I920" s="3">
        <f t="shared" si="138"/>
        <v>0.30857822836833332</v>
      </c>
      <c r="J920" s="3">
        <f t="shared" si="139"/>
        <v>0.1682331910967593</v>
      </c>
      <c r="K920" s="3">
        <f t="shared" si="140"/>
        <v>0.20280506599846929</v>
      </c>
      <c r="L920" s="3">
        <f t="shared" si="141"/>
        <v>0.62896174290477136</v>
      </c>
      <c r="M920" s="56">
        <f t="shared" si="142"/>
        <v>0.37103825709522859</v>
      </c>
      <c r="O920" s="2">
        <v>58412</v>
      </c>
      <c r="R920" s="2">
        <v>28901</v>
      </c>
      <c r="S920" s="36"/>
    </row>
    <row r="921" spans="1:19" hidden="1" x14ac:dyDescent="0.25">
      <c r="A921" s="55" t="s">
        <v>31</v>
      </c>
      <c r="B921" s="1">
        <v>45844</v>
      </c>
      <c r="C921" s="36">
        <f t="shared" si="135"/>
        <v>44016</v>
      </c>
      <c r="D921" s="2">
        <v>20014</v>
      </c>
      <c r="E921" s="36">
        <f t="shared" si="136"/>
        <v>36668</v>
      </c>
      <c r="F921" s="2">
        <v>22834</v>
      </c>
      <c r="G921" s="2">
        <f t="shared" si="134"/>
        <v>123532</v>
      </c>
      <c r="H921" s="3">
        <f t="shared" si="137"/>
        <v>0.35631253440404104</v>
      </c>
      <c r="I921" s="3">
        <f t="shared" si="138"/>
        <v>0.29682997118155618</v>
      </c>
      <c r="J921" s="3">
        <f t="shared" si="139"/>
        <v>0.16201470064436746</v>
      </c>
      <c r="K921" s="3">
        <f t="shared" si="140"/>
        <v>0.18484279377003529</v>
      </c>
      <c r="L921" s="3">
        <f t="shared" si="141"/>
        <v>0.65314250558559728</v>
      </c>
      <c r="M921" s="56">
        <f t="shared" si="142"/>
        <v>0.34685749441440272</v>
      </c>
      <c r="O921" s="2">
        <v>43922</v>
      </c>
      <c r="R921" s="2">
        <v>30691</v>
      </c>
      <c r="S921" s="36"/>
    </row>
    <row r="922" spans="1:19" hidden="1" x14ac:dyDescent="0.25">
      <c r="A922" s="55" t="s">
        <v>129</v>
      </c>
      <c r="B922" s="1">
        <v>45845</v>
      </c>
      <c r="C922" s="36">
        <f t="shared" si="135"/>
        <v>34392</v>
      </c>
      <c r="D922" s="2">
        <v>12860</v>
      </c>
      <c r="E922" s="36">
        <f t="shared" si="136"/>
        <v>38659.200000000004</v>
      </c>
      <c r="F922" s="2">
        <v>22908</v>
      </c>
      <c r="G922" s="2">
        <f t="shared" si="134"/>
        <v>108819.20000000001</v>
      </c>
      <c r="H922" s="3">
        <f t="shared" si="137"/>
        <v>0.31604716814679756</v>
      </c>
      <c r="I922" s="3">
        <f t="shared" si="138"/>
        <v>0.35526083632300182</v>
      </c>
      <c r="J922" s="3">
        <f t="shared" si="139"/>
        <v>0.11817767452802445</v>
      </c>
      <c r="K922" s="3">
        <f t="shared" si="140"/>
        <v>0.21051432100217607</v>
      </c>
      <c r="L922" s="3">
        <f t="shared" si="141"/>
        <v>0.67130800446979944</v>
      </c>
      <c r="M922" s="56">
        <f t="shared" si="142"/>
        <v>0.32869199553020051</v>
      </c>
      <c r="O922" s="2">
        <v>35082</v>
      </c>
      <c r="R922" s="2">
        <v>34073</v>
      </c>
      <c r="S922" s="36"/>
    </row>
    <row r="923" spans="1:19" hidden="1" x14ac:dyDescent="0.25">
      <c r="A923" s="55" t="s">
        <v>14</v>
      </c>
      <c r="B923" s="1">
        <v>45846</v>
      </c>
      <c r="C923" s="36">
        <f t="shared" si="135"/>
        <v>33328.800000000003</v>
      </c>
      <c r="D923" s="2">
        <v>13062</v>
      </c>
      <c r="E923" s="36">
        <f t="shared" si="136"/>
        <v>32400</v>
      </c>
      <c r="F923" s="2">
        <v>15321</v>
      </c>
      <c r="G923" s="2">
        <f t="shared" si="134"/>
        <v>94111.8</v>
      </c>
      <c r="H923" s="3">
        <f t="shared" si="137"/>
        <v>0.35414050097862332</v>
      </c>
      <c r="I923" s="3">
        <f t="shared" si="138"/>
        <v>0.3442713878599708</v>
      </c>
      <c r="J923" s="3">
        <f t="shared" si="139"/>
        <v>0.13879237247614007</v>
      </c>
      <c r="K923" s="3">
        <f t="shared" si="140"/>
        <v>0.16279573868526581</v>
      </c>
      <c r="L923" s="3">
        <f t="shared" si="141"/>
        <v>0.69841188883859406</v>
      </c>
      <c r="M923" s="56">
        <f t="shared" si="142"/>
        <v>0.30158811116140588</v>
      </c>
      <c r="O923" s="2">
        <v>30505</v>
      </c>
      <c r="R923" s="2">
        <v>44153</v>
      </c>
      <c r="S923" s="36"/>
    </row>
    <row r="924" spans="1:19" hidden="1" x14ac:dyDescent="0.25">
      <c r="A924" s="55" t="s">
        <v>21</v>
      </c>
      <c r="B924" s="1">
        <v>45847</v>
      </c>
      <c r="C924" s="36">
        <f t="shared" si="135"/>
        <v>25396</v>
      </c>
      <c r="D924" s="2">
        <v>17817</v>
      </c>
      <c r="E924" s="36">
        <f t="shared" si="136"/>
        <v>25321.600000000002</v>
      </c>
      <c r="F924" s="2">
        <v>14415</v>
      </c>
      <c r="G924" s="2">
        <f t="shared" si="134"/>
        <v>82949.600000000006</v>
      </c>
      <c r="H924" s="3">
        <f t="shared" si="137"/>
        <v>0.30616181392074221</v>
      </c>
      <c r="I924" s="3">
        <f t="shared" si="138"/>
        <v>0.30526488373663047</v>
      </c>
      <c r="J924" s="3">
        <f t="shared" si="139"/>
        <v>0.21479307917096646</v>
      </c>
      <c r="K924" s="3">
        <f t="shared" si="140"/>
        <v>0.17378022317166086</v>
      </c>
      <c r="L924" s="3">
        <f t="shared" si="141"/>
        <v>0.61142669765737268</v>
      </c>
      <c r="M924" s="56">
        <f t="shared" si="142"/>
        <v>0.38857330234262732</v>
      </c>
      <c r="O924" s="2">
        <v>53272</v>
      </c>
      <c r="R924" s="2">
        <v>76845</v>
      </c>
      <c r="S924" s="36"/>
    </row>
    <row r="925" spans="1:19" x14ac:dyDescent="0.25">
      <c r="A925" s="55" t="s">
        <v>26</v>
      </c>
      <c r="B925" s="1">
        <v>45848</v>
      </c>
      <c r="C925" s="36">
        <f t="shared" si="135"/>
        <v>27516</v>
      </c>
      <c r="D925" s="2">
        <v>8894</v>
      </c>
      <c r="E925" s="36">
        <f t="shared" si="136"/>
        <v>25693.600000000002</v>
      </c>
      <c r="F925" s="2">
        <v>13961</v>
      </c>
      <c r="G925" s="2">
        <f t="shared" si="134"/>
        <v>76064.600000000006</v>
      </c>
      <c r="H925" s="3">
        <f t="shared" si="137"/>
        <v>0.36174514820297482</v>
      </c>
      <c r="I925" s="3">
        <f t="shared" si="138"/>
        <v>0.33778656562974102</v>
      </c>
      <c r="J925" s="3">
        <f t="shared" si="139"/>
        <v>0.11692692790075804</v>
      </c>
      <c r="K925" s="3">
        <f t="shared" si="140"/>
        <v>0.18354135826652607</v>
      </c>
      <c r="L925" s="3">
        <f t="shared" si="141"/>
        <v>0.69953171383271595</v>
      </c>
      <c r="M925" s="56">
        <f t="shared" si="142"/>
        <v>0.3004682861672841</v>
      </c>
      <c r="O925" s="2">
        <v>46318</v>
      </c>
      <c r="R925" s="2">
        <v>58526</v>
      </c>
      <c r="S925" s="36"/>
    </row>
    <row r="926" spans="1:19" hidden="1" x14ac:dyDescent="0.25">
      <c r="A926" s="55" t="s">
        <v>7</v>
      </c>
      <c r="B926" s="1">
        <v>45849</v>
      </c>
      <c r="C926" s="36">
        <f t="shared" si="135"/>
        <v>27004</v>
      </c>
      <c r="D926" s="2">
        <v>12752</v>
      </c>
      <c r="E926" s="36">
        <f t="shared" si="136"/>
        <v>29556.800000000003</v>
      </c>
      <c r="F926" s="2">
        <v>18286</v>
      </c>
      <c r="G926" s="2">
        <f t="shared" si="134"/>
        <v>87598.8</v>
      </c>
      <c r="H926" s="3">
        <f t="shared" si="137"/>
        <v>0.30826906304652574</v>
      </c>
      <c r="I926" s="3">
        <f t="shared" si="138"/>
        <v>0.33741101476275931</v>
      </c>
      <c r="J926" s="3">
        <f t="shared" si="139"/>
        <v>0.14557277040324754</v>
      </c>
      <c r="K926" s="3">
        <f t="shared" si="140"/>
        <v>0.20874715178746739</v>
      </c>
      <c r="L926" s="3">
        <f t="shared" si="141"/>
        <v>0.64568007780928505</v>
      </c>
      <c r="M926" s="56">
        <f t="shared" si="142"/>
        <v>0.35431992219071495</v>
      </c>
      <c r="O926" s="2">
        <v>50085</v>
      </c>
      <c r="R926" s="2">
        <v>54129</v>
      </c>
      <c r="S926" s="36"/>
    </row>
    <row r="927" spans="1:19" hidden="1" x14ac:dyDescent="0.25">
      <c r="A927" s="55" t="s">
        <v>30</v>
      </c>
      <c r="B927" s="1">
        <v>45850</v>
      </c>
      <c r="C927" s="36">
        <f t="shared" si="135"/>
        <v>46981.600000000006</v>
      </c>
      <c r="D927" s="2">
        <v>22016</v>
      </c>
      <c r="E927" s="36">
        <f t="shared" si="136"/>
        <v>46980</v>
      </c>
      <c r="F927" s="2">
        <v>29235</v>
      </c>
      <c r="G927" s="2">
        <f t="shared" si="134"/>
        <v>145212.6</v>
      </c>
      <c r="H927" s="3">
        <f t="shared" si="137"/>
        <v>0.32353666279647914</v>
      </c>
      <c r="I927" s="3">
        <f t="shared" si="138"/>
        <v>0.32352564446886839</v>
      </c>
      <c r="J927" s="3">
        <f t="shared" si="139"/>
        <v>0.15161218792308656</v>
      </c>
      <c r="K927" s="3">
        <f t="shared" si="140"/>
        <v>0.20132550481156594</v>
      </c>
      <c r="L927" s="3">
        <f t="shared" si="141"/>
        <v>0.64706230726534752</v>
      </c>
      <c r="M927" s="56">
        <f t="shared" si="142"/>
        <v>0.35293769273465248</v>
      </c>
      <c r="O927" s="2">
        <v>56562</v>
      </c>
      <c r="R927" s="2">
        <v>40720</v>
      </c>
      <c r="S927" s="36"/>
    </row>
    <row r="928" spans="1:19" hidden="1" x14ac:dyDescent="0.25">
      <c r="A928" s="55" t="s">
        <v>31</v>
      </c>
      <c r="B928" s="1">
        <v>45851</v>
      </c>
      <c r="C928" s="36">
        <f t="shared" si="135"/>
        <v>38824.800000000003</v>
      </c>
      <c r="D928" s="2">
        <v>23192</v>
      </c>
      <c r="E928" s="36">
        <f t="shared" si="136"/>
        <v>48725.600000000006</v>
      </c>
      <c r="F928" s="2">
        <v>30501</v>
      </c>
      <c r="G928" s="2">
        <f t="shared" si="134"/>
        <v>141243.40000000002</v>
      </c>
      <c r="H928" s="3">
        <f t="shared" si="137"/>
        <v>0.27487868459694398</v>
      </c>
      <c r="I928" s="3">
        <f t="shared" si="138"/>
        <v>0.34497611923813781</v>
      </c>
      <c r="J928" s="3">
        <f t="shared" si="139"/>
        <v>0.16419882274145195</v>
      </c>
      <c r="K928" s="3">
        <f t="shared" si="140"/>
        <v>0.21594637342346612</v>
      </c>
      <c r="L928" s="3">
        <f t="shared" si="141"/>
        <v>0.61985480383508185</v>
      </c>
      <c r="M928" s="56">
        <f t="shared" si="142"/>
        <v>0.3801451961649181</v>
      </c>
      <c r="O928" s="2">
        <v>35661</v>
      </c>
      <c r="R928" s="2">
        <v>56768</v>
      </c>
      <c r="S928" s="36"/>
    </row>
    <row r="929" spans="1:19" hidden="1" x14ac:dyDescent="0.25">
      <c r="A929" s="55" t="s">
        <v>129</v>
      </c>
      <c r="B929" s="1">
        <v>45852</v>
      </c>
      <c r="C929" s="36">
        <f t="shared" si="135"/>
        <v>31152</v>
      </c>
      <c r="D929" s="2">
        <v>18713</v>
      </c>
      <c r="E929" s="36">
        <f t="shared" si="136"/>
        <v>42932.800000000003</v>
      </c>
      <c r="F929" s="2">
        <v>16704</v>
      </c>
      <c r="G929" s="2">
        <f t="shared" si="134"/>
        <v>109501.8</v>
      </c>
      <c r="H929" s="3">
        <f t="shared" si="137"/>
        <v>0.28448847416206857</v>
      </c>
      <c r="I929" s="3">
        <f t="shared" si="138"/>
        <v>0.39207392024605991</v>
      </c>
      <c r="J929" s="3">
        <f t="shared" si="139"/>
        <v>0.17089216798262677</v>
      </c>
      <c r="K929" s="3">
        <f t="shared" si="140"/>
        <v>0.15254543760924477</v>
      </c>
      <c r="L929" s="3">
        <f t="shared" si="141"/>
        <v>0.67656239440812849</v>
      </c>
      <c r="M929" s="56">
        <f t="shared" si="142"/>
        <v>0.32343760559187151</v>
      </c>
      <c r="O929" s="2">
        <v>33110</v>
      </c>
      <c r="R929" s="2">
        <v>46183</v>
      </c>
      <c r="S929" s="36"/>
    </row>
    <row r="930" spans="1:19" hidden="1" x14ac:dyDescent="0.25">
      <c r="A930" s="55" t="s">
        <v>14</v>
      </c>
      <c r="B930" s="1">
        <v>45853</v>
      </c>
      <c r="C930" s="36">
        <f t="shared" si="135"/>
        <v>38495.200000000004</v>
      </c>
      <c r="D930" s="2">
        <v>14109</v>
      </c>
      <c r="E930" s="36">
        <f t="shared" si="136"/>
        <v>39549.600000000006</v>
      </c>
      <c r="F930" s="2">
        <v>15688</v>
      </c>
      <c r="G930" s="2">
        <f t="shared" si="134"/>
        <v>107841.80000000002</v>
      </c>
      <c r="H930" s="3">
        <f t="shared" si="137"/>
        <v>0.35695991721206433</v>
      </c>
      <c r="I930" s="3">
        <f t="shared" si="138"/>
        <v>0.36673720208676042</v>
      </c>
      <c r="J930" s="3">
        <f t="shared" si="139"/>
        <v>0.13083053138949829</v>
      </c>
      <c r="K930" s="3">
        <f t="shared" si="140"/>
        <v>0.14547234931167691</v>
      </c>
      <c r="L930" s="3">
        <f t="shared" si="141"/>
        <v>0.72369711929882485</v>
      </c>
      <c r="M930" s="56">
        <f t="shared" si="142"/>
        <v>0.2763028807011752</v>
      </c>
      <c r="O930" s="2">
        <v>41246</v>
      </c>
      <c r="R930" s="2">
        <v>50044</v>
      </c>
      <c r="S930" s="36"/>
    </row>
    <row r="931" spans="1:19" hidden="1" x14ac:dyDescent="0.25">
      <c r="A931" s="55" t="s">
        <v>21</v>
      </c>
      <c r="B931" s="1">
        <v>45854</v>
      </c>
      <c r="C931" s="36">
        <f t="shared" si="135"/>
        <v>33582.400000000001</v>
      </c>
      <c r="D931" s="2">
        <v>15212</v>
      </c>
      <c r="E931" s="36">
        <f t="shared" si="136"/>
        <v>20149.600000000002</v>
      </c>
      <c r="F931" s="2">
        <v>14598</v>
      </c>
      <c r="G931" s="2">
        <f t="shared" si="134"/>
        <v>83542</v>
      </c>
      <c r="H931" s="3">
        <f t="shared" si="137"/>
        <v>0.40198223647985448</v>
      </c>
      <c r="I931" s="3">
        <f t="shared" si="138"/>
        <v>0.24119125709224107</v>
      </c>
      <c r="J931" s="3">
        <f t="shared" si="139"/>
        <v>0.18208805151899643</v>
      </c>
      <c r="K931" s="3">
        <f t="shared" si="140"/>
        <v>0.1747384549089081</v>
      </c>
      <c r="L931" s="3">
        <f t="shared" si="141"/>
        <v>0.64317349357209552</v>
      </c>
      <c r="M931" s="56">
        <f t="shared" si="142"/>
        <v>0.35682650642790453</v>
      </c>
      <c r="O931" s="2">
        <v>37498</v>
      </c>
      <c r="R931" s="2">
        <v>62285</v>
      </c>
      <c r="S931" s="36"/>
    </row>
    <row r="932" spans="1:19" x14ac:dyDescent="0.25">
      <c r="A932" s="55" t="s">
        <v>26</v>
      </c>
      <c r="B932" s="1">
        <v>45855</v>
      </c>
      <c r="C932" s="36">
        <f t="shared" si="135"/>
        <v>16317.6</v>
      </c>
      <c r="D932" s="2">
        <v>10171</v>
      </c>
      <c r="E932" s="36">
        <f t="shared" si="136"/>
        <v>26673.600000000002</v>
      </c>
      <c r="F932" s="2">
        <v>10512</v>
      </c>
      <c r="G932" s="2">
        <f t="shared" si="134"/>
        <v>63674.2</v>
      </c>
      <c r="H932" s="3">
        <f t="shared" si="137"/>
        <v>0.25626705949976603</v>
      </c>
      <c r="I932" s="3">
        <f t="shared" si="138"/>
        <v>0.41890750099726426</v>
      </c>
      <c r="J932" s="3">
        <f t="shared" si="139"/>
        <v>0.15973502611732854</v>
      </c>
      <c r="K932" s="3">
        <f t="shared" si="140"/>
        <v>0.16509041338564129</v>
      </c>
      <c r="L932" s="3">
        <f t="shared" si="141"/>
        <v>0.67517456049703028</v>
      </c>
      <c r="M932" s="56">
        <f t="shared" si="142"/>
        <v>0.32482543950296983</v>
      </c>
      <c r="O932" s="2">
        <v>51055</v>
      </c>
      <c r="R932" s="2">
        <v>80364</v>
      </c>
      <c r="S932" s="36"/>
    </row>
    <row r="933" spans="1:19" hidden="1" x14ac:dyDescent="0.25">
      <c r="A933" s="55" t="s">
        <v>7</v>
      </c>
      <c r="B933" s="1">
        <v>45856</v>
      </c>
      <c r="C933" s="36">
        <f t="shared" si="135"/>
        <v>27809.600000000002</v>
      </c>
      <c r="D933" s="2">
        <v>14256</v>
      </c>
      <c r="E933" s="36">
        <f t="shared" si="136"/>
        <v>28876.800000000003</v>
      </c>
      <c r="F933" s="2">
        <v>21901</v>
      </c>
      <c r="G933" s="2">
        <f t="shared" si="134"/>
        <v>92843.400000000009</v>
      </c>
      <c r="H933" s="3">
        <f t="shared" si="137"/>
        <v>0.29953233078495617</v>
      </c>
      <c r="I933" s="3">
        <f t="shared" si="138"/>
        <v>0.31102695506627287</v>
      </c>
      <c r="J933" s="3">
        <f t="shared" si="139"/>
        <v>0.15354887908025772</v>
      </c>
      <c r="K933" s="3">
        <f t="shared" si="140"/>
        <v>0.23589183506851319</v>
      </c>
      <c r="L933" s="3">
        <f t="shared" si="141"/>
        <v>0.61055928585122909</v>
      </c>
      <c r="M933" s="56">
        <f t="shared" si="142"/>
        <v>0.38944071414877091</v>
      </c>
      <c r="O933" s="2">
        <v>55873</v>
      </c>
      <c r="R933" s="2">
        <v>63574</v>
      </c>
      <c r="S933" s="36"/>
    </row>
    <row r="934" spans="1:19" hidden="1" x14ac:dyDescent="0.25">
      <c r="A934" s="55" t="s">
        <v>30</v>
      </c>
      <c r="B934" s="1">
        <v>45857</v>
      </c>
      <c r="C934" s="36">
        <f t="shared" si="135"/>
        <v>46538.400000000001</v>
      </c>
      <c r="D934" s="2">
        <v>21092</v>
      </c>
      <c r="E934" s="36">
        <f t="shared" si="136"/>
        <v>46991.200000000004</v>
      </c>
      <c r="F934" s="2">
        <v>31508</v>
      </c>
      <c r="G934" s="2">
        <f t="shared" si="134"/>
        <v>146129.60000000001</v>
      </c>
      <c r="H934" s="3">
        <f t="shared" si="137"/>
        <v>0.31847346465055676</v>
      </c>
      <c r="I934" s="3">
        <f t="shared" si="138"/>
        <v>0.3215720839583493</v>
      </c>
      <c r="J934" s="3">
        <f t="shared" si="139"/>
        <v>0.14433762906351622</v>
      </c>
      <c r="K934" s="3">
        <f t="shared" si="140"/>
        <v>0.2156168223275777</v>
      </c>
      <c r="L934" s="3">
        <f t="shared" si="141"/>
        <v>0.64004554860890606</v>
      </c>
      <c r="M934" s="56">
        <f t="shared" si="142"/>
        <v>0.35995445139109394</v>
      </c>
      <c r="O934" s="2">
        <v>59502</v>
      </c>
      <c r="R934" s="2">
        <v>56434</v>
      </c>
      <c r="S934" s="36"/>
    </row>
    <row r="935" spans="1:19" hidden="1" x14ac:dyDescent="0.25">
      <c r="A935" s="55" t="s">
        <v>31</v>
      </c>
      <c r="B935" s="1">
        <v>45858</v>
      </c>
      <c r="C935" s="36">
        <f t="shared" si="135"/>
        <v>31766.400000000001</v>
      </c>
      <c r="D935" s="2">
        <v>24461</v>
      </c>
      <c r="E935" s="36">
        <f t="shared" si="136"/>
        <v>36084</v>
      </c>
      <c r="F935" s="2">
        <v>25171</v>
      </c>
      <c r="G935" s="2">
        <f t="shared" si="134"/>
        <v>117482.4</v>
      </c>
      <c r="H935" s="3">
        <f t="shared" si="137"/>
        <v>0.27039284182141327</v>
      </c>
      <c r="I935" s="3">
        <f t="shared" si="138"/>
        <v>0.30714387857245001</v>
      </c>
      <c r="J935" s="3">
        <f t="shared" si="139"/>
        <v>0.208209910590863</v>
      </c>
      <c r="K935" s="3">
        <f t="shared" si="140"/>
        <v>0.21425336901527378</v>
      </c>
      <c r="L935" s="3">
        <f t="shared" si="141"/>
        <v>0.57753672039386328</v>
      </c>
      <c r="M935" s="56">
        <f t="shared" si="142"/>
        <v>0.42246327960613678</v>
      </c>
      <c r="O935" s="2">
        <v>63683</v>
      </c>
      <c r="R935" s="2">
        <v>58789</v>
      </c>
      <c r="S935" s="36"/>
    </row>
    <row r="936" spans="1:19" hidden="1" x14ac:dyDescent="0.25">
      <c r="A936" s="55" t="s">
        <v>129</v>
      </c>
      <c r="B936" s="1">
        <v>45859</v>
      </c>
      <c r="C936" s="36">
        <f t="shared" si="135"/>
        <v>36781.599999999999</v>
      </c>
      <c r="D936" s="2">
        <v>18498</v>
      </c>
      <c r="E936" s="36">
        <f t="shared" si="136"/>
        <v>35331.200000000004</v>
      </c>
      <c r="F936" s="2">
        <v>16772</v>
      </c>
      <c r="G936" s="2">
        <f t="shared" si="134"/>
        <v>107382.8</v>
      </c>
      <c r="H936" s="3">
        <f t="shared" si="137"/>
        <v>0.3425278536227403</v>
      </c>
      <c r="I936" s="3">
        <f t="shared" si="138"/>
        <v>0.32902103502609359</v>
      </c>
      <c r="J936" s="3">
        <f t="shared" si="139"/>
        <v>0.17226222449032805</v>
      </c>
      <c r="K936" s="3">
        <f t="shared" si="140"/>
        <v>0.15618888686083804</v>
      </c>
      <c r="L936" s="3">
        <f t="shared" si="141"/>
        <v>0.67154888864883389</v>
      </c>
      <c r="M936" s="56">
        <f t="shared" si="142"/>
        <v>0.32845111135116611</v>
      </c>
      <c r="O936" s="2">
        <v>49395</v>
      </c>
      <c r="R936" s="2">
        <v>52477</v>
      </c>
      <c r="S936" s="36"/>
    </row>
    <row r="937" spans="1:19" hidden="1" x14ac:dyDescent="0.25">
      <c r="A937" s="55" t="s">
        <v>14</v>
      </c>
      <c r="B937" s="1">
        <v>45860</v>
      </c>
      <c r="C937" s="36">
        <f t="shared" si="135"/>
        <v>31420</v>
      </c>
      <c r="D937" s="2">
        <v>18338</v>
      </c>
      <c r="E937" s="36">
        <f t="shared" si="136"/>
        <v>27225.600000000002</v>
      </c>
      <c r="F937" s="2">
        <v>13350</v>
      </c>
      <c r="G937" s="2">
        <f t="shared" si="134"/>
        <v>90333.6</v>
      </c>
      <c r="H937" s="3">
        <f t="shared" si="137"/>
        <v>0.34782185144840899</v>
      </c>
      <c r="I937" s="3">
        <f t="shared" si="138"/>
        <v>0.30138951619331011</v>
      </c>
      <c r="J937" s="3">
        <f t="shared" si="139"/>
        <v>0.20300309076578371</v>
      </c>
      <c r="K937" s="3">
        <f t="shared" si="140"/>
        <v>0.14778554159249713</v>
      </c>
      <c r="L937" s="3">
        <f t="shared" si="141"/>
        <v>0.64921136764171916</v>
      </c>
      <c r="M937" s="56">
        <f t="shared" si="142"/>
        <v>0.35078863235828084</v>
      </c>
      <c r="O937" s="2">
        <v>58092</v>
      </c>
      <c r="R937" s="2">
        <v>52967</v>
      </c>
      <c r="S937" s="36"/>
    </row>
    <row r="938" spans="1:19" hidden="1" x14ac:dyDescent="0.25">
      <c r="A938" s="55" t="s">
        <v>21</v>
      </c>
      <c r="B938" s="1">
        <v>45861</v>
      </c>
      <c r="C938" s="36">
        <f t="shared" si="135"/>
        <v>22140</v>
      </c>
      <c r="D938" s="2">
        <v>17459</v>
      </c>
      <c r="E938" s="36">
        <f t="shared" si="136"/>
        <v>31353.600000000002</v>
      </c>
      <c r="F938" s="2">
        <v>13152</v>
      </c>
      <c r="G938" s="2">
        <f t="shared" si="134"/>
        <v>84104.6</v>
      </c>
      <c r="H938" s="3">
        <f t="shared" si="137"/>
        <v>0.26324362757803971</v>
      </c>
      <c r="I938" s="3">
        <f t="shared" si="138"/>
        <v>0.37279292690292803</v>
      </c>
      <c r="J938" s="3">
        <f t="shared" si="139"/>
        <v>0.20758674317457071</v>
      </c>
      <c r="K938" s="3">
        <f t="shared" si="140"/>
        <v>0.15637670234446152</v>
      </c>
      <c r="L938" s="3">
        <f t="shared" si="141"/>
        <v>0.63603655448096774</v>
      </c>
      <c r="M938" s="56">
        <f t="shared" si="142"/>
        <v>0.3639634455190322</v>
      </c>
      <c r="O938" s="2">
        <v>52079</v>
      </c>
      <c r="R938" s="2">
        <v>64760</v>
      </c>
      <c r="S938" s="36"/>
    </row>
    <row r="939" spans="1:19" x14ac:dyDescent="0.25">
      <c r="A939" s="55" t="s">
        <v>26</v>
      </c>
      <c r="B939" s="1">
        <v>45862</v>
      </c>
      <c r="C939" s="36">
        <f t="shared" si="135"/>
        <v>20952.800000000003</v>
      </c>
      <c r="D939" s="2">
        <v>14125</v>
      </c>
      <c r="E939" s="36">
        <f t="shared" si="136"/>
        <v>29814.400000000001</v>
      </c>
      <c r="F939" s="2">
        <v>5624</v>
      </c>
      <c r="G939" s="2">
        <f t="shared" si="134"/>
        <v>70516.200000000012</v>
      </c>
      <c r="H939" s="3">
        <f t="shared" si="137"/>
        <v>0.29713455915094689</v>
      </c>
      <c r="I939" s="3">
        <f t="shared" si="138"/>
        <v>0.42280213624670637</v>
      </c>
      <c r="J939" s="3">
        <f t="shared" si="139"/>
        <v>0.20030858157416306</v>
      </c>
      <c r="K939" s="3">
        <f t="shared" si="140"/>
        <v>7.975472302818358E-2</v>
      </c>
      <c r="L939" s="3">
        <f t="shared" si="141"/>
        <v>0.71993669539765326</v>
      </c>
      <c r="M939" s="56">
        <f t="shared" si="142"/>
        <v>0.28006330460234663</v>
      </c>
      <c r="O939" s="2">
        <v>40895</v>
      </c>
      <c r="R939" s="2">
        <v>58216</v>
      </c>
      <c r="S939" s="36"/>
    </row>
    <row r="940" spans="1:19" hidden="1" x14ac:dyDescent="0.25">
      <c r="A940" s="55" t="s">
        <v>7</v>
      </c>
      <c r="B940" s="1">
        <v>45863</v>
      </c>
      <c r="C940" s="36">
        <f t="shared" si="135"/>
        <v>22579.200000000001</v>
      </c>
      <c r="D940" s="2">
        <v>21032</v>
      </c>
      <c r="E940" s="36">
        <f t="shared" si="136"/>
        <v>30984.800000000003</v>
      </c>
      <c r="F940" s="2">
        <v>14195</v>
      </c>
      <c r="G940" s="2">
        <f t="shared" si="134"/>
        <v>88791</v>
      </c>
      <c r="H940" s="3">
        <f t="shared" si="137"/>
        <v>0.25429604351792412</v>
      </c>
      <c r="I940" s="3">
        <f t="shared" si="138"/>
        <v>0.34896329582953228</v>
      </c>
      <c r="J940" s="3">
        <f t="shared" si="139"/>
        <v>0.23687085402799835</v>
      </c>
      <c r="K940" s="3">
        <f t="shared" si="140"/>
        <v>0.15986980662454528</v>
      </c>
      <c r="L940" s="3">
        <f t="shared" si="141"/>
        <v>0.60325933934745635</v>
      </c>
      <c r="M940" s="56">
        <f t="shared" si="142"/>
        <v>0.3967406606525436</v>
      </c>
      <c r="O940" s="2">
        <v>43364</v>
      </c>
      <c r="R940" s="2">
        <v>61172</v>
      </c>
      <c r="S940" s="36"/>
    </row>
    <row r="941" spans="1:19" hidden="1" x14ac:dyDescent="0.25">
      <c r="A941" s="55" t="s">
        <v>30</v>
      </c>
      <c r="B941" s="1">
        <v>45864</v>
      </c>
      <c r="C941" s="36">
        <f t="shared" si="135"/>
        <v>35852</v>
      </c>
      <c r="D941" s="2">
        <v>27417</v>
      </c>
      <c r="E941" s="36">
        <f t="shared" si="136"/>
        <v>37486.400000000001</v>
      </c>
      <c r="F941" s="2">
        <v>22402</v>
      </c>
      <c r="G941" s="2">
        <f t="shared" si="134"/>
        <v>123157.4</v>
      </c>
      <c r="H941" s="3">
        <f t="shared" si="137"/>
        <v>0.29110715231078282</v>
      </c>
      <c r="I941" s="3">
        <f t="shared" si="138"/>
        <v>0.30437797485169388</v>
      </c>
      <c r="J941" s="3">
        <f t="shared" si="139"/>
        <v>0.22261756094233884</v>
      </c>
      <c r="K941" s="3">
        <f t="shared" si="140"/>
        <v>0.18189731189518454</v>
      </c>
      <c r="L941" s="3">
        <f t="shared" si="141"/>
        <v>0.59548512716247659</v>
      </c>
      <c r="M941" s="56">
        <f t="shared" si="142"/>
        <v>0.40451487283752341</v>
      </c>
      <c r="O941" s="2">
        <v>42836</v>
      </c>
      <c r="R941" s="2">
        <v>35826</v>
      </c>
      <c r="S941" s="36"/>
    </row>
    <row r="942" spans="1:19" hidden="1" x14ac:dyDescent="0.25">
      <c r="A942" s="55" t="s">
        <v>31</v>
      </c>
      <c r="B942" s="1">
        <v>45865</v>
      </c>
      <c r="C942" s="36">
        <f t="shared" si="135"/>
        <v>37367.200000000004</v>
      </c>
      <c r="D942" s="2">
        <v>17088</v>
      </c>
      <c r="E942" s="36">
        <f t="shared" si="136"/>
        <v>39048.800000000003</v>
      </c>
      <c r="F942" s="2">
        <v>26681</v>
      </c>
      <c r="G942" s="2">
        <f t="shared" si="134"/>
        <v>120185</v>
      </c>
      <c r="H942" s="3">
        <f t="shared" si="137"/>
        <v>0.31091400757166038</v>
      </c>
      <c r="I942" s="3">
        <f t="shared" si="138"/>
        <v>0.32490577027083251</v>
      </c>
      <c r="J942" s="3">
        <f t="shared" si="139"/>
        <v>0.14218080459291926</v>
      </c>
      <c r="K942" s="3">
        <f t="shared" si="140"/>
        <v>0.22199941756458794</v>
      </c>
      <c r="L942" s="3">
        <f t="shared" si="141"/>
        <v>0.63581977784249277</v>
      </c>
      <c r="M942" s="56">
        <f t="shared" si="142"/>
        <v>0.36418022215750717</v>
      </c>
      <c r="O942" s="2">
        <v>55871</v>
      </c>
      <c r="R942" s="2">
        <v>30432</v>
      </c>
      <c r="S942" s="36"/>
    </row>
    <row r="943" spans="1:19" hidden="1" x14ac:dyDescent="0.25">
      <c r="A943" s="55" t="s">
        <v>129</v>
      </c>
      <c r="B943" s="1">
        <v>45866</v>
      </c>
      <c r="C943" s="36">
        <f t="shared" si="135"/>
        <v>21895.200000000001</v>
      </c>
      <c r="D943" s="2">
        <v>17283</v>
      </c>
      <c r="E943" s="36">
        <f t="shared" si="136"/>
        <v>40839.200000000004</v>
      </c>
      <c r="F943" s="2">
        <v>21910</v>
      </c>
      <c r="G943" s="2">
        <f t="shared" si="134"/>
        <v>101927.4</v>
      </c>
      <c r="H943" s="3">
        <f t="shared" si="137"/>
        <v>0.21481171892935563</v>
      </c>
      <c r="I943" s="3">
        <f t="shared" si="138"/>
        <v>0.40066949613156039</v>
      </c>
      <c r="J943" s="3">
        <f t="shared" si="139"/>
        <v>0.16956186462128928</v>
      </c>
      <c r="K943" s="3">
        <f t="shared" si="140"/>
        <v>0.21495692031779484</v>
      </c>
      <c r="L943" s="3">
        <f t="shared" si="141"/>
        <v>0.61548121506091602</v>
      </c>
      <c r="M943" s="56">
        <f t="shared" si="142"/>
        <v>0.38451878493908409</v>
      </c>
      <c r="O943" s="2">
        <v>31136</v>
      </c>
      <c r="R943" s="2">
        <v>28335</v>
      </c>
      <c r="S943" s="36"/>
    </row>
    <row r="944" spans="1:19" hidden="1" x14ac:dyDescent="0.25">
      <c r="A944" s="55" t="s">
        <v>14</v>
      </c>
      <c r="B944" s="1">
        <v>45867</v>
      </c>
      <c r="C944" s="36">
        <f t="shared" si="135"/>
        <v>33214.400000000001</v>
      </c>
      <c r="D944" s="2">
        <v>16170</v>
      </c>
      <c r="E944" s="36">
        <f t="shared" si="136"/>
        <v>24506.400000000001</v>
      </c>
      <c r="F944" s="2">
        <v>8922</v>
      </c>
      <c r="G944" s="2">
        <f t="shared" si="134"/>
        <v>82812.800000000003</v>
      </c>
      <c r="H944" s="3">
        <f t="shared" si="137"/>
        <v>0.40107809420765872</v>
      </c>
      <c r="I944" s="3">
        <f t="shared" si="138"/>
        <v>0.29592526759148347</v>
      </c>
      <c r="J944" s="3">
        <f t="shared" si="139"/>
        <v>0.19525967000270489</v>
      </c>
      <c r="K944" s="3">
        <f t="shared" si="140"/>
        <v>0.10773696819815294</v>
      </c>
      <c r="L944" s="3">
        <f t="shared" si="141"/>
        <v>0.69700336179914213</v>
      </c>
      <c r="M944" s="56">
        <f t="shared" si="142"/>
        <v>0.30299663820085782</v>
      </c>
      <c r="O944" s="2">
        <v>46409</v>
      </c>
      <c r="R944" s="2">
        <v>23984</v>
      </c>
      <c r="S944" s="36"/>
    </row>
    <row r="945" spans="1:19" hidden="1" x14ac:dyDescent="0.25">
      <c r="A945" s="55" t="s">
        <v>21</v>
      </c>
      <c r="B945" s="1">
        <v>45868</v>
      </c>
      <c r="C945" s="36">
        <f t="shared" si="135"/>
        <v>21003.200000000001</v>
      </c>
      <c r="D945" s="2">
        <v>11147</v>
      </c>
      <c r="E945" s="36">
        <f t="shared" si="136"/>
        <v>17192</v>
      </c>
      <c r="F945" s="2">
        <v>9182</v>
      </c>
      <c r="G945" s="2">
        <f t="shared" si="134"/>
        <v>58524.2</v>
      </c>
      <c r="H945" s="3">
        <f t="shared" si="137"/>
        <v>0.35888059982024534</v>
      </c>
      <c r="I945" s="3">
        <f t="shared" si="138"/>
        <v>0.29375882113723895</v>
      </c>
      <c r="J945" s="3">
        <f>IFERROR(D945/G945,0)</f>
        <v>0.19046821656682195</v>
      </c>
      <c r="K945" s="3">
        <f>IFERROR(F945/G945,0)</f>
        <v>0.15689236247569383</v>
      </c>
      <c r="L945" s="3">
        <f t="shared" si="141"/>
        <v>0.65263942095748428</v>
      </c>
      <c r="M945" s="56">
        <f>IFERROR((D945+F945)/G945, 0)</f>
        <v>0.34736057904251577</v>
      </c>
      <c r="O945" s="2">
        <v>61117</v>
      </c>
      <c r="R945" s="2">
        <v>58865</v>
      </c>
      <c r="S945" s="36"/>
    </row>
    <row r="946" spans="1:19" x14ac:dyDescent="0.25">
      <c r="A946" s="55" t="s">
        <v>26</v>
      </c>
      <c r="B946" s="1">
        <v>45869</v>
      </c>
      <c r="C946" s="36">
        <f t="shared" si="135"/>
        <v>13159.2</v>
      </c>
      <c r="D946" s="2">
        <v>12212</v>
      </c>
      <c r="E946" s="36">
        <f t="shared" si="136"/>
        <v>25121.600000000002</v>
      </c>
      <c r="F946" s="2">
        <v>11790</v>
      </c>
      <c r="G946" s="2">
        <f t="shared" si="134"/>
        <v>62282.8</v>
      </c>
      <c r="H946" s="3">
        <f t="shared" si="137"/>
        <v>0.2112814452786323</v>
      </c>
      <c r="I946" s="3">
        <f t="shared" si="138"/>
        <v>0.40334731258068041</v>
      </c>
      <c r="J946" s="3">
        <f>IFERROR(D946/G946,0)</f>
        <v>0.19607339425973142</v>
      </c>
      <c r="K946" s="3">
        <f>IFERROR(F946/G946,0)</f>
        <v>0.18929784788095588</v>
      </c>
      <c r="L946" s="3">
        <f t="shared" si="141"/>
        <v>0.6146287578593127</v>
      </c>
      <c r="M946" s="56">
        <f>IFERROR((D946+F946)/G946, 0)</f>
        <v>0.3853712421406873</v>
      </c>
      <c r="O946" s="2">
        <v>55020</v>
      </c>
      <c r="R946" s="2">
        <v>45835</v>
      </c>
      <c r="S946" s="36"/>
    </row>
    <row r="947" spans="1:19" x14ac:dyDescent="0.25">
      <c r="O947" s="2">
        <v>42990</v>
      </c>
      <c r="R947" s="2">
        <v>48324</v>
      </c>
      <c r="S947" s="36"/>
    </row>
    <row r="948" spans="1:19" x14ac:dyDescent="0.25">
      <c r="O948" s="2">
        <v>41661</v>
      </c>
      <c r="R948" s="2">
        <v>40500</v>
      </c>
      <c r="S948" s="36"/>
    </row>
    <row r="949" spans="1:19" x14ac:dyDescent="0.25">
      <c r="O949" s="2">
        <v>31745</v>
      </c>
      <c r="R949" s="2">
        <v>31652</v>
      </c>
      <c r="S949" s="36"/>
    </row>
    <row r="950" spans="1:19" x14ac:dyDescent="0.25">
      <c r="O950" s="2">
        <v>34395</v>
      </c>
      <c r="R950" s="2">
        <v>32117</v>
      </c>
      <c r="S950" s="36"/>
    </row>
    <row r="951" spans="1:19" x14ac:dyDescent="0.25">
      <c r="O951" s="2">
        <v>33755</v>
      </c>
      <c r="R951" s="2">
        <v>36946</v>
      </c>
      <c r="S951" s="36"/>
    </row>
    <row r="952" spans="1:19" x14ac:dyDescent="0.25">
      <c r="O952" s="2">
        <v>58727</v>
      </c>
      <c r="R952" s="2">
        <v>58725</v>
      </c>
      <c r="S952" s="36"/>
    </row>
    <row r="953" spans="1:19" x14ac:dyDescent="0.25">
      <c r="O953" s="2">
        <v>48531</v>
      </c>
      <c r="R953" s="2">
        <v>60907</v>
      </c>
      <c r="S953" s="36"/>
    </row>
    <row r="954" spans="1:19" x14ac:dyDescent="0.25">
      <c r="O954" s="2">
        <v>38940</v>
      </c>
      <c r="R954" s="2">
        <v>53666</v>
      </c>
      <c r="S954" s="36"/>
    </row>
    <row r="955" spans="1:19" x14ac:dyDescent="0.25">
      <c r="O955" s="2">
        <v>48119</v>
      </c>
      <c r="R955" s="2">
        <v>49437</v>
      </c>
      <c r="S955" s="36"/>
    </row>
    <row r="956" spans="1:19" x14ac:dyDescent="0.25">
      <c r="O956" s="2">
        <v>41978</v>
      </c>
      <c r="R956" s="2">
        <v>25187</v>
      </c>
      <c r="S956" s="36"/>
    </row>
    <row r="957" spans="1:19" x14ac:dyDescent="0.25">
      <c r="O957" s="2">
        <v>20397</v>
      </c>
      <c r="R957" s="2">
        <v>33342</v>
      </c>
      <c r="S957" s="36"/>
    </row>
    <row r="958" spans="1:19" x14ac:dyDescent="0.25">
      <c r="O958" s="2">
        <v>34762</v>
      </c>
      <c r="R958" s="2">
        <v>36096</v>
      </c>
      <c r="S958" s="36"/>
    </row>
    <row r="959" spans="1:19" x14ac:dyDescent="0.25">
      <c r="O959" s="2">
        <v>58173</v>
      </c>
      <c r="R959" s="2">
        <v>58739</v>
      </c>
      <c r="S959" s="36"/>
    </row>
    <row r="960" spans="1:19" x14ac:dyDescent="0.25">
      <c r="O960" s="2">
        <v>39708</v>
      </c>
      <c r="R960" s="2">
        <v>45105</v>
      </c>
      <c r="S960" s="36"/>
    </row>
    <row r="961" spans="15:19" x14ac:dyDescent="0.25">
      <c r="O961" s="2">
        <v>45977</v>
      </c>
      <c r="R961" s="2">
        <v>44164</v>
      </c>
      <c r="S961" s="36"/>
    </row>
    <row r="962" spans="15:19" x14ac:dyDescent="0.25">
      <c r="O962" s="2">
        <v>39275</v>
      </c>
      <c r="R962" s="2">
        <v>34032</v>
      </c>
      <c r="S962" s="36"/>
    </row>
    <row r="963" spans="15:19" x14ac:dyDescent="0.25">
      <c r="O963" s="2">
        <v>27675</v>
      </c>
      <c r="R963" s="2">
        <v>39192</v>
      </c>
      <c r="S963" s="36"/>
    </row>
    <row r="964" spans="15:19" x14ac:dyDescent="0.25">
      <c r="O964" s="2">
        <v>26191</v>
      </c>
      <c r="R964" s="2">
        <v>37268</v>
      </c>
      <c r="S964" s="36"/>
    </row>
    <row r="965" spans="15:19" x14ac:dyDescent="0.25">
      <c r="O965" s="2">
        <v>28224</v>
      </c>
      <c r="R965" s="2">
        <v>38731</v>
      </c>
      <c r="S965" s="36"/>
    </row>
    <row r="966" spans="15:19" x14ac:dyDescent="0.25">
      <c r="O966" s="2">
        <v>44815</v>
      </c>
      <c r="R966" s="2">
        <v>46858</v>
      </c>
      <c r="S966" s="36"/>
    </row>
    <row r="967" spans="15:19" x14ac:dyDescent="0.25">
      <c r="O967" s="2">
        <v>46709</v>
      </c>
      <c r="R967" s="2">
        <v>48811</v>
      </c>
      <c r="S967" s="36"/>
    </row>
    <row r="968" spans="15:19" x14ac:dyDescent="0.25">
      <c r="O968" s="2">
        <v>27369</v>
      </c>
      <c r="R968" s="2">
        <v>51049</v>
      </c>
      <c r="S968" s="36"/>
    </row>
    <row r="969" spans="15:19" x14ac:dyDescent="0.25">
      <c r="O969" s="2">
        <v>41518</v>
      </c>
      <c r="R969" s="2">
        <v>30633</v>
      </c>
      <c r="S969" s="36"/>
    </row>
    <row r="970" spans="15:19" x14ac:dyDescent="0.25">
      <c r="O970" s="2">
        <v>26254</v>
      </c>
      <c r="R970" s="2">
        <v>21490</v>
      </c>
      <c r="S970" s="36"/>
    </row>
    <row r="971" spans="15:19" x14ac:dyDescent="0.25">
      <c r="O971" s="2">
        <v>16449</v>
      </c>
      <c r="R971" s="2">
        <v>31402</v>
      </c>
      <c r="S971" s="36"/>
    </row>
  </sheetData>
  <mergeCells count="2">
    <mergeCell ref="H2:K2"/>
    <mergeCell ref="L2:M2"/>
  </mergeCell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Inputs</vt:lpstr>
      <vt:lpstr>Crew Sheet</vt:lpstr>
      <vt:lpstr>Staffing Forecast</vt:lpstr>
      <vt:lpstr>Staffing Dashboard</vt:lpstr>
      <vt:lpstr>Staffing sheet 1ST Shift</vt:lpstr>
      <vt:lpstr>Staffing Sheet 2nd Shift</vt:lpstr>
      <vt:lpstr>Percentage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Maxwell</dc:creator>
  <cp:keywords/>
  <dc:description/>
  <cp:lastModifiedBy>Andres Canas</cp:lastModifiedBy>
  <cp:revision/>
  <dcterms:created xsi:type="dcterms:W3CDTF">2026-04-29T22:26:46Z</dcterms:created>
  <dcterms:modified xsi:type="dcterms:W3CDTF">2026-06-12T14:00:27Z</dcterms:modified>
  <cp:category/>
  <cp:contentStatus/>
</cp:coreProperties>
</file>