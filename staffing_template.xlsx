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TK_Tools_App\Staff-Report\"/>
    </mc:Choice>
  </mc:AlternateContent>
  <xr:revisionPtr revIDLastSave="0" documentId="13_ncr:1_{5B2CF6CA-3EB9-4F2D-8D41-D093144EF1CA}" xr6:coauthVersionLast="47" xr6:coauthVersionMax="47" xr10:uidLastSave="{00000000-0000-0000-0000-000000000000}"/>
  <bookViews>
    <workbookView xWindow="-210" yWindow="375" windowWidth="29010" windowHeight="15105" activeTab="4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D15" i="3" s="1"/>
  <c r="E15" i="3" s="1"/>
  <c r="C16" i="3"/>
  <c r="D16" i="3" s="1"/>
  <c r="E16" i="3" s="1"/>
  <c r="C17" i="3"/>
  <c r="D17" i="3" s="1"/>
  <c r="E17" i="3" s="1"/>
  <c r="C18" i="3"/>
  <c r="D18" i="3" s="1"/>
  <c r="E18" i="3" s="1"/>
  <c r="C19" i="3"/>
  <c r="C20" i="3"/>
  <c r="C21" i="3"/>
  <c r="C22" i="3"/>
  <c r="C23" i="3"/>
  <c r="D23" i="3" s="1"/>
  <c r="E23" i="3" s="1"/>
  <c r="C24" i="3"/>
  <c r="C25" i="3"/>
  <c r="C26" i="3"/>
  <c r="D26" i="3" s="1"/>
  <c r="E26" i="3" s="1"/>
  <c r="C27" i="3"/>
  <c r="C28" i="3"/>
  <c r="C29" i="3"/>
  <c r="C30" i="3"/>
  <c r="C31" i="3"/>
  <c r="D31" i="3" s="1"/>
  <c r="E31" i="3" s="1"/>
  <c r="C32" i="3"/>
  <c r="D32" i="3" s="1"/>
  <c r="E32" i="3" s="1"/>
  <c r="C33" i="3"/>
  <c r="D33" i="3" s="1"/>
  <c r="E33" i="3" s="1"/>
  <c r="C34" i="3"/>
  <c r="C35" i="3"/>
  <c r="C36" i="3"/>
  <c r="C37" i="3"/>
  <c r="C38" i="3"/>
  <c r="D38" i="3" s="1"/>
  <c r="E38" i="3" s="1"/>
  <c r="C39" i="3"/>
  <c r="C40" i="3"/>
  <c r="C41" i="3"/>
  <c r="C42" i="3"/>
  <c r="C43" i="3"/>
  <c r="C44" i="3"/>
  <c r="D44" i="3" s="1"/>
  <c r="E44" i="3" s="1"/>
  <c r="C45" i="3"/>
  <c r="C46" i="3"/>
  <c r="C47" i="3"/>
  <c r="C48" i="3"/>
  <c r="C49" i="3"/>
  <c r="D49" i="3" s="1"/>
  <c r="E49" i="3" s="1"/>
  <c r="C50" i="3"/>
  <c r="D50" i="3" s="1"/>
  <c r="E50" i="3" s="1"/>
  <c r="C51" i="3"/>
  <c r="C52" i="3"/>
  <c r="C53" i="3"/>
  <c r="D53" i="3" s="1"/>
  <c r="E53" i="3" s="1"/>
  <c r="C54" i="3"/>
  <c r="C55" i="3"/>
  <c r="D55" i="3" s="1"/>
  <c r="E55" i="3" s="1"/>
  <c r="C56" i="3"/>
  <c r="C57" i="3"/>
  <c r="C58" i="3"/>
  <c r="C59" i="3"/>
  <c r="D59" i="3" s="1"/>
  <c r="E59" i="3" s="1"/>
  <c r="C60" i="3"/>
  <c r="C61" i="3"/>
  <c r="C62" i="3"/>
  <c r="C63" i="3"/>
  <c r="C64" i="3"/>
  <c r="D64" i="3" s="1"/>
  <c r="E64" i="3" s="1"/>
  <c r="C65" i="3"/>
  <c r="C66" i="3"/>
  <c r="D66" i="3" s="1"/>
  <c r="E66" i="3" s="1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D79" i="3" s="1"/>
  <c r="E79" i="3" s="1"/>
  <c r="C80" i="3"/>
  <c r="D80" i="3" s="1"/>
  <c r="E80" i="3" s="1"/>
  <c r="C81" i="3"/>
  <c r="C82" i="3"/>
  <c r="C83" i="3"/>
  <c r="C84" i="3"/>
  <c r="C85" i="3"/>
  <c r="C86" i="3"/>
  <c r="D86" i="3" s="1"/>
  <c r="E86" i="3" s="1"/>
  <c r="C87" i="3"/>
  <c r="C88" i="3"/>
  <c r="D88" i="3" s="1"/>
  <c r="E88" i="3" s="1"/>
  <c r="C89" i="3"/>
  <c r="C90" i="3"/>
  <c r="C91" i="3"/>
  <c r="C92" i="3"/>
  <c r="C93" i="3"/>
  <c r="C94" i="3"/>
  <c r="D94" i="3" s="1"/>
  <c r="E94" i="3" s="1"/>
  <c r="C95" i="3"/>
  <c r="C96" i="3"/>
  <c r="D96" i="3" s="1"/>
  <c r="E96" i="3" s="1"/>
  <c r="C97" i="3"/>
  <c r="D19" i="3"/>
  <c r="E19" i="3" s="1"/>
  <c r="D3" i="3"/>
  <c r="E3" i="3" s="1"/>
  <c r="D13" i="3"/>
  <c r="E13" i="3" s="1"/>
  <c r="D14" i="3"/>
  <c r="E14" i="3" s="1"/>
  <c r="D27" i="3"/>
  <c r="E27" i="3" s="1"/>
  <c r="D28" i="3"/>
  <c r="E28" i="3" s="1"/>
  <c r="D37" i="3"/>
  <c r="E37" i="3" s="1"/>
  <c r="D45" i="3"/>
  <c r="E45" i="3" s="1"/>
  <c r="D46" i="3"/>
  <c r="E46" i="3" s="1"/>
  <c r="D47" i="3"/>
  <c r="E47" i="3" s="1"/>
  <c r="D54" i="3"/>
  <c r="E54" i="3" s="1"/>
  <c r="D60" i="3"/>
  <c r="E60" i="3" s="1"/>
  <c r="D61" i="3"/>
  <c r="E61" i="3" s="1"/>
  <c r="D63" i="3"/>
  <c r="E63" i="3" s="1"/>
  <c r="D68" i="3"/>
  <c r="E68" i="3" s="1"/>
  <c r="D77" i="3"/>
  <c r="E77" i="3" s="1"/>
  <c r="D84" i="3"/>
  <c r="E84" i="3" s="1"/>
  <c r="D89" i="3"/>
  <c r="E89" i="3" s="1"/>
  <c r="D90" i="3"/>
  <c r="E90" i="3" s="1"/>
  <c r="D91" i="3"/>
  <c r="E91" i="3" s="1"/>
  <c r="D93" i="3"/>
  <c r="E93" i="3" s="1"/>
  <c r="E2" i="3"/>
  <c r="D8" i="3"/>
  <c r="E8" i="3" s="1"/>
  <c r="D9" i="3"/>
  <c r="E9" i="3" s="1"/>
  <c r="D10" i="3"/>
  <c r="E10" i="3" s="1"/>
  <c r="D40" i="3"/>
  <c r="E40" i="3" s="1"/>
  <c r="D51" i="3"/>
  <c r="E51" i="3" s="1"/>
  <c r="D67" i="3"/>
  <c r="E67" i="3" s="1"/>
  <c r="D87" i="3"/>
  <c r="E87" i="3" s="1"/>
  <c r="C98" i="3" a="1"/>
  <c r="C98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I48" i="4" l="1"/>
  <c r="I49" i="4"/>
  <c r="I50" i="4"/>
  <c r="C4" i="2"/>
  <c r="C3" i="2"/>
  <c r="C2" i="2"/>
  <c r="C11" i="2"/>
  <c r="C9" i="2"/>
  <c r="D5" i="3"/>
  <c r="E5" i="3" s="1"/>
  <c r="D6" i="3"/>
  <c r="E6" i="3" s="1"/>
  <c r="D7" i="3"/>
  <c r="E7" i="3" s="1"/>
  <c r="D11" i="3"/>
  <c r="E11" i="3" s="1"/>
  <c r="D12" i="3"/>
  <c r="E12" i="3" s="1"/>
  <c r="E20" i="3"/>
  <c r="D21" i="3"/>
  <c r="E21" i="3" s="1"/>
  <c r="D22" i="3"/>
  <c r="E22" i="3" s="1"/>
  <c r="D24" i="3"/>
  <c r="E24" i="3" s="1"/>
  <c r="D25" i="3"/>
  <c r="E25" i="3" s="1"/>
  <c r="D29" i="3"/>
  <c r="E29" i="3" s="1"/>
  <c r="D30" i="3"/>
  <c r="E30" i="3" s="1"/>
  <c r="D34" i="3"/>
  <c r="E34" i="3" s="1"/>
  <c r="D35" i="3"/>
  <c r="E35" i="3" s="1"/>
  <c r="D36" i="3"/>
  <c r="E36" i="3" s="1"/>
  <c r="D39" i="3"/>
  <c r="E39" i="3" s="1"/>
  <c r="D41" i="3"/>
  <c r="E41" i="3" s="1"/>
  <c r="D42" i="3"/>
  <c r="E42" i="3" s="1"/>
  <c r="D43" i="3"/>
  <c r="E43" i="3" s="1"/>
  <c r="D48" i="3"/>
  <c r="E48" i="3" s="1"/>
  <c r="D52" i="3"/>
  <c r="E52" i="3" s="1"/>
  <c r="D56" i="3"/>
  <c r="E56" i="3" s="1"/>
  <c r="D57" i="3"/>
  <c r="E57" i="3" s="1"/>
  <c r="D58" i="3"/>
  <c r="E58" i="3" s="1"/>
  <c r="D62" i="3"/>
  <c r="E62" i="3" s="1"/>
  <c r="D65" i="3"/>
  <c r="E65" i="3" s="1"/>
  <c r="D69" i="3"/>
  <c r="E69" i="3" s="1"/>
  <c r="D70" i="3"/>
  <c r="E70" i="3" s="1"/>
  <c r="D71" i="3"/>
  <c r="E71" i="3" s="1"/>
  <c r="D72" i="3"/>
  <c r="E72" i="3" s="1"/>
  <c r="D73" i="3"/>
  <c r="E73" i="3" s="1"/>
  <c r="D74" i="3"/>
  <c r="E74" i="3" s="1"/>
  <c r="D76" i="3"/>
  <c r="E76" i="3" s="1"/>
  <c r="D78" i="3"/>
  <c r="E78" i="3" s="1"/>
  <c r="D81" i="3"/>
  <c r="E81" i="3" s="1"/>
  <c r="D82" i="3"/>
  <c r="E82" i="3" s="1"/>
  <c r="D83" i="3"/>
  <c r="E83" i="3" s="1"/>
  <c r="D85" i="3"/>
  <c r="E85" i="3" s="1"/>
  <c r="D92" i="3"/>
  <c r="E92" i="3" s="1"/>
  <c r="D95" i="3"/>
  <c r="E95" i="3" s="1"/>
  <c r="D97" i="3"/>
  <c r="E97" i="3" s="1"/>
  <c r="D75" i="3"/>
  <c r="E75" i="3" s="1"/>
  <c r="C2" i="3"/>
  <c r="L14" i="3"/>
  <c r="L13" i="3"/>
  <c r="C148" i="3" l="1"/>
  <c r="L12" i="3"/>
  <c r="C5" i="2"/>
  <c r="C6" i="2"/>
  <c r="T3" i="4" l="1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T45" i="4"/>
  <c r="I45" i="4" s="1"/>
  <c r="T46" i="4"/>
  <c r="I46" i="4" s="1"/>
  <c r="T47" i="4"/>
  <c r="I47" i="4" s="1"/>
  <c r="W46" i="4" l="1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3" i="4"/>
  <c r="AC13" i="2"/>
  <c r="I6" i="4" l="1"/>
  <c r="I18" i="4" s="1"/>
  <c r="I20" i="4" l="1"/>
  <c r="I21" i="4" s="1"/>
  <c r="I24" i="4" l="1"/>
  <c r="I25" i="4" s="1"/>
  <c r="I27" i="4" s="1"/>
  <c r="I30" i="4" s="1"/>
  <c r="I33" i="4" l="1"/>
  <c r="I35" i="4" s="1"/>
  <c r="I36" i="4" s="1"/>
  <c r="I38" i="4" s="1"/>
  <c r="I39" i="4" s="1"/>
  <c r="I44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S12" i="3" s="1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3" i="3" l="1"/>
  <c r="S9" i="3"/>
  <c r="O9" i="3"/>
  <c r="P9" i="3"/>
  <c r="O25" i="3"/>
  <c r="U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O31" i="3" l="1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<sst xmlns="http://schemas.openxmlformats.org/spreadsheetml/2006/main" count="1851" uniqueCount="279">
  <si>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</si>
  <si>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</si>
  <si>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</si>
  <si>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</si>
  <si>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</si>
  <si>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</si>
  <si>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</si>
  <si>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</si>
  <si>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</si>
  <si>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</si>
  <si>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</si>
  <si>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</si>
  <si>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</si>
  <si>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</si>
  <si>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</si>
  <si>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</si>
  <si>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</si>
  <si>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</si>
  <si>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</si>
  <si>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</si>
  <si>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</si>
  <si>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</si>
  <si>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</si>
  <si>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</si>
  <si>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</si>
  <si>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</si>
  <si>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</si>
  <si>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</si>
  <si>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</si>
  <si>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</si>
  <si>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</si>
  <si>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</si>
  <si>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</si>
  <si>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</si>
  <si>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</si>
  <si>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</si>
  <si>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</si>
  <si>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</si>
  <si>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</si>
  <si>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</si>
  <si>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</si>
  <si>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</si>
  <si>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</si>
  <si>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</si>
  <si>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</si>
  <si>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</si>
  <si>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</si>
  <si>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</si>
  <si>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</si>
  <si>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</si>
  <si>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</si>
  <si>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</si>
  <si>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</si>
  <si>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</si>
  <si>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</si>
  <si>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</si>
  <si>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</si>
  <si>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</si>
  <si>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</si>
  <si>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</si>
  <si>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</si>
  <si>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</si>
  <si>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</si>
  <si>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</si>
  <si>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</si>
  <si>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</si>
  <si>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</si>
  <si>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</si>
  <si>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</si>
  <si>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</si>
  <si>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</si>
  <si>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</si>
  <si>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</si>
  <si>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</si>
  <si>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</si>
  <si>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</si>
  <si>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</si>
  <si>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</si>
  <si>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</si>
  <si>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</si>
  <si>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</si>
  <si>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</si>
  <si>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</si>
  <si>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</si>
  <si>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</si>
  <si>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</si>
  <si>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</si>
  <si>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</si>
  <si>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</si>
  <si>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</si>
  <si>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</si>
  <si>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</si>
  <si>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</si>
  <si>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</si>
  <si>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</si>
  <si>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</si>
  <si>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</si>
  <si>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</si>
  <si>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</si>
  <si>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</si>
  <si>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</si>
  <si>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</si>
  <si>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</si>
  <si>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</si>
  <si>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</si>
  <si>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</si>
  <si>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</si>
  <si>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</si>
  <si>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</si>
  <si>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</si>
  <si>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</si>
  <si>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</si>
  <si>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</si>
  <si>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</si>
  <si>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</si>
  <si>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</si>
  <si>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</si>
  <si>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</si>
  <si>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</si>
  <si>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</si>
  <si>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</si>
  <si>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</si>
  <si>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</si>
  <si>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</si>
  <si>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</si>
  <si>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</si>
  <si>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</si>
  <si>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</si>
  <si>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</si>
  <si>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</si>
  <si>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</si>
  <si>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</si>
  <si>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</si>
  <si>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</si>
  <si>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</si>
  <si>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</si>
  <si>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</si>
  <si>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</si>
  <si>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</si>
  <si>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</si>
  <si>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</si>
  <si>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</si>
  <si>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</si>
  <si>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</si>
  <si>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</si>
  <si>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</si>
  <si>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</si>
  <si>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</si>
  <si>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</si>
  <si>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</si>
  <si>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</si>
  <si>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</si>
  <si>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</si>
  <si>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</si>
  <si>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</si>
  <si>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</si>
  <si>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</si>
  <si>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</si>
  <si>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</si>
  <si>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</si>
  <si>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</si>
  <si>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</si>
  <si>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</si>
  <si>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</si>
  <si>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</si>
  <si>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</si>
  <si>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</si>
  <si>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</si>
  <si>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</si>
  <si>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</si>
  <si>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</si>
  <si>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</si>
  <si>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</si>
  <si>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</si>
  <si>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</si>
  <si>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</si>
  <si>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</si>
  <si>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</si>
  <si>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</si>
  <si>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</si>
  <si>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</si>
  <si>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</si>
  <si>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</si>
  <si>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</si>
  <si>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</si>
  <si>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</si>
  <si>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</si>
  <si>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</si>
  <si>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</si>
  <si>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</si>
  <si>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</si>
  <si>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</si>
  <si>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</si>
  <si>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</si>
  <si>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</si>
  <si>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</si>
  <si>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</si>
  <si>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</si>
  <si>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</si>
  <si>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</si>
  <si>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</si>
  <si>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</si>
  <si>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</si>
  <si>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</si>
  <si>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</si>
  <si>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</si>
  <si>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</si>
  <si>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</si>
  <si>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</si>
  <si>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</si>
  <si>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</si>
  <si>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</si>
  <si>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</si>
  <si>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</si>
  <si>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</si>
  <si>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</si>
  <si>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</si>
  <si>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</si>
  <si>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</si>
  <si>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</si>
  <si>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</si>
  <si>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</si>
  <si>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</si>
  <si>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</si>
  <si>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</si>
  <si>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</si>
  <si>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</si>
  <si>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</si>
  <si>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</si>
  <si>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</si>
  <si>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</si>
  <si>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</si>
  <si>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</si>
  <si>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</si>
  <si>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</si>
  <si>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</si>
  <si>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</si>
  <si>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</si>
  <si>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</si>
  <si>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</si>
  <si>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</si>
  <si>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</si>
  <si>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</si>
  <si>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</si>
  <si>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</si>
  <si>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</si>
  <si>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</si>
  <si>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</si>
  <si>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</si>
  <si>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</si>
  <si>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</si>
  <si>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</si>
  <si>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</si>
  <si>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</si>
  <si>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</si>
  <si>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</si>
  <si>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</si>
  <si>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</si>
  <si>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</si>
  <si>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</si>
  <si>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</si>
  <si>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</si>
  <si>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</si>
  <si>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</si>
  <si>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</si>
  <si>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</si>
  <si>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</si>
  <si>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</si>
  <si>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</si>
  <si>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</si>
  <si>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</si>
  <si>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</si>
  <si>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</si>
  <si>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</si>
  <si>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</si>
  <si>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</si>
  <si>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</si>
  <si>
    <t>Dylan</t>
  </si>
  <si>
    <t>Carlos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</si>
</sst>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66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2" fillId="0" borderId="3" xfId="0" applyFont="1" applyBorder="1" applyAlignment="1"/>
    <xf numFmtId="0" fontId="0" fillId="0" borderId="5" xfId="0" applyBorder="1"/>
    <xf numFmtId="9" fontId="0" fillId="0" borderId="3" xfId="1" applyFont="1" applyFill="1" applyBorder="1" applyAlignment="1">
      <alignment horizontal="left" vertical="center"/>
    </xf>
    <xf numFmtId="0" fontId="0" fillId="17" borderId="1" xfId="1" applyNumberFormat="1" applyFont="1" applyFill="1" applyBorder="1" applyAlignment="1">
      <alignment horizontal="left" vertical="center"/>
    </xf>
    <xf numFmtId="0" fontId="10" fillId="0" borderId="0" xfId="2" applyNumberFormat="1" applyFont="1" applyAlignment="1">
      <alignment horizontal="left" vertical="center"/>
    </xf>
    <xf numFmtId="0" fontId="8" fillId="0" borderId="0" xfId="2" applyNumberFormat="1" applyFont="1" applyAlignment="1">
      <alignment horizontal="left" vertical="center"/>
    </xf>
    <xf numFmtId="9" fontId="0" fillId="0" borderId="3" xfId="1" applyFont="1" applyFill="1" applyBorder="1"/>
    <xf numFmtId="0" fontId="0" fillId="0" borderId="1" xfId="1" applyNumberFormat="1" applyFont="1" applyBorder="1" applyAlignment="1">
      <alignment horizontal="left"/>
    </xf>
    <xf numFmtId="9" fontId="16" fillId="0" borderId="0" xfId="1" applyFont="1" applyBorder="1"/>
    <xf numFmtId="9" fontId="8" fillId="0" borderId="0" xfId="1" applyFont="1" applyBorder="1" applyAlignment="1">
      <alignment vertical="top"/>
    </xf>
    <xf numFmtId="9" fontId="8" fillId="0" borderId="0" xfId="1" applyFont="1" applyFill="1" applyBorder="1" applyAlignment="1">
      <alignment vertical="top"/>
    </xf>
    <xf numFmtId="9" fontId="8" fillId="4" borderId="0" xfId="1" applyFont="1" applyFill="1" applyBorder="1" applyAlignment="1">
      <alignment vertical="top"/>
    </xf>
    <xf numFmtId="0" fontId="8" fillId="17" borderId="5" xfId="2" applyNumberFormat="1" applyFont="1" applyFill="1" applyBorder="1" applyAlignment="1">
      <alignment horizontal="left" vertical="center"/>
    </xf>
    <xf numFmtId="0" fontId="8" fillId="17" borderId="14" xfId="2" applyNumberFormat="1" applyFont="1" applyFill="1" applyBorder="1" applyAlignment="1">
      <alignment horizontal="left" vertical="center"/>
    </xf>
    <xf numFmtId="0" fontId="10" fillId="17" borderId="4" xfId="2" applyNumberFormat="1" applyFon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98" totalsRowShown="0" headerRowDxfId="84" headerRowBorderDxfId="83" tableBorderDxfId="82" totalsRowBorderDxfId="81">
  <autoFilter ref="E2:G98" xr:uid="{031EB663-8209-469F-A374-FDA411014297}"/>
  <sortState xmlns:xlrd2="http://schemas.microsoft.com/office/spreadsheetml/2017/richdata2" ref="E3:G98">
    <sortCondition ref="E2:E98"/>
  </sortState>
  <tableColumns count="3">
    <tableColumn id="1" xr3:uid="{E8F55B06-37ED-4F33-84E2-EB91B839BBDC}" name="Name " dataDxfId="80" dataCellStyle="Percent"/>
    <tableColumn id="2" xr3:uid="{CEB23E05-8AA9-4D08-9144-F16759353368}" name="Shift" dataDxfId="79" dataCellStyle="Percent"/>
    <tableColumn id="3" xr3:uid="{E8F584AB-F5F2-48E5-AD15-BEDBFAEBED1C}" name="Present 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7" dataDxfId="76" headerRowCellStyle="Normal 2" dataCellStyle="Normal 2">
  <autoFilter ref="Q8:U16" xr:uid="{B211F10D-8B19-4A95-B055-F73F56DAC250}"/>
  <tableColumns count="5">
    <tableColumn id="1" xr3:uid="{30DC1EDA-5C0F-4F5E-9715-3F1FBFA8739D}" name="Expected Volume" dataDxfId="75" dataCellStyle="Normal 2">
      <calculatedColumnFormula>'Staffing Forecast'!AC13/4</calculatedColumnFormula>
    </tableColumn>
    <tableColumn id="2" xr3:uid="{23A260FE-14D0-4C6B-A71D-DF73ED9D6C69}" name="Expected Completed Cases" dataDxfId="74" dataCellStyle="Normal 2">
      <calculatedColumnFormula>44*'Crew Sheet'!I3</calculatedColumnFormula>
    </tableColumn>
    <tableColumn id="3" xr3:uid="{CD0A2822-1C1B-493E-A0E0-CF853FD8B971}" name="Completion % " dataDxfId="73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2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1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0" headerRowCellStyle="Normal 2">
  <autoFilter ref="N8:P16" xr:uid="{D699CF4E-0805-4A18-95BC-59A0CDB5ABED}"/>
  <tableColumns count="3">
    <tableColumn id="1" xr3:uid="{73B9821D-E8F2-4CA4-8937-35662A0162B1}" name="Workers Gap" dataDxfId="69" dataCellStyle="Normal 2">
      <calculatedColumnFormula>Table2[[#This Row],[Available Staff ]]-Table2[[#This Row],[Needed ]]</calculatedColumnFormula>
    </tableColumn>
    <tableColumn id="3" xr3:uid="{8226F470-62FB-460F-95CD-48B00B714660}" name="Hours Gap" dataDxfId="68" dataCellStyle="Normal 2">
      <calculatedColumnFormula>Table5[[#This Row],[Workers Gap]]*I3</calculatedColumnFormula>
    </tableColumn>
    <tableColumn id="2" xr3:uid="{178486D8-FB3F-4CAE-ADBE-7A8D77938D5C}" name="Status" dataDxfId="67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6" dataDxfId="65" headerRowCellStyle="Normal 2" dataCellStyle="Normal 2">
  <autoFilter ref="H8:L16" xr:uid="{02D3F5C5-6765-4B7E-93A3-35A7E0BFEF2C}"/>
  <tableColumns count="5">
    <tableColumn id="1" xr3:uid="{BB926FF7-849C-4906-A4BD-F7F42866B088}" name="Task" dataDxfId="64" totalsRowDxfId="63" dataCellStyle="Normal 2 2" totalsRowCellStyle="Normal 2 2"/>
    <tableColumn id="2" xr3:uid="{0A22FFD1-2FA5-450C-A4B5-595ABFB04281}" name="Available Staff " dataDxfId="62" totalsRowDxfId="61" dataCellStyle="Normal 2" totalsRowCellStyle="Normal 2">
      <calculatedColumnFormula>COUNTIF(E1:E48, "Unloading")</calculatedColumnFormula>
    </tableColumn>
    <tableColumn id="3" xr3:uid="{C9F64942-2076-4AEE-8338-AD2243C06434}" name="Column1" dataDxfId="60" totalsRowDxfId="59" dataCellStyle="Normal 2" totalsRowCellStyle="Normal 2"/>
    <tableColumn id="4" xr3:uid="{C8A70DF0-CAA5-44DB-9BCE-B278C766B8F7}" name="Inbound/Outbound" totalsRowFunction="custom" dataDxfId="58" totalsRowDxfId="57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6" totalsRowDxfId="55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98" totalsRowCount="1" headerRowDxfId="54" dataDxfId="53">
  <autoFilter ref="A1:E97" xr:uid="{09E63B43-55FB-4662-9539-B7A6CCB4934C}"/>
  <sortState xmlns:xlrd2="http://schemas.microsoft.com/office/spreadsheetml/2017/richdata2" ref="A2:E97">
    <sortCondition ref="A1:A97"/>
  </sortState>
  <tableColumns count="5">
    <tableColumn id="1" xr3:uid="{378533D2-B1FD-44C5-B565-7FA9D5600218}" name="Name " dataDxfId="52" totalsRowDxfId="51"/>
    <tableColumn id="2" xr3:uid="{EDDC7BD6-648A-46BE-9513-F98A04682A36}" name="Shift" dataDxfId="50" totalsRowDxfId="49" dataCellStyle="Normal 2"/>
    <tableColumn id="6" xr3:uid="{9D0943E1-8A10-4BC8-BCF0-9A4C12BC91ED}" name="Present" totalsRowFunction="custom" dataDxfId="48" totalsRowDxfId="47" dataCellStyle="Normal 2">
      <calculatedColumnFormula>Inputs!G3</calculatedColumnFormula>
      <totalsRowFormula array="1">COUNTIF(G2:G97,x)</totalsRowFormula>
    </tableColumn>
    <tableColumn id="5" xr3:uid="{1B40A01E-A3F7-4A62-96A5-3CBA1141A8EB}" name="Recommended Task" dataDxfId="46" totalsRowDxfId="45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44" totalsRowDxfId="43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42" dataDxfId="41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40" dataCellStyle="Normal 2"/>
    <tableColumn id="7" xr3:uid="{1B9564C3-606B-44E7-9409-BBBC732828D9}" name="Shift " dataDxfId="39" dataCellStyle="Normal 2"/>
    <tableColumn id="9" xr3:uid="{52A2F257-AC52-42E7-B8AD-26B7C5CDEA18}" name="Weekday/Weekend" dataDxfId="38" dataCellStyle="Normal 2"/>
    <tableColumn id="2" xr3:uid="{4391CAFC-B806-47AE-97BA-FE4348B6BBE4}" name="Skills " dataDxfId="37"/>
    <tableColumn id="8" xr3:uid="{6F9C6788-F5C9-4125-950E-7F5BF4CAF572}" name="Forklift Certified" dataDxfId="36"/>
    <tableColumn id="3" xr3:uid="{F271F169-B8C4-4452-8F33-C7A685EAF739}" name="Best Fit" dataDxfId="35"/>
    <tableColumn id="4" xr3:uid="{CC83BD97-B371-42C0-A23B-0907A68EDCB5}" name="Classification" dataDxfId="34"/>
    <tableColumn id="6" xr3:uid="{75015F24-6915-4715-AEBE-AC40105A73DF}" name="Present" dataDxfId="33">
      <calculatedColumnFormula>IFERROR(VLOOKUP($A2,'Crew Sheet'!#REF!,2,FALSE),"")</calculatedColumnFormula>
    </tableColumn>
    <tableColumn id="12" xr3:uid="{FCA61B40-E6E6-4CAB-8923-1B26B7D7B332}" name="Recommended Task" dataDxfId="32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31" dataDxfId="30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29" dataCellStyle="Normal 2"/>
    <tableColumn id="7" xr3:uid="{9F31F817-5384-4EA3-8CCB-719BFB212D62}" name="Shift " dataDxfId="28" dataCellStyle="Normal 2"/>
    <tableColumn id="9" xr3:uid="{872D6743-106A-4EFA-A85C-0D0F0DD69C29}" name="Weekday/Weekend" dataDxfId="27" dataCellStyle="Normal 2"/>
    <tableColumn id="2" xr3:uid="{F93C46E1-679B-49EE-BF09-DB28F1CB55E4}" name="Skills " dataDxfId="26"/>
    <tableColumn id="8" xr3:uid="{D478939E-F43B-4495-957A-89D310F2057C}" name="Forklift Certified" dataDxfId="25"/>
    <tableColumn id="3" xr3:uid="{DF1EA81B-3A8F-4DC0-B1DD-5EF399424F3C}" name="Best Fit" dataDxfId="24"/>
    <tableColumn id="4" xr3:uid="{B7BE5BE4-3821-4CC8-9BD1-9C75D4BFB9E7}" name="Classification" dataDxfId="23"/>
    <tableColumn id="6" xr3:uid="{2416C68C-97B7-44FC-9013-30D70CF8C9CB}" name="Present" dataDxfId="22">
      <calculatedColumnFormula>IFERROR(VLOOKUP($A2,'Crew Sheet'!#REF!,2,FALSE),"")</calculatedColumnFormula>
    </tableColumn>
    <tableColumn id="12" xr3:uid="{3E60B2E9-94F9-4227-99CF-817F62A8E8EC}" name="Recommended Task" dataDxfId="21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0" dataDxfId="18" headerRowBorderDxfId="19" tableBorderDxfId="17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6"/>
    <tableColumn id="2" xr3:uid="{15BC200D-2A7D-42A9-816F-F61F2B352644}" name="Date" dataDxfId="15"/>
    <tableColumn id="3" xr3:uid="{6E8128F9-ADFB-4EFB-8B49-1C4E71DD7EF0}" name="1st Pallets" dataDxfId="14">
      <calculatedColumnFormula>O29*$P$27</calculatedColumnFormula>
    </tableColumn>
    <tableColumn id="4" xr3:uid="{90F78137-FFC5-41E3-A9D9-5A0EC5FE4975}" name="1st Cases" dataDxfId="13"/>
    <tableColumn id="5" xr3:uid="{8200FF7F-BCF8-48C8-B0CB-303683386417}" name="2nd Pallets" dataDxfId="12">
      <calculatedColumnFormula>R29*$P$27</calculatedColumnFormula>
    </tableColumn>
    <tableColumn id="6" xr3:uid="{02468058-7DEC-41C7-8DCB-CF982D43399D}" name="2nd Cases" dataDxfId="11"/>
    <tableColumn id="7" xr3:uid="{BBC0DD35-D943-46F1-B706-5784D7369796}" name="Total Cases" dataDxfId="10">
      <calculatedColumnFormula>SUM(C4:F4)</calculatedColumnFormula>
    </tableColumn>
    <tableColumn id="8" xr3:uid="{D9CAC310-34BD-45FD-8673-1F1D643911B2}" name="Pallets 1st" dataDxfId="9">
      <calculatedColumnFormula>IFERROR(C4/G4,0)</calculatedColumnFormula>
    </tableColumn>
    <tableColumn id="9" xr3:uid="{A5ECACF9-8EA9-40BA-8495-E5D08AA0FB8C}" name="Pallets 2nd" dataDxfId="8">
      <calculatedColumnFormula>IFERROR(E4/G4,0)</calculatedColumnFormula>
    </tableColumn>
    <tableColumn id="10" xr3:uid="{8DEA38E9-29BD-4BB9-99DC-B451FD1006E7}" name="Cases 1st" dataDxfId="7">
      <calculatedColumnFormula>IFERROR(D4/G4,0)</calculatedColumnFormula>
    </tableColumn>
    <tableColumn id="11" xr3:uid="{6945D6B2-198F-483D-A794-06650B4628CF}" name="Cases 2nd" dataDxfId="6">
      <calculatedColumnFormula>IFERROR(F4/G4,0)</calculatedColumnFormula>
    </tableColumn>
    <tableColumn id="12" xr3:uid="{F0AE8DE5-4171-4614-8CC7-F76DDB35C172}" name="Total Pallets" dataDxfId="5">
      <calculatedColumnFormula>IFERROR((C4+E4)/G4, 0)</calculatedColumnFormula>
    </tableColumn>
    <tableColumn id="13" xr3:uid="{7AFE8EA3-98E3-469A-8F81-658415A70ED8}" name="Total Case Pick" dataDxfId="4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98"/>
  <sheetViews>
    <sheetView workbookViewId="0">
      <selection activeCell="F16" sqref="F16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211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218</v>
      </c>
      <c r="M1" s="88">
        <f>COUNTIF(G3:G52, "x") + COUNTIF(P3:P52,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7" t="s">
        <v>0</v>
      </c>
      <c r="F2" s="128" t="s">
        <v>13</v>
      </c>
      <c r="G2" s="129" t="s">
        <v>199</v>
      </c>
      <c r="H2" s="37" t="s">
        <v>210</v>
      </c>
      <c r="I2" s="76"/>
      <c r="J2" t="s">
        <v>210</v>
      </c>
      <c r="K2">
        <v>2</v>
      </c>
      <c r="O2" s="97"/>
      <c r="P2" s="130"/>
    </row>
    <row r="3" spans="1:17" ht="15.75" x14ac:dyDescent="0.25">
      <c r="A3" s="90" t="s">
        <v>20</v>
      </c>
      <c r="B3" s="62"/>
      <c r="C3" s="78"/>
      <c r="D3" s="79"/>
      <c r="E3" s="115" t="s">
        <v>276</v>
      </c>
      <c r="F3" s="81">
        <v>1</v>
      </c>
      <c r="G3" s="123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209</v>
      </c>
      <c r="B4" s="62">
        <v>9.5</v>
      </c>
      <c r="C4" s="37"/>
      <c r="E4" s="117" t="s">
        <v>223</v>
      </c>
      <c r="F4" s="114">
        <v>2</v>
      </c>
      <c r="G4" s="124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16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5" t="s">
        <v>144</v>
      </c>
      <c r="F6" s="81">
        <v>1</v>
      </c>
      <c r="G6" s="123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190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5" t="s">
        <v>188</v>
      </c>
      <c r="F8" s="81">
        <v>1</v>
      </c>
      <c r="G8" s="123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8" t="s">
        <v>224</v>
      </c>
      <c r="F9" s="114">
        <v>2</v>
      </c>
      <c r="G9" s="123"/>
      <c r="O9" s="95"/>
      <c r="P9" s="55"/>
    </row>
    <row r="10" spans="1:17" x14ac:dyDescent="0.25">
      <c r="A10" s="89" t="s">
        <v>87</v>
      </c>
      <c r="B10" s="84"/>
      <c r="E10" s="119" t="s">
        <v>225</v>
      </c>
      <c r="F10" s="114">
        <v>2</v>
      </c>
      <c r="G10" s="126"/>
      <c r="O10" s="95"/>
      <c r="P10" s="55"/>
    </row>
    <row r="11" spans="1:17" x14ac:dyDescent="0.25">
      <c r="E11" s="119" t="s">
        <v>226</v>
      </c>
      <c r="F11" s="114">
        <v>2</v>
      </c>
      <c r="G11" s="126"/>
      <c r="O11" s="95"/>
      <c r="P11" s="55"/>
    </row>
    <row r="12" spans="1:17" ht="15.75" x14ac:dyDescent="0.25">
      <c r="E12" s="116" t="s">
        <v>22</v>
      </c>
      <c r="F12" s="81">
        <v>1</v>
      </c>
      <c r="G12" s="124"/>
      <c r="O12" s="95"/>
      <c r="P12" s="55"/>
    </row>
    <row r="13" spans="1:17" ht="15.75" x14ac:dyDescent="0.25">
      <c r="A13" s="86" t="s">
        <v>212</v>
      </c>
      <c r="E13" s="115" t="s">
        <v>27</v>
      </c>
      <c r="F13" s="81">
        <v>1</v>
      </c>
      <c r="G13" s="123"/>
      <c r="O13" s="95"/>
      <c r="P13" s="55"/>
    </row>
    <row r="14" spans="1:17" ht="15.75" x14ac:dyDescent="0.25">
      <c r="A14" s="37" t="s">
        <v>141</v>
      </c>
      <c r="E14" s="120" t="s">
        <v>227</v>
      </c>
      <c r="F14" s="114">
        <v>2</v>
      </c>
      <c r="G14" s="126"/>
      <c r="O14" s="95"/>
      <c r="P14" s="55"/>
    </row>
    <row r="15" spans="1:17" ht="15.75" x14ac:dyDescent="0.25">
      <c r="A15" s="37" t="s">
        <v>170</v>
      </c>
      <c r="E15" s="118" t="s">
        <v>228</v>
      </c>
      <c r="F15" s="114">
        <v>2</v>
      </c>
      <c r="G15" s="126"/>
      <c r="O15" s="95"/>
      <c r="P15" s="55"/>
    </row>
    <row r="16" spans="1:17" x14ac:dyDescent="0.25">
      <c r="E16" s="136" t="s">
        <v>278</v>
      </c>
      <c r="F16" s="137">
        <v>1</v>
      </c>
      <c r="G16" s="126"/>
      <c r="O16" s="95"/>
      <c r="P16" s="55"/>
    </row>
    <row r="17" spans="3:16" x14ac:dyDescent="0.25">
      <c r="E17" s="118" t="s">
        <v>229</v>
      </c>
      <c r="F17" s="114">
        <v>2</v>
      </c>
      <c r="G17" s="126"/>
      <c r="O17" s="95"/>
      <c r="P17" s="55"/>
    </row>
    <row r="18" spans="3:16" x14ac:dyDescent="0.25">
      <c r="E18" s="118" t="s">
        <v>230</v>
      </c>
      <c r="F18" s="114">
        <v>2</v>
      </c>
      <c r="G18" s="126"/>
      <c r="O18" s="95"/>
      <c r="P18" s="55"/>
    </row>
    <row r="19" spans="3:16" x14ac:dyDescent="0.25">
      <c r="C19" s="82"/>
      <c r="E19" s="118" t="s">
        <v>231</v>
      </c>
      <c r="F19" s="114">
        <v>2</v>
      </c>
      <c r="G19" s="126"/>
      <c r="O19" s="95"/>
      <c r="P19" s="55"/>
    </row>
    <row r="20" spans="3:16" ht="15.75" x14ac:dyDescent="0.25">
      <c r="E20" s="115" t="s">
        <v>221</v>
      </c>
      <c r="F20" s="81">
        <v>1</v>
      </c>
      <c r="G20" s="124"/>
      <c r="O20" s="95"/>
      <c r="P20" s="55"/>
    </row>
    <row r="21" spans="3:16" ht="15.75" x14ac:dyDescent="0.25">
      <c r="E21" s="116" t="s">
        <v>46</v>
      </c>
      <c r="F21" s="81">
        <v>1</v>
      </c>
      <c r="G21" s="124"/>
      <c r="O21" s="95"/>
      <c r="P21" s="55"/>
    </row>
    <row r="22" spans="3:16" ht="15.75" x14ac:dyDescent="0.25">
      <c r="E22" s="115" t="s">
        <v>49</v>
      </c>
      <c r="F22" s="81">
        <v>1</v>
      </c>
      <c r="G22" s="123"/>
      <c r="O22" s="95"/>
      <c r="P22" s="55"/>
    </row>
    <row r="23" spans="3:16" ht="15.75" x14ac:dyDescent="0.25">
      <c r="E23" s="116" t="s">
        <v>51</v>
      </c>
      <c r="F23" s="81">
        <v>1</v>
      </c>
      <c r="G23" s="124"/>
      <c r="O23" s="95"/>
      <c r="P23" s="55"/>
    </row>
    <row r="24" spans="3:16" x14ac:dyDescent="0.25">
      <c r="E24" s="119" t="s">
        <v>232</v>
      </c>
      <c r="F24" s="114">
        <v>2</v>
      </c>
      <c r="G24" s="126"/>
      <c r="O24" s="95"/>
      <c r="P24" s="55"/>
    </row>
    <row r="25" spans="3:16" ht="15.75" x14ac:dyDescent="0.25">
      <c r="E25" s="115" t="s">
        <v>53</v>
      </c>
      <c r="F25" s="81">
        <v>1</v>
      </c>
      <c r="G25" s="123"/>
      <c r="O25" s="95"/>
      <c r="P25" s="55"/>
    </row>
    <row r="26" spans="3:16" ht="15.75" x14ac:dyDescent="0.25">
      <c r="E26" s="116" t="s">
        <v>55</v>
      </c>
      <c r="F26" s="81">
        <v>1</v>
      </c>
      <c r="G26" s="124"/>
      <c r="O26" s="95"/>
      <c r="P26" s="55"/>
    </row>
    <row r="27" spans="3:16" x14ac:dyDescent="0.25">
      <c r="E27" s="119" t="s">
        <v>233</v>
      </c>
      <c r="F27" s="114">
        <v>2</v>
      </c>
      <c r="G27" s="126"/>
      <c r="O27" s="95"/>
      <c r="P27" s="55"/>
    </row>
    <row r="28" spans="3:16" x14ac:dyDescent="0.25">
      <c r="E28" s="118" t="s">
        <v>234</v>
      </c>
      <c r="F28" s="114">
        <v>2</v>
      </c>
      <c r="G28" s="126"/>
      <c r="O28" s="95"/>
      <c r="P28" s="55"/>
    </row>
    <row r="29" spans="3:16" x14ac:dyDescent="0.25">
      <c r="E29" s="119" t="s">
        <v>235</v>
      </c>
      <c r="F29" s="114">
        <v>2</v>
      </c>
      <c r="G29" s="126"/>
      <c r="O29" s="95"/>
      <c r="P29" s="55"/>
    </row>
    <row r="30" spans="3:16" ht="15.75" x14ac:dyDescent="0.25">
      <c r="E30" s="115" t="s">
        <v>171</v>
      </c>
      <c r="F30" s="81">
        <v>1</v>
      </c>
      <c r="G30" s="123"/>
      <c r="O30" s="95"/>
      <c r="P30" s="55"/>
    </row>
    <row r="31" spans="3:16" ht="15.75" x14ac:dyDescent="0.25">
      <c r="E31" s="116" t="s">
        <v>56</v>
      </c>
      <c r="F31" s="81">
        <v>1</v>
      </c>
      <c r="G31" s="124"/>
      <c r="O31" s="95"/>
      <c r="P31" s="55"/>
    </row>
    <row r="32" spans="3:16" ht="15.75" x14ac:dyDescent="0.25">
      <c r="E32" s="132" t="s">
        <v>277</v>
      </c>
      <c r="F32" s="133">
        <v>1</v>
      </c>
      <c r="G32" s="123"/>
      <c r="O32" s="95"/>
      <c r="P32" s="55"/>
    </row>
    <row r="33" spans="5:16" x14ac:dyDescent="0.25">
      <c r="E33" s="119" t="s">
        <v>236</v>
      </c>
      <c r="F33" s="114">
        <v>2</v>
      </c>
      <c r="G33" s="126"/>
      <c r="O33" s="95"/>
      <c r="P33" s="55"/>
    </row>
    <row r="34" spans="5:16" x14ac:dyDescent="0.25">
      <c r="E34" s="119" t="s">
        <v>237</v>
      </c>
      <c r="F34" s="114">
        <v>2</v>
      </c>
      <c r="G34" s="126"/>
      <c r="O34" s="95"/>
      <c r="P34" s="55"/>
    </row>
    <row r="35" spans="5:16" ht="15.75" x14ac:dyDescent="0.25">
      <c r="E35" s="115" t="s">
        <v>172</v>
      </c>
      <c r="F35" s="81">
        <v>1</v>
      </c>
      <c r="G35" s="123"/>
      <c r="O35" s="95"/>
      <c r="P35" s="55"/>
    </row>
    <row r="36" spans="5:16" ht="15.75" x14ac:dyDescent="0.25">
      <c r="E36" s="116" t="s">
        <v>173</v>
      </c>
      <c r="F36" s="81">
        <v>1</v>
      </c>
      <c r="G36" s="124"/>
      <c r="O36" s="95"/>
      <c r="P36" s="55"/>
    </row>
    <row r="37" spans="5:16" ht="15.75" x14ac:dyDescent="0.25">
      <c r="E37" s="115" t="s">
        <v>180</v>
      </c>
      <c r="F37" s="81">
        <v>1</v>
      </c>
      <c r="G37" s="123"/>
      <c r="O37" s="95"/>
      <c r="P37" s="55"/>
    </row>
    <row r="38" spans="5:16" x14ac:dyDescent="0.25">
      <c r="E38" s="119" t="s">
        <v>238</v>
      </c>
      <c r="F38" s="114">
        <v>2</v>
      </c>
      <c r="G38" s="126"/>
      <c r="O38" s="95"/>
      <c r="P38" s="55"/>
    </row>
    <row r="39" spans="5:16" x14ac:dyDescent="0.25">
      <c r="E39" s="119" t="s">
        <v>239</v>
      </c>
      <c r="F39" s="114">
        <v>2</v>
      </c>
      <c r="G39" s="126"/>
      <c r="O39" s="95"/>
      <c r="P39" s="55"/>
    </row>
    <row r="40" spans="5:16" ht="15.75" x14ac:dyDescent="0.25">
      <c r="E40" s="116" t="s">
        <v>60</v>
      </c>
      <c r="F40" s="81">
        <v>1</v>
      </c>
      <c r="G40" s="124"/>
      <c r="O40" s="95"/>
      <c r="P40" s="55"/>
    </row>
    <row r="41" spans="5:16" x14ac:dyDescent="0.25">
      <c r="E41" s="119" t="s">
        <v>240</v>
      </c>
      <c r="F41" s="114">
        <v>2</v>
      </c>
      <c r="G41" s="126"/>
      <c r="O41" s="95"/>
      <c r="P41" s="55"/>
    </row>
    <row r="42" spans="5:16" ht="15.75" x14ac:dyDescent="0.25">
      <c r="E42" s="115" t="s">
        <v>61</v>
      </c>
      <c r="F42" s="81">
        <v>1</v>
      </c>
      <c r="G42" s="123"/>
      <c r="O42" s="95"/>
      <c r="P42" s="55"/>
    </row>
    <row r="43" spans="5:16" ht="15.75" x14ac:dyDescent="0.25">
      <c r="E43" s="116" t="s">
        <v>146</v>
      </c>
      <c r="F43" s="81">
        <v>1</v>
      </c>
      <c r="G43" s="124"/>
      <c r="O43" s="95"/>
      <c r="P43" s="55"/>
    </row>
    <row r="44" spans="5:16" ht="15.75" x14ac:dyDescent="0.25">
      <c r="E44" s="115" t="s">
        <v>147</v>
      </c>
      <c r="F44" s="81">
        <v>1</v>
      </c>
      <c r="G44" s="123"/>
      <c r="O44" s="95"/>
      <c r="P44" s="55"/>
    </row>
    <row r="45" spans="5:16" x14ac:dyDescent="0.25">
      <c r="E45" s="118" t="s">
        <v>241</v>
      </c>
      <c r="F45" s="114">
        <v>2</v>
      </c>
      <c r="G45" s="126"/>
      <c r="O45" s="95"/>
      <c r="P45" s="55"/>
    </row>
    <row r="46" spans="5:16" x14ac:dyDescent="0.25">
      <c r="E46" s="118" t="s">
        <v>242</v>
      </c>
      <c r="F46" s="114">
        <v>2</v>
      </c>
      <c r="G46" s="126"/>
      <c r="O46" s="95"/>
      <c r="P46" s="55"/>
    </row>
    <row r="47" spans="5:16" x14ac:dyDescent="0.25">
      <c r="E47" s="119" t="s">
        <v>243</v>
      </c>
      <c r="F47" s="114">
        <v>2</v>
      </c>
      <c r="G47" s="126"/>
      <c r="O47" s="95"/>
      <c r="P47" s="55"/>
    </row>
    <row r="48" spans="5:16" x14ac:dyDescent="0.25">
      <c r="E48" s="118" t="s">
        <v>244</v>
      </c>
      <c r="F48" s="114">
        <v>2</v>
      </c>
      <c r="G48" s="126"/>
      <c r="O48" s="95"/>
      <c r="P48" s="55"/>
    </row>
    <row r="49" spans="5:16" ht="15.75" x14ac:dyDescent="0.25">
      <c r="E49" s="116" t="s">
        <v>203</v>
      </c>
      <c r="F49" s="81">
        <v>1</v>
      </c>
      <c r="G49" s="124"/>
      <c r="O49" s="95"/>
      <c r="P49" s="55"/>
    </row>
    <row r="50" spans="5:16" x14ac:dyDescent="0.25">
      <c r="E50" s="118" t="s">
        <v>245</v>
      </c>
      <c r="F50" s="114">
        <v>2</v>
      </c>
      <c r="G50" s="126"/>
      <c r="O50" s="95"/>
      <c r="P50" s="55"/>
    </row>
    <row r="51" spans="5:16" x14ac:dyDescent="0.25">
      <c r="E51" s="118" t="s">
        <v>246</v>
      </c>
      <c r="F51" s="114">
        <v>2</v>
      </c>
      <c r="G51" s="126"/>
      <c r="O51" s="95"/>
      <c r="P51" s="55"/>
    </row>
    <row r="52" spans="5:16" x14ac:dyDescent="0.25">
      <c r="E52" s="118" t="s">
        <v>247</v>
      </c>
      <c r="F52" s="114">
        <v>2</v>
      </c>
      <c r="G52" s="126"/>
      <c r="O52" s="95"/>
      <c r="P52" s="95"/>
    </row>
    <row r="53" spans="5:16" ht="15.75" x14ac:dyDescent="0.25">
      <c r="E53" s="115" t="s">
        <v>66</v>
      </c>
      <c r="F53" s="81">
        <v>1</v>
      </c>
      <c r="G53" s="123"/>
    </row>
    <row r="54" spans="5:16" ht="15.75" x14ac:dyDescent="0.25">
      <c r="E54" s="116" t="s">
        <v>222</v>
      </c>
      <c r="F54" s="81">
        <v>1</v>
      </c>
      <c r="G54" s="123"/>
    </row>
    <row r="55" spans="5:16" x14ac:dyDescent="0.25">
      <c r="E55" s="119" t="s">
        <v>248</v>
      </c>
      <c r="F55" s="114">
        <v>2</v>
      </c>
      <c r="G55" s="126"/>
    </row>
    <row r="56" spans="5:16" x14ac:dyDescent="0.25">
      <c r="E56" s="117" t="s">
        <v>249</v>
      </c>
      <c r="F56" s="114">
        <v>2</v>
      </c>
      <c r="G56" s="126"/>
    </row>
    <row r="57" spans="5:16" ht="15.75" x14ac:dyDescent="0.25">
      <c r="E57" s="116" t="s">
        <v>174</v>
      </c>
      <c r="F57" s="81">
        <v>1</v>
      </c>
      <c r="G57" s="124"/>
    </row>
    <row r="58" spans="5:16" ht="15.75" x14ac:dyDescent="0.25">
      <c r="E58" s="115" t="s">
        <v>183</v>
      </c>
      <c r="F58" s="81">
        <v>1</v>
      </c>
      <c r="G58" s="123"/>
    </row>
    <row r="59" spans="5:16" ht="15.75" x14ac:dyDescent="0.25">
      <c r="E59" s="116" t="s">
        <v>202</v>
      </c>
      <c r="F59" s="81">
        <v>1</v>
      </c>
      <c r="G59" s="124"/>
    </row>
    <row r="60" spans="5:16" x14ac:dyDescent="0.25">
      <c r="E60" s="117" t="s">
        <v>250</v>
      </c>
      <c r="F60" s="114">
        <v>2</v>
      </c>
      <c r="G60" s="126"/>
    </row>
    <row r="61" spans="5:16" x14ac:dyDescent="0.25">
      <c r="E61" s="119" t="s">
        <v>251</v>
      </c>
      <c r="F61" s="114">
        <v>2</v>
      </c>
      <c r="G61" s="126"/>
    </row>
    <row r="62" spans="5:16" x14ac:dyDescent="0.25">
      <c r="E62" s="118" t="s">
        <v>252</v>
      </c>
      <c r="F62" s="114">
        <v>2</v>
      </c>
      <c r="G62" s="126"/>
    </row>
    <row r="63" spans="5:16" ht="15.75" x14ac:dyDescent="0.25">
      <c r="E63" s="115" t="s">
        <v>181</v>
      </c>
      <c r="F63" s="81">
        <v>1</v>
      </c>
      <c r="G63" s="123"/>
    </row>
    <row r="64" spans="5:16" x14ac:dyDescent="0.25">
      <c r="E64" s="119" t="s">
        <v>253</v>
      </c>
      <c r="F64" s="114">
        <v>2</v>
      </c>
      <c r="G64" s="126"/>
    </row>
    <row r="65" spans="5:7" x14ac:dyDescent="0.25">
      <c r="E65" s="119" t="s">
        <v>254</v>
      </c>
      <c r="F65" s="114">
        <v>2</v>
      </c>
      <c r="G65" s="126"/>
    </row>
    <row r="66" spans="5:7" ht="15.75" x14ac:dyDescent="0.25">
      <c r="E66" s="116" t="s">
        <v>145</v>
      </c>
      <c r="F66" s="81">
        <v>1</v>
      </c>
      <c r="G66" s="124"/>
    </row>
    <row r="67" spans="5:7" x14ac:dyDescent="0.25">
      <c r="E67" s="119" t="s">
        <v>255</v>
      </c>
      <c r="F67" s="114">
        <v>2</v>
      </c>
      <c r="G67" s="126"/>
    </row>
    <row r="68" spans="5:7" x14ac:dyDescent="0.25">
      <c r="E68" s="119" t="s">
        <v>256</v>
      </c>
      <c r="F68" s="114">
        <v>2</v>
      </c>
      <c r="G68" s="126"/>
    </row>
    <row r="69" spans="5:7" x14ac:dyDescent="0.25">
      <c r="E69" s="119" t="s">
        <v>257</v>
      </c>
      <c r="F69" s="114">
        <v>2</v>
      </c>
      <c r="G69" s="126"/>
    </row>
    <row r="70" spans="5:7" ht="15.75" x14ac:dyDescent="0.25">
      <c r="E70" s="115" t="s">
        <v>163</v>
      </c>
      <c r="F70" s="81">
        <v>1</v>
      </c>
      <c r="G70" s="123"/>
    </row>
    <row r="71" spans="5:7" ht="15.75" x14ac:dyDescent="0.25">
      <c r="E71" s="116" t="s">
        <v>67</v>
      </c>
      <c r="F71" s="81">
        <v>1</v>
      </c>
      <c r="G71" s="124"/>
    </row>
    <row r="72" spans="5:7" ht="15.75" x14ac:dyDescent="0.25">
      <c r="E72" s="115" t="s">
        <v>69</v>
      </c>
      <c r="F72" s="81">
        <v>1</v>
      </c>
      <c r="G72" s="123"/>
    </row>
    <row r="73" spans="5:7" ht="15.75" x14ac:dyDescent="0.25">
      <c r="E73" s="116" t="s">
        <v>70</v>
      </c>
      <c r="F73" s="81">
        <v>1</v>
      </c>
      <c r="G73" s="124"/>
    </row>
    <row r="74" spans="5:7" ht="15.75" x14ac:dyDescent="0.25">
      <c r="E74" s="115" t="s">
        <v>71</v>
      </c>
      <c r="F74" s="81">
        <v>1</v>
      </c>
      <c r="G74" s="123"/>
    </row>
    <row r="75" spans="5:7" ht="15.75" x14ac:dyDescent="0.25">
      <c r="E75" s="116" t="s">
        <v>72</v>
      </c>
      <c r="F75" s="81">
        <v>1</v>
      </c>
      <c r="G75" s="124"/>
    </row>
    <row r="76" spans="5:7" ht="15.75" x14ac:dyDescent="0.25">
      <c r="E76" s="115" t="s">
        <v>219</v>
      </c>
      <c r="F76" s="81">
        <v>1</v>
      </c>
      <c r="G76" s="125"/>
    </row>
    <row r="77" spans="5:7" ht="15.75" x14ac:dyDescent="0.25">
      <c r="E77" s="115" t="s">
        <v>143</v>
      </c>
      <c r="F77" s="81">
        <v>1</v>
      </c>
      <c r="G77" s="123"/>
    </row>
    <row r="78" spans="5:7" x14ac:dyDescent="0.25">
      <c r="E78" s="121" t="s">
        <v>258</v>
      </c>
      <c r="F78" s="114">
        <v>2</v>
      </c>
      <c r="G78" s="126"/>
    </row>
    <row r="79" spans="5:7" ht="15.75" x14ac:dyDescent="0.25">
      <c r="E79" s="116" t="s">
        <v>142</v>
      </c>
      <c r="F79" s="81">
        <v>1</v>
      </c>
      <c r="G79" s="124"/>
    </row>
    <row r="80" spans="5:7" x14ac:dyDescent="0.25">
      <c r="E80" s="121" t="s">
        <v>259</v>
      </c>
      <c r="F80" s="114">
        <v>2</v>
      </c>
      <c r="G80" s="126"/>
    </row>
    <row r="81" spans="5:7" x14ac:dyDescent="0.25">
      <c r="E81" s="119" t="s">
        <v>260</v>
      </c>
      <c r="F81" s="114">
        <v>2</v>
      </c>
      <c r="G81" s="126"/>
    </row>
    <row r="82" spans="5:7" ht="15.75" x14ac:dyDescent="0.25">
      <c r="E82" s="115" t="s">
        <v>176</v>
      </c>
      <c r="F82" s="81">
        <v>1</v>
      </c>
      <c r="G82" s="123"/>
    </row>
    <row r="83" spans="5:7" ht="15.75" x14ac:dyDescent="0.25">
      <c r="E83" s="116" t="s">
        <v>177</v>
      </c>
      <c r="F83" s="81">
        <v>1</v>
      </c>
      <c r="G83" s="124"/>
    </row>
    <row r="84" spans="5:7" ht="15.75" x14ac:dyDescent="0.25">
      <c r="E84" s="115" t="s">
        <v>73</v>
      </c>
      <c r="F84" s="81">
        <v>1</v>
      </c>
      <c r="G84" s="123"/>
    </row>
    <row r="85" spans="5:7" x14ac:dyDescent="0.25">
      <c r="E85" s="117" t="s">
        <v>261</v>
      </c>
      <c r="F85" s="114">
        <v>2</v>
      </c>
      <c r="G85" s="126"/>
    </row>
    <row r="86" spans="5:7" ht="15.75" x14ac:dyDescent="0.25">
      <c r="E86" s="116" t="s">
        <v>178</v>
      </c>
      <c r="F86" s="81">
        <v>1</v>
      </c>
      <c r="G86" s="124"/>
    </row>
    <row r="87" spans="5:7" x14ac:dyDescent="0.25">
      <c r="E87" s="117" t="s">
        <v>262</v>
      </c>
      <c r="F87" s="114">
        <v>2</v>
      </c>
      <c r="G87" s="126"/>
    </row>
    <row r="88" spans="5:7" x14ac:dyDescent="0.25">
      <c r="E88" s="121" t="s">
        <v>263</v>
      </c>
      <c r="F88" s="114">
        <v>2</v>
      </c>
      <c r="G88" s="126"/>
    </row>
    <row r="89" spans="5:7" x14ac:dyDescent="0.25">
      <c r="E89" s="117" t="s">
        <v>264</v>
      </c>
      <c r="F89" s="114">
        <v>2</v>
      </c>
      <c r="G89" s="126"/>
    </row>
    <row r="90" spans="5:7" x14ac:dyDescent="0.25">
      <c r="E90" s="121" t="s">
        <v>265</v>
      </c>
      <c r="F90" s="114">
        <v>2</v>
      </c>
      <c r="G90" s="126"/>
    </row>
    <row r="91" spans="5:7" x14ac:dyDescent="0.25">
      <c r="E91" s="121" t="s">
        <v>266</v>
      </c>
      <c r="F91" s="114">
        <v>2</v>
      </c>
      <c r="G91" s="126"/>
    </row>
    <row r="92" spans="5:7" x14ac:dyDescent="0.25">
      <c r="E92" s="121" t="s">
        <v>267</v>
      </c>
      <c r="F92" s="114">
        <v>2</v>
      </c>
      <c r="G92" s="126"/>
    </row>
    <row r="93" spans="5:7" ht="15.75" x14ac:dyDescent="0.25">
      <c r="E93" s="115" t="s">
        <v>74</v>
      </c>
      <c r="F93" s="81">
        <v>1</v>
      </c>
      <c r="G93" s="123"/>
    </row>
    <row r="94" spans="5:7" x14ac:dyDescent="0.25">
      <c r="E94" s="122" t="s">
        <v>268</v>
      </c>
      <c r="F94" s="114">
        <v>2</v>
      </c>
      <c r="G94" s="126"/>
    </row>
    <row r="95" spans="5:7" x14ac:dyDescent="0.25">
      <c r="E95" s="121" t="s">
        <v>269</v>
      </c>
      <c r="F95" s="114">
        <v>2</v>
      </c>
      <c r="G95" s="126"/>
    </row>
    <row r="96" spans="5:7" ht="15.75" x14ac:dyDescent="0.25">
      <c r="E96" s="116" t="s">
        <v>179</v>
      </c>
      <c r="F96" s="81">
        <v>1</v>
      </c>
      <c r="G96" s="124"/>
    </row>
    <row r="97" spans="5:7" ht="15.75" x14ac:dyDescent="0.25">
      <c r="E97" s="131" t="s">
        <v>220</v>
      </c>
      <c r="F97" s="143">
        <v>1</v>
      </c>
      <c r="G97" s="144"/>
    </row>
    <row r="98" spans="5:7" ht="15.75" x14ac:dyDescent="0.25">
      <c r="E98" s="142" t="s">
        <v>205</v>
      </c>
      <c r="F98" s="143">
        <v>1</v>
      </c>
      <c r="G98" s="144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48"/>
  <sheetViews>
    <sheetView zoomScale="80" zoomScaleNormal="80" workbookViewId="0">
      <selection activeCell="C56" sqref="C56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ht="15.75" customHeight="1" x14ac:dyDescent="0.25">
      <c r="A3" s="138" t="s">
        <v>223</v>
      </c>
      <c r="B3" s="39">
        <v>2</v>
      </c>
      <c r="C3" s="44">
        <f>Inputs!G4</f>
        <v>0</v>
      </c>
      <c r="D3" s="39" t="str">
        <f>IF($C3&lt;&gt;"x","",IFERROR(_xlfn.XLOOKUP($A3,'Staffing Sheet 2nd Shift'!$A:$A,'Staffing Sheet 2nd Shift'!$I:$I,""),""))</f>
        <v/>
      </c>
      <c r="E3" s="39" t="str">
        <f>Table200[[#This Row],[Recommended Task]]</f>
        <v/>
      </c>
      <c r="H3" s="45" t="s">
        <v>215</v>
      </c>
      <c r="I3" s="76">
        <f>I10</f>
        <v>0</v>
      </c>
      <c r="J3" s="47"/>
      <c r="K3" s="76"/>
      <c r="T3" s="37" t="s">
        <v>23</v>
      </c>
      <c r="V3" s="43"/>
      <c r="W3" s="37" t="s">
        <v>208</v>
      </c>
    </row>
    <row r="4" spans="1:23" x14ac:dyDescent="0.2">
      <c r="A4" s="39" t="s">
        <v>16</v>
      </c>
      <c r="B4" s="39">
        <v>1</v>
      </c>
      <c r="C4" s="44">
        <f>Inputs!G5</f>
        <v>0</v>
      </c>
      <c r="D4" s="39"/>
      <c r="E4" s="39"/>
      <c r="H4" s="45" t="s">
        <v>216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144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7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190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188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140" t="s">
        <v>224</v>
      </c>
      <c r="B8" s="39">
        <v>2</v>
      </c>
      <c r="C8" s="44">
        <f>Inputs!G9</f>
        <v>0</v>
      </c>
      <c r="D8" s="39" t="str">
        <f>IF($C8&lt;&gt;"x","",IFERROR(_xlfn.XLOOKUP($A8,'Staffing Sheet 2nd Shift'!$A:$A,'Staffing Sheet 2nd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139" t="s">
        <v>225</v>
      </c>
      <c r="B9" s="39">
        <v>2</v>
      </c>
      <c r="C9" s="44">
        <f>Inputs!G10</f>
        <v>0</v>
      </c>
      <c r="D9" s="39" t="str">
        <f>IF($C9&lt;&gt;"x","",IFERROR(_xlfn.XLOOKUP($A9,'Staffing Sheet 2nd Shift'!$A:$A,'Staffing Sheet 2nd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139" t="s">
        <v>226</v>
      </c>
      <c r="B10" s="39">
        <v>2</v>
      </c>
      <c r="C10" s="44">
        <f>Inputs!G11</f>
        <v>0</v>
      </c>
      <c r="D10" s="39" t="str">
        <f>IF($C10&lt;&gt;"x","",IFERROR(_xlfn.XLOOKUP($A10,'Staffing Sheet 2nd Shift'!$A:$A,'Staffing Sheet 2nd Shift'!$I:$I,""),""))</f>
        <v/>
      </c>
      <c r="E10" s="39" t="str">
        <f>Table200[[#This Row],[Recommended Task]]</f>
        <v/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22</v>
      </c>
      <c r="B11" s="39">
        <v>1</v>
      </c>
      <c r="C11" s="44">
        <f>Inputs!G12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27</v>
      </c>
      <c r="B12" s="39">
        <v>1</v>
      </c>
      <c r="C12" s="44">
        <f>Inputs!G13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COUNTIF(E2:E51,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141" t="s">
        <v>227</v>
      </c>
      <c r="B13" s="39">
        <v>2</v>
      </c>
      <c r="C13" s="44">
        <f>Inputs!G14</f>
        <v>0</v>
      </c>
      <c r="D13" s="39" t="str">
        <f>IF($C13&lt;&gt;"x","",IFERROR(_xlfn.XLOOKUP($A13,'Staffing Sheet 2nd Shift'!$A:$A,'Staffing Sheet 2nd Shift'!$I:$I,""),""))</f>
        <v/>
      </c>
      <c r="E13" s="39" t="str">
        <f>Table200[[#This Row],[Recommended Task]]</f>
        <v/>
      </c>
      <c r="H13" s="40" t="s">
        <v>32</v>
      </c>
      <c r="I13" s="37">
        <f>COUNTIF(E2:E52,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140" t="s">
        <v>228</v>
      </c>
      <c r="B14" s="39">
        <v>2</v>
      </c>
      <c r="C14" s="44">
        <f>Inputs!G15</f>
        <v>0</v>
      </c>
      <c r="D14" s="39" t="str">
        <f>IF($C14&lt;&gt;"x","",IFERROR(_xlfn.XLOOKUP($A14,'Staffing Sheet 2nd Shift'!$A:$A,'Staffing Sheet 2nd Shift'!$I:$I,""),""))</f>
        <v/>
      </c>
      <c r="E14" s="39" t="str">
        <f>Table200[[#This Row],[Recommended Task]]</f>
        <v/>
      </c>
      <c r="H14" s="40" t="s">
        <v>57</v>
      </c>
      <c r="I14" s="37">
        <f>COUNTIF(E2:E53,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278</v>
      </c>
      <c r="B15" s="67">
        <v>1</v>
      </c>
      <c r="C15" s="44">
        <f>Inputs!G16</f>
        <v>0</v>
      </c>
      <c r="D15" s="134" t="str">
        <f>IF($C15&lt;&gt;"x","",IFERROR(_xlfn.XLOOKUP($A15,'Staffing sheet 1ST Shift'!$A:$A,'Staffing sheet 1ST Shift'!$I:$I,""),""))</f>
        <v/>
      </c>
      <c r="E15" s="135" t="str">
        <f>Table200[[#This Row],[Recommended Task]]</f>
        <v/>
      </c>
      <c r="H15" s="40" t="s">
        <v>58</v>
      </c>
      <c r="I15" s="37">
        <f>COUNTIF(E2:E54,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140" t="s">
        <v>229</v>
      </c>
      <c r="B16" s="39">
        <v>2</v>
      </c>
      <c r="C16" s="44">
        <f>Inputs!G17</f>
        <v>0</v>
      </c>
      <c r="D16" s="39" t="str">
        <f>IF($C16&lt;&gt;"x","",IFERROR(_xlfn.XLOOKUP($A16,'Staffing Sheet 2nd Shift'!$A:$A,'Staffing Sheet 2nd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140" t="s">
        <v>230</v>
      </c>
      <c r="B17" s="39">
        <v>2</v>
      </c>
      <c r="C17" s="44">
        <f>Inputs!G18</f>
        <v>0</v>
      </c>
      <c r="D17" s="39" t="str">
        <f>IF($C17&lt;&gt;"x","",IFERROR(_xlfn.XLOOKUP($A17,'Staffing Sheet 2nd Shift'!$A:$A,'Staffing Sheet 2nd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140" t="s">
        <v>231</v>
      </c>
      <c r="B18" s="39">
        <v>2</v>
      </c>
      <c r="C18" s="44">
        <f>Inputs!G19</f>
        <v>0</v>
      </c>
      <c r="D18" s="39" t="str">
        <f>IF($C18&lt;&gt;"x","",IFERROR(_xlfn.XLOOKUP($A18,'Staffing Sheet 2nd Shift'!$A:$A,'Staffing Sheet 2nd Shift'!$I:$I,""),""))</f>
        <v/>
      </c>
      <c r="E18" s="39" t="str">
        <f>Table200[[#This Row],[Recommended Task]]</f>
        <v/>
      </c>
    </row>
    <row r="19" spans="1:15" x14ac:dyDescent="0.2">
      <c r="A19" s="39" t="s">
        <v>221</v>
      </c>
      <c r="B19" s="39">
        <v>1</v>
      </c>
      <c r="C19" s="44">
        <f>Inputs!G20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46</v>
      </c>
      <c r="B20" s="39">
        <v>1</v>
      </c>
      <c r="C20" s="44">
        <f>Inputs!G21</f>
        <v>0</v>
      </c>
      <c r="D20" s="39"/>
      <c r="E20" s="39">
        <f>Table200[[#This Row],[Recommended Task]]</f>
        <v>0</v>
      </c>
    </row>
    <row r="21" spans="1:15" x14ac:dyDescent="0.2">
      <c r="A21" s="39" t="s">
        <v>49</v>
      </c>
      <c r="B21" s="39">
        <v>1</v>
      </c>
      <c r="C21" s="44">
        <f>Inputs!G22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51</v>
      </c>
      <c r="B22" s="39">
        <v>1</v>
      </c>
      <c r="C22" s="44">
        <f>Inputs!G23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139" t="s">
        <v>232</v>
      </c>
      <c r="B23" s="39">
        <v>2</v>
      </c>
      <c r="C23" s="44">
        <f>Inputs!G24</f>
        <v>0</v>
      </c>
      <c r="D23" s="39" t="str">
        <f>IF($C23&lt;&gt;"x","",IFERROR(_xlfn.XLOOKUP($A23,'Staffing Sheet 2nd Shift'!$A:$A,'Staffing Sheet 2nd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53</v>
      </c>
      <c r="B24" s="39">
        <v>1</v>
      </c>
      <c r="C24" s="44">
        <f>Inputs!G25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55</v>
      </c>
      <c r="B25" s="39">
        <v>1</v>
      </c>
      <c r="C25" s="44">
        <f>Inputs!G26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139" t="s">
        <v>233</v>
      </c>
      <c r="B26" s="39">
        <v>2</v>
      </c>
      <c r="C26" s="44">
        <f>Inputs!G27</f>
        <v>0</v>
      </c>
      <c r="D26" s="39" t="str">
        <f>IF($C26&lt;&gt;"x","",IFERROR(_xlfn.XLOOKUP($A26,'Staffing Sheet 2nd Shift'!$A:$A,'Staffing Sheet 2nd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140" t="s">
        <v>234</v>
      </c>
      <c r="B27" s="39">
        <v>2</v>
      </c>
      <c r="C27" s="44">
        <f>Inputs!G28</f>
        <v>0</v>
      </c>
      <c r="D27" s="39" t="str">
        <f>IF($C27&lt;&gt;"x","",IFERROR(_xlfn.XLOOKUP($A27,'Staffing Sheet 2nd Shift'!$A:$A,'Staffing Sheet 2nd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139" t="s">
        <v>235</v>
      </c>
      <c r="B28" s="39">
        <v>2</v>
      </c>
      <c r="C28" s="44">
        <f>Inputs!G29</f>
        <v>0</v>
      </c>
      <c r="D28" s="39" t="str">
        <f>IF($C28&lt;&gt;"x","",IFERROR(_xlfn.XLOOKUP($A28,'Staffing Sheet 2nd Shift'!$A:$A,'Staffing Sheet 2nd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171</v>
      </c>
      <c r="B29" s="39">
        <v>1</v>
      </c>
      <c r="C29" s="44">
        <f>Inputs!G30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56</v>
      </c>
      <c r="B30" s="39">
        <v>1</v>
      </c>
      <c r="C30" s="44">
        <f>Inputs!G31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277</v>
      </c>
      <c r="B31" s="67">
        <v>1</v>
      </c>
      <c r="C31" s="44">
        <f>Inputs!G32</f>
        <v>0</v>
      </c>
      <c r="D31" s="134" t="str">
        <f>IF($C31&lt;&gt;"x","",IFERROR(_xlfn.XLOOKUP($A31,'Staffing sheet 1ST Shift'!$A:$A,'Staffing sheet 1ST Shift'!$I:$I,""),""))</f>
        <v/>
      </c>
      <c r="E31" s="135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139" t="s">
        <v>236</v>
      </c>
      <c r="B32" s="39">
        <v>2</v>
      </c>
      <c r="C32" s="44">
        <f>Inputs!G33</f>
        <v>0</v>
      </c>
      <c r="D32" s="39" t="str">
        <f>IF($C32&lt;&gt;"x","",IFERROR(_xlfn.XLOOKUP($A32,'Staffing Sheet 2nd Shift'!$A:$A,'Staffing Sheet 2nd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139" t="s">
        <v>237</v>
      </c>
      <c r="B33" s="39">
        <v>2</v>
      </c>
      <c r="C33" s="44">
        <f>Inputs!G34</f>
        <v>0</v>
      </c>
      <c r="D33" s="39" t="str">
        <f>IF($C33&lt;&gt;"x","",IFERROR(_xlfn.XLOOKUP($A33,'Staffing Sheet 2nd Shift'!$A:$A,'Staffing Sheet 2nd Shift'!$I:$I,""),""))</f>
        <v/>
      </c>
      <c r="E33" s="39" t="str">
        <f>Table200[[#This Row],[Recommended Task]]</f>
        <v/>
      </c>
    </row>
    <row r="34" spans="1:5" x14ac:dyDescent="0.2">
      <c r="A34" s="39" t="s">
        <v>172</v>
      </c>
      <c r="B34" s="39">
        <v>1</v>
      </c>
      <c r="C34" s="44">
        <f>Inputs!G35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173</v>
      </c>
      <c r="B35" s="39">
        <v>1</v>
      </c>
      <c r="C35" s="44">
        <f>Inputs!G36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180</v>
      </c>
      <c r="B36" s="39">
        <v>1</v>
      </c>
      <c r="C36" s="44">
        <f>Inputs!G37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139" t="s">
        <v>238</v>
      </c>
      <c r="B37" s="39">
        <v>2</v>
      </c>
      <c r="C37" s="44">
        <f>Inputs!G38</f>
        <v>0</v>
      </c>
      <c r="D37" s="39" t="str">
        <f>IF($C37&lt;&gt;"x","",IFERROR(_xlfn.XLOOKUP($A37,'Staffing Sheet 2nd Shift'!$A:$A,'Staffing Sheet 2nd Shift'!$I:$I,""),""))</f>
        <v/>
      </c>
      <c r="E37" s="39" t="str">
        <f>Table200[[#This Row],[Recommended Task]]</f>
        <v/>
      </c>
    </row>
    <row r="38" spans="1:5" x14ac:dyDescent="0.2">
      <c r="A38" s="139" t="s">
        <v>239</v>
      </c>
      <c r="B38" s="39">
        <v>2</v>
      </c>
      <c r="C38" s="44">
        <f>Inputs!G39</f>
        <v>0</v>
      </c>
      <c r="D38" s="39" t="str">
        <f>IF($C38&lt;&gt;"x","",IFERROR(_xlfn.XLOOKUP($A38,'Staffing Sheet 2nd Shift'!$A:$A,'Staffing Sheet 2nd Shift'!$I:$I,""),""))</f>
        <v/>
      </c>
      <c r="E38" s="39" t="str">
        <f>Table200[[#This Row],[Recommended Task]]</f>
        <v/>
      </c>
    </row>
    <row r="39" spans="1:5" x14ac:dyDescent="0.2">
      <c r="A39" s="39" t="s">
        <v>60</v>
      </c>
      <c r="B39" s="39">
        <v>1</v>
      </c>
      <c r="C39" s="44">
        <f>Inputs!G40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139" t="s">
        <v>240</v>
      </c>
      <c r="B40" s="39">
        <v>2</v>
      </c>
      <c r="C40" s="44">
        <f>Inputs!G41</f>
        <v>0</v>
      </c>
      <c r="D40" s="39" t="str">
        <f>IF($C40&lt;&gt;"x","",IFERROR(_xlfn.XLOOKUP($A40,'Staffing Sheet 2nd Shift'!$A:$A,'Staffing Sheet 2nd Shift'!$I:$I,""),""))</f>
        <v/>
      </c>
      <c r="E40" s="39" t="str">
        <f>Table200[[#This Row],[Recommended Task]]</f>
        <v/>
      </c>
    </row>
    <row r="41" spans="1:5" x14ac:dyDescent="0.2">
      <c r="A41" s="39" t="s">
        <v>61</v>
      </c>
      <c r="B41" s="39">
        <v>1</v>
      </c>
      <c r="C41" s="44">
        <f>Inputs!G42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146</v>
      </c>
      <c r="B42" s="39">
        <v>1</v>
      </c>
      <c r="C42" s="44">
        <f>Inputs!G43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147</v>
      </c>
      <c r="B43" s="39">
        <v>1</v>
      </c>
      <c r="C43" s="44">
        <f>Inputs!G44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140" t="s">
        <v>241</v>
      </c>
      <c r="B44" s="39">
        <v>2</v>
      </c>
      <c r="C44" s="44">
        <f>Inputs!G45</f>
        <v>0</v>
      </c>
      <c r="D44" s="39" t="str">
        <f>IF($C44&lt;&gt;"x","",IFERROR(_xlfn.XLOOKUP($A44,'Staffing Sheet 2nd Shift'!$A:$A,'Staffing Sheet 2nd Shift'!$I:$I,""),""))</f>
        <v/>
      </c>
      <c r="E44" s="39" t="str">
        <f>Table200[[#This Row],[Recommended Task]]</f>
        <v/>
      </c>
    </row>
    <row r="45" spans="1:5" x14ac:dyDescent="0.2">
      <c r="A45" s="140" t="s">
        <v>242</v>
      </c>
      <c r="B45" s="39">
        <v>2</v>
      </c>
      <c r="C45" s="44">
        <f>Inputs!G46</f>
        <v>0</v>
      </c>
      <c r="D45" s="39" t="str">
        <f>IF($C45&lt;&gt;"x","",IFERROR(_xlfn.XLOOKUP($A45,'Staffing Sheet 2nd Shift'!$A:$A,'Staffing Sheet 2nd Shift'!$I:$I,""),""))</f>
        <v/>
      </c>
      <c r="E45" s="39" t="str">
        <f>Table200[[#This Row],[Recommended Task]]</f>
        <v/>
      </c>
    </row>
    <row r="46" spans="1:5" x14ac:dyDescent="0.2">
      <c r="A46" s="139" t="s">
        <v>243</v>
      </c>
      <c r="B46" s="39">
        <v>2</v>
      </c>
      <c r="C46" s="44">
        <f>Inputs!G47</f>
        <v>0</v>
      </c>
      <c r="D46" s="39" t="str">
        <f>IF($C46&lt;&gt;"x","",IFERROR(_xlfn.XLOOKUP($A46,'Staffing Sheet 2nd Shift'!$A:$A,'Staffing Sheet 2nd Shift'!$I:$I,""),""))</f>
        <v/>
      </c>
      <c r="E46" s="39" t="str">
        <f>Table200[[#This Row],[Recommended Task]]</f>
        <v/>
      </c>
    </row>
    <row r="47" spans="1:5" x14ac:dyDescent="0.2">
      <c r="A47" s="140" t="s">
        <v>244</v>
      </c>
      <c r="B47" s="39">
        <v>2</v>
      </c>
      <c r="C47" s="44">
        <f>Inputs!G48</f>
        <v>0</v>
      </c>
      <c r="D47" s="39" t="str">
        <f>IF($C47&lt;&gt;"x","",IFERROR(_xlfn.XLOOKUP($A47,'Staffing Sheet 2nd Shift'!$A:$A,'Staffing Sheet 2nd Shift'!$I:$I,""),""))</f>
        <v/>
      </c>
      <c r="E47" s="39" t="str">
        <f>Table200[[#This Row],[Recommended Task]]</f>
        <v/>
      </c>
    </row>
    <row r="48" spans="1:5" x14ac:dyDescent="0.2">
      <c r="A48" s="39" t="s">
        <v>203</v>
      </c>
      <c r="B48" s="39">
        <v>1</v>
      </c>
      <c r="C48" s="44">
        <f>Inputs!G49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">
      <c r="A49" s="140" t="s">
        <v>245</v>
      </c>
      <c r="B49" s="39">
        <v>2</v>
      </c>
      <c r="C49" s="44">
        <f>Inputs!G50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40" t="s">
        <v>246</v>
      </c>
      <c r="B50" s="39">
        <v>2</v>
      </c>
      <c r="C50" s="44">
        <f>Inputs!G51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ht="15.75" customHeight="1" x14ac:dyDescent="0.2">
      <c r="A51" s="110" t="s">
        <v>247</v>
      </c>
      <c r="B51" s="39">
        <v>2</v>
      </c>
      <c r="C51" s="44">
        <f>Inputs!G52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07" t="s">
        <v>66</v>
      </c>
      <c r="B52" s="39">
        <v>1</v>
      </c>
      <c r="C52" s="44">
        <f>Inputs!G53</f>
        <v>0</v>
      </c>
      <c r="D52" s="39" t="str">
        <f>IF($C52&lt;&gt;"x","",IFERROR(_xlfn.XLOOKUP($A52,'Staffing sheet 1ST Shift'!$A:$A,'Staffing sheet 1ST Shift'!$I:$I,""),""))</f>
        <v/>
      </c>
      <c r="E52" s="39" t="str">
        <f>Table200[[#This Row],[Recommended Task]]</f>
        <v/>
      </c>
    </row>
    <row r="53" spans="1:5" x14ac:dyDescent="0.2">
      <c r="A53" s="107" t="s">
        <v>222</v>
      </c>
      <c r="B53" s="39">
        <v>1</v>
      </c>
      <c r="C53" s="44">
        <f>Inputs!G54</f>
        <v>0</v>
      </c>
      <c r="D53" s="39" t="str">
        <f>IF($C53&lt;&gt;"x","",IFERROR(_xlfn.XLOOKUP($A53,'Staffing sheet 1ST Shift'!$A:$A,'Staffing sheet 1ST Shift'!$I:$I,""),""))</f>
        <v/>
      </c>
      <c r="E53" s="39" t="str">
        <f>Table200[[#This Row],[Recommended Task]]</f>
        <v/>
      </c>
    </row>
    <row r="54" spans="1:5" x14ac:dyDescent="0.2">
      <c r="A54" s="111" t="s">
        <v>248</v>
      </c>
      <c r="B54" s="39">
        <v>2</v>
      </c>
      <c r="C54" s="44">
        <f>Inputs!G55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ht="15.75" customHeight="1" x14ac:dyDescent="0.25">
      <c r="A55" s="109" t="s">
        <v>249</v>
      </c>
      <c r="B55" s="39">
        <v>2</v>
      </c>
      <c r="C55" s="44">
        <f>Inputs!G56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07" t="s">
        <v>174</v>
      </c>
      <c r="B56" s="39">
        <v>1</v>
      </c>
      <c r="C56" s="44">
        <f>Inputs!G57</f>
        <v>0</v>
      </c>
      <c r="D56" s="39" t="str">
        <f>IF($C56&lt;&gt;"x","",IFERROR(_xlfn.XLOOKUP($A56,'Staffing sheet 1ST Shift'!$A:$A,'Staffing sheet 1ST Shift'!$I:$I,""),""))</f>
        <v/>
      </c>
      <c r="E56" s="39" t="str">
        <f>Table200[[#This Row],[Recommended Task]]</f>
        <v/>
      </c>
    </row>
    <row r="57" spans="1:5" x14ac:dyDescent="0.2">
      <c r="A57" s="107" t="s">
        <v>183</v>
      </c>
      <c r="B57" s="39">
        <v>1</v>
      </c>
      <c r="C57" s="44">
        <f>Inputs!G58</f>
        <v>0</v>
      </c>
      <c r="D57" s="39" t="str">
        <f>IF($C57&lt;&gt;"x","",IFERROR(_xlfn.XLOOKUP($A57,'Staffing sheet 1ST Shift'!$A:$A,'Staffing sheet 1ST Shift'!$I:$I,""),""))</f>
        <v/>
      </c>
      <c r="E57" s="39" t="str">
        <f>Table200[[#This Row],[Recommended Task]]</f>
        <v/>
      </c>
    </row>
    <row r="58" spans="1:5" x14ac:dyDescent="0.2">
      <c r="A58" s="107" t="s">
        <v>202</v>
      </c>
      <c r="B58" s="39">
        <v>1</v>
      </c>
      <c r="C58" s="44">
        <f>Inputs!G59</f>
        <v>0</v>
      </c>
      <c r="D58" s="39" t="str">
        <f>IF($C58&lt;&gt;"x","",IFERROR(_xlfn.XLOOKUP($A58,'Staffing sheet 1ST Shift'!$A:$A,'Staffing sheet 1ST Shift'!$I:$I,""),""))</f>
        <v/>
      </c>
      <c r="E58" s="39" t="str">
        <f>Table200[[#This Row],[Recommended Task]]</f>
        <v/>
      </c>
    </row>
    <row r="59" spans="1:5" ht="15.75" customHeight="1" x14ac:dyDescent="0.25">
      <c r="A59" s="109" t="s">
        <v>250</v>
      </c>
      <c r="B59" s="39">
        <v>2</v>
      </c>
      <c r="C59" s="44">
        <f>Inputs!G60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1" t="s">
        <v>251</v>
      </c>
      <c r="B60" s="39">
        <v>2</v>
      </c>
      <c r="C60" s="44">
        <f>Inputs!G61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0" t="s">
        <v>252</v>
      </c>
      <c r="B61" s="39">
        <v>2</v>
      </c>
      <c r="C61" s="44">
        <f>Inputs!G62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07" t="s">
        <v>181</v>
      </c>
      <c r="B62" s="39">
        <v>1</v>
      </c>
      <c r="C62" s="44">
        <f>Inputs!G63</f>
        <v>0</v>
      </c>
      <c r="D62" s="39" t="str">
        <f>IF($C62&lt;&gt;"x","",IFERROR(_xlfn.XLOOKUP($A62,'Staffing sheet 1ST Shift'!$A:$A,'Staffing sheet 1ST Shift'!$I:$I,""),""))</f>
        <v/>
      </c>
      <c r="E62" s="39" t="str">
        <f>Table200[[#This Row],[Recommended Task]]</f>
        <v/>
      </c>
    </row>
    <row r="63" spans="1:5" x14ac:dyDescent="0.2">
      <c r="A63" s="111" t="s">
        <v>253</v>
      </c>
      <c r="B63" s="39">
        <v>2</v>
      </c>
      <c r="C63" s="44">
        <f>Inputs!G64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254</v>
      </c>
      <c r="B64" s="39">
        <v>2</v>
      </c>
      <c r="C64" s="44">
        <f>Inputs!G65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07" t="s">
        <v>145</v>
      </c>
      <c r="B65" s="39">
        <v>1</v>
      </c>
      <c r="C65" s="44">
        <f>Inputs!G66</f>
        <v>0</v>
      </c>
      <c r="D65" s="39" t="str">
        <f>IF($C65&lt;&gt;"x","",IFERROR(_xlfn.XLOOKUP($A65,'Staffing sheet 1ST Shift'!$A:$A,'Staffing sheet 1ST Shift'!$I:$I,""),""))</f>
        <v/>
      </c>
      <c r="E65" s="39" t="str">
        <f>Table200[[#This Row],[Recommended Task]]</f>
        <v/>
      </c>
    </row>
    <row r="66" spans="1:5" x14ac:dyDescent="0.2">
      <c r="A66" s="111" t="s">
        <v>255</v>
      </c>
      <c r="B66" s="39">
        <v>2</v>
      </c>
      <c r="C66" s="44">
        <f>Inputs!G67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1" t="s">
        <v>256</v>
      </c>
      <c r="B67" s="39">
        <v>2</v>
      </c>
      <c r="C67" s="44">
        <f>Inputs!G68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1" t="s">
        <v>257</v>
      </c>
      <c r="B68" s="39">
        <v>2</v>
      </c>
      <c r="C68" s="44">
        <f>Inputs!G69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07" t="s">
        <v>163</v>
      </c>
      <c r="B69" s="39">
        <v>1</v>
      </c>
      <c r="C69" s="44">
        <f>Inputs!G70</f>
        <v>0</v>
      </c>
      <c r="D69" s="39" t="str">
        <f>IF($C69&lt;&gt;"x","",IFERROR(_xlfn.XLOOKUP($A69,'Staffing sheet 1ST Shift'!$A:$A,'Staffing sheet 1ST Shift'!$I:$I,""),""))</f>
        <v/>
      </c>
      <c r="E69" s="39" t="str">
        <f>Table200[[#This Row],[Recommended Task]]</f>
        <v/>
      </c>
    </row>
    <row r="70" spans="1:5" x14ac:dyDescent="0.2">
      <c r="A70" s="107" t="s">
        <v>67</v>
      </c>
      <c r="B70" s="39">
        <v>1</v>
      </c>
      <c r="C70" s="44">
        <f>Inputs!G71</f>
        <v>0</v>
      </c>
      <c r="D70" s="39" t="str">
        <f>IF($C70&lt;&gt;"x","",IFERROR(_xlfn.XLOOKUP($A70,'Staffing sheet 1ST Shift'!$A:$A,'Staffing sheet 1ST Shift'!$I:$I,""),""))</f>
        <v/>
      </c>
      <c r="E70" s="39" t="str">
        <f>Table200[[#This Row],[Recommended Task]]</f>
        <v/>
      </c>
    </row>
    <row r="71" spans="1:5" x14ac:dyDescent="0.2">
      <c r="A71" s="107" t="s">
        <v>69</v>
      </c>
      <c r="B71" s="39">
        <v>1</v>
      </c>
      <c r="C71" s="44">
        <f>Inputs!G72</f>
        <v>0</v>
      </c>
      <c r="D71" s="39" t="str">
        <f>IF($C71&lt;&gt;"x","",IFERROR(_xlfn.XLOOKUP($A71,'Staffing sheet 1ST Shift'!$A:$A,'Staffing sheet 1ST Shift'!$I:$I,""),""))</f>
        <v/>
      </c>
      <c r="E71" s="39" t="str">
        <f>Table200[[#This Row],[Recommended Task]]</f>
        <v/>
      </c>
    </row>
    <row r="72" spans="1:5" x14ac:dyDescent="0.2">
      <c r="A72" s="107" t="s">
        <v>70</v>
      </c>
      <c r="B72" s="39">
        <v>1</v>
      </c>
      <c r="C72" s="44">
        <f>Inputs!G73</f>
        <v>0</v>
      </c>
      <c r="D72" s="39" t="str">
        <f>IF($C72&lt;&gt;"x","",IFERROR(_xlfn.XLOOKUP($A72,'Staffing sheet 1ST Shift'!$A:$A,'Staffing sheet 1ST Shift'!$I:$I,""),""))</f>
        <v/>
      </c>
      <c r="E72" s="39" t="str">
        <f>Table200[[#This Row],[Recommended Task]]</f>
        <v/>
      </c>
    </row>
    <row r="73" spans="1:5" x14ac:dyDescent="0.2">
      <c r="A73" s="107" t="s">
        <v>71</v>
      </c>
      <c r="B73" s="39">
        <v>1</v>
      </c>
      <c r="C73" s="44">
        <f>Inputs!G74</f>
        <v>0</v>
      </c>
      <c r="D73" s="39" t="str">
        <f>IF($C73&lt;&gt;"x","",IFERROR(_xlfn.XLOOKUP($A73,'Staffing sheet 1ST Shift'!$A:$A,'Staffing sheet 1ST Shift'!$I:$I,""),""))</f>
        <v/>
      </c>
      <c r="E73" s="39" t="str">
        <f>Table200[[#This Row],[Recommended Task]]</f>
        <v/>
      </c>
    </row>
    <row r="74" spans="1:5" x14ac:dyDescent="0.2">
      <c r="A74" s="107" t="s">
        <v>72</v>
      </c>
      <c r="B74" s="39">
        <v>1</v>
      </c>
      <c r="C74" s="44">
        <f>Inputs!G75</f>
        <v>0</v>
      </c>
      <c r="D74" s="39" t="str">
        <f>IF($C74&lt;&gt;"x","",IFERROR(_xlfn.XLOOKUP($A74,'Staffing sheet 1ST Shift'!$A:$A,'Staffing sheet 1ST Shift'!$I:$I,""),""))</f>
        <v/>
      </c>
      <c r="E74" s="39" t="str">
        <f>Table200[[#This Row],[Recommended Task]]</f>
        <v/>
      </c>
    </row>
    <row r="75" spans="1:5" x14ac:dyDescent="0.2">
      <c r="A75" s="107" t="s">
        <v>219</v>
      </c>
      <c r="B75" s="39">
        <v>1</v>
      </c>
      <c r="C75" s="44">
        <f>Inputs!G76</f>
        <v>0</v>
      </c>
      <c r="D75" s="39" t="str">
        <f>IF($C75&lt;&gt;"x","",IFERROR(_xlfn.XLOOKUP($A75,'Staffing sheet 1ST Shift'!$A:$A,'Staffing sheet 1ST Shift'!$I:$I,""),""))</f>
        <v/>
      </c>
      <c r="E75" s="39" t="str">
        <f>Table200[[#This Row],[Recommended Task]]</f>
        <v/>
      </c>
    </row>
    <row r="76" spans="1:5" x14ac:dyDescent="0.2">
      <c r="A76" s="107" t="s">
        <v>143</v>
      </c>
      <c r="B76" s="39">
        <v>1</v>
      </c>
      <c r="C76" s="44">
        <f>Inputs!G77</f>
        <v>0</v>
      </c>
      <c r="D76" s="39" t="str">
        <f>IF($C76&lt;&gt;"x","",IFERROR(_xlfn.XLOOKUP($A76,'Staffing sheet 1ST Shift'!$A:$A,'Staffing sheet 1ST Shift'!$I:$I,""),""))</f>
        <v/>
      </c>
      <c r="E76" s="39" t="str">
        <f>Table200[[#This Row],[Recommended Task]]</f>
        <v/>
      </c>
    </row>
    <row r="77" spans="1:5" x14ac:dyDescent="0.25">
      <c r="A77" s="112" t="s">
        <v>258</v>
      </c>
      <c r="B77" s="39">
        <v>2</v>
      </c>
      <c r="C77" s="44">
        <f>Inputs!G78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ht="15.75" customHeight="1" x14ac:dyDescent="0.2">
      <c r="A78" s="107" t="s">
        <v>142</v>
      </c>
      <c r="B78" s="39">
        <v>1</v>
      </c>
      <c r="C78" s="44">
        <f>Inputs!G79</f>
        <v>0</v>
      </c>
      <c r="D78" s="39" t="str">
        <f>IF($C78&lt;&gt;"x","",IFERROR(_xlfn.XLOOKUP($A78,'Staffing sheet 1ST Shift'!$A:$A,'Staffing sheet 1ST Shift'!$I:$I,""),""))</f>
        <v/>
      </c>
      <c r="E78" s="39" t="str">
        <f>Table200[[#This Row],[Recommended Task]]</f>
        <v/>
      </c>
    </row>
    <row r="79" spans="1:5" ht="15.75" customHeight="1" x14ac:dyDescent="0.25">
      <c r="A79" s="112" t="s">
        <v>259</v>
      </c>
      <c r="B79" s="39">
        <v>2</v>
      </c>
      <c r="C79" s="44">
        <f>Inputs!G80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260</v>
      </c>
      <c r="B80" s="39">
        <v>2</v>
      </c>
      <c r="C80" s="44">
        <f>Inputs!G81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07" t="s">
        <v>176</v>
      </c>
      <c r="B81" s="39">
        <v>1</v>
      </c>
      <c r="C81" s="44">
        <f>Inputs!G82</f>
        <v>0</v>
      </c>
      <c r="D81" s="39" t="str">
        <f>IF($C81&lt;&gt;"x","",IFERROR(_xlfn.XLOOKUP($A81,'Staffing sheet 1ST Shift'!$A:$A,'Staffing sheet 1ST Shift'!$I:$I,""),""))</f>
        <v/>
      </c>
      <c r="E81" s="39" t="str">
        <f>Table200[[#This Row],[Recommended Task]]</f>
        <v/>
      </c>
    </row>
    <row r="82" spans="1:5" x14ac:dyDescent="0.2">
      <c r="A82" s="107" t="s">
        <v>177</v>
      </c>
      <c r="B82" s="39">
        <v>1</v>
      </c>
      <c r="C82" s="44">
        <f>Inputs!G83</f>
        <v>0</v>
      </c>
      <c r="D82" s="39" t="str">
        <f>IF($C82&lt;&gt;"x","",IFERROR(_xlfn.XLOOKUP($A82,'Staffing sheet 1ST Shift'!$A:$A,'Staffing sheet 1ST Shift'!$I:$I,""),""))</f>
        <v/>
      </c>
      <c r="E82" s="39" t="str">
        <f>Table200[[#This Row],[Recommended Task]]</f>
        <v/>
      </c>
    </row>
    <row r="83" spans="1:5" x14ac:dyDescent="0.2">
      <c r="A83" s="107" t="s">
        <v>73</v>
      </c>
      <c r="B83" s="39">
        <v>1</v>
      </c>
      <c r="C83" s="44">
        <f>Inputs!G84</f>
        <v>0</v>
      </c>
      <c r="D83" s="39" t="str">
        <f>IF($C83&lt;&gt;"x","",IFERROR(_xlfn.XLOOKUP($A83,'Staffing sheet 1ST Shift'!$A:$A,'Staffing sheet 1ST Shift'!$I:$I,""),""))</f>
        <v/>
      </c>
      <c r="E83" s="39" t="str">
        <f>Table200[[#This Row],[Recommended Task]]</f>
        <v/>
      </c>
    </row>
    <row r="84" spans="1:5" ht="15.75" customHeight="1" x14ac:dyDescent="0.25">
      <c r="A84" s="109" t="s">
        <v>261</v>
      </c>
      <c r="B84" s="39">
        <v>2</v>
      </c>
      <c r="C84" s="44">
        <f>Inputs!G85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">
      <c r="A85" s="107" t="s">
        <v>178</v>
      </c>
      <c r="B85" s="39">
        <v>1</v>
      </c>
      <c r="C85" s="44">
        <f>Inputs!G86</f>
        <v>0</v>
      </c>
      <c r="D85" s="39" t="str">
        <f>IF($C85&lt;&gt;"x","",IFERROR(_xlfn.XLOOKUP($A85,'Staffing sheet 1ST Shift'!$A:$A,'Staffing sheet 1ST Shift'!$I:$I,""),""))</f>
        <v/>
      </c>
      <c r="E85" s="39" t="str">
        <f>Table200[[#This Row],[Recommended Task]]</f>
        <v/>
      </c>
    </row>
    <row r="86" spans="1:5" x14ac:dyDescent="0.25">
      <c r="A86" s="109" t="s">
        <v>262</v>
      </c>
      <c r="B86" s="39">
        <v>2</v>
      </c>
      <c r="C86" s="44">
        <f>Inputs!G87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12" t="s">
        <v>263</v>
      </c>
      <c r="B87" s="39">
        <v>2</v>
      </c>
      <c r="C87" s="44">
        <f>Inputs!G88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ht="15.75" customHeight="1" x14ac:dyDescent="0.25">
      <c r="A88" s="109" t="s">
        <v>264</v>
      </c>
      <c r="B88" s="39">
        <v>2</v>
      </c>
      <c r="C88" s="44">
        <f>Inputs!G89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2" t="s">
        <v>265</v>
      </c>
      <c r="B89" s="39">
        <v>2</v>
      </c>
      <c r="C89" s="44">
        <f>Inputs!G90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12" t="s">
        <v>266</v>
      </c>
      <c r="B90" s="39">
        <v>2</v>
      </c>
      <c r="C90" s="44">
        <f>Inputs!G91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2" t="s">
        <v>267</v>
      </c>
      <c r="B91" s="39">
        <v>2</v>
      </c>
      <c r="C91" s="44">
        <f>Inputs!G92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ht="15.75" customHeight="1" x14ac:dyDescent="0.2">
      <c r="A92" s="107" t="s">
        <v>74</v>
      </c>
      <c r="B92" s="39">
        <v>1</v>
      </c>
      <c r="C92" s="44">
        <f>Inputs!G93</f>
        <v>0</v>
      </c>
      <c r="D92" s="39" t="str">
        <f>IF($C92&lt;&gt;"x","",IFERROR(_xlfn.XLOOKUP($A92,'Staffing sheet 1ST Shift'!$A:$A,'Staffing sheet 1ST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Inputs!G94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2" t="s">
        <v>269</v>
      </c>
      <c r="B94" s="39">
        <v>2</v>
      </c>
      <c r="C94" s="44">
        <f>Inputs!G95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ht="15.75" customHeight="1" x14ac:dyDescent="0.2">
      <c r="A95" s="107" t="s">
        <v>179</v>
      </c>
      <c r="B95" s="39">
        <v>1</v>
      </c>
      <c r="C95" s="44">
        <f>Inputs!G96</f>
        <v>0</v>
      </c>
      <c r="D95" s="39" t="str">
        <f>IF($C95&lt;&gt;"x","",IFERROR(_xlfn.XLOOKUP($A95,'Staffing sheet 1ST Shift'!$A:$A,'Staffing sheet 1ST Shift'!$I:$I,""),""))</f>
        <v/>
      </c>
      <c r="E95" s="39" t="str">
        <f>Table200[[#This Row],[Recommended Task]]</f>
        <v/>
      </c>
    </row>
    <row r="96" spans="1:5" ht="15.75" customHeight="1" x14ac:dyDescent="0.2">
      <c r="A96" s="107" t="s">
        <v>220</v>
      </c>
      <c r="B96" s="39">
        <v>1</v>
      </c>
      <c r="C96" s="44">
        <f>Inputs!G97</f>
        <v>0</v>
      </c>
      <c r="D96" s="39" t="str">
        <f>IF($C96&lt;&gt;"x","",IFERROR(_xlfn.XLOOKUP($A96,'Staffing sheet 1ST Shift'!$A:$A,'Staffing sheet 1ST Shift'!$I:$I,""),""))</f>
        <v/>
      </c>
      <c r="E96" s="39" t="str">
        <f>Table200[[#This Row],[Recommended Task]]</f>
        <v/>
      </c>
    </row>
    <row r="97" spans="1:5" ht="15.75" customHeight="1" x14ac:dyDescent="0.2">
      <c r="A97" s="107" t="s">
        <v>205</v>
      </c>
      <c r="B97" s="39">
        <v>1</v>
      </c>
      <c r="C97" s="44">
        <f>Inputs!G98</f>
        <v>0</v>
      </c>
      <c r="D97" s="39" t="str">
        <f>IF($C97&lt;&gt;"x","",IFERROR(_xlfn.XLOOKUP($A97,'Staffing sheet 1ST Shift'!$A:$A,'Staffing sheet 1ST Shift'!$I:$I,""),""))</f>
        <v/>
      </c>
      <c r="E97" s="39" t="str">
        <f>Table200[[#This Row],[Recommended Task]]</f>
        <v/>
      </c>
    </row>
    <row r="98" spans="1:5" x14ac:dyDescent="0.25">
      <c r="A98" s="73"/>
      <c r="B98" s="73"/>
      <c r="C98" s="75" cm="1">
        <f t="array" ref="C98">COUNTIF(G2:G97,x)</f>
        <v>0</v>
      </c>
      <c r="D98" s="74"/>
      <c r="E98" s="11"/>
    </row>
    <row r="148" spans="3:3" x14ac:dyDescent="0.2">
      <c r="C148" s="37">
        <f>COUNTIF(C2:C48,"X")</f>
        <v>0</v>
      </c>
    </row>
  </sheetData>
  <conditionalFormatting sqref="E2:E97">
    <cfRule type="cellIs" dxfId="3" priority="1" operator="equal">
      <formula>"Tasking"</formula>
    </cfRule>
  </conditionalFormatting>
  <conditionalFormatting sqref="K17">
    <cfRule type="containsText" dxfId="2" priority="2" operator="containsText" text="Overstaffed">
      <formula>NOT(ISERROR(SEARCH("Overstaffed",K17)))</formula>
    </cfRule>
    <cfRule type="containsText" dxfId="1" priority="3" operator="containsText" text="Good">
      <formula>NOT(ISERROR(SEARCH("Good",K17)))</formula>
    </cfRule>
    <cfRule type="containsText" dxfId="0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3:WVO983090 JC65559:JC65586 SY65559:SY65586 ACU65559:ACU65586 AMQ65559:AMQ65586 AWM65559:AWM65586 BGI65559:BGI65586 BQE65559:BQE65586 CAA65559:CAA65586 CJW65559:CJW65586 CTS65559:CTS65586 DDO65559:DDO65586 DNK65559:DNK65586 DXG65559:DXG65586 EHC65559:EHC65586 EQY65559:EQY65586 FAU65559:FAU65586 FKQ65559:FKQ65586 FUM65559:FUM65586 GEI65559:GEI65586 GOE65559:GOE65586 GYA65559:GYA65586 HHW65559:HHW65586 HRS65559:HRS65586 IBO65559:IBO65586 ILK65559:ILK65586 IVG65559:IVG65586 JFC65559:JFC65586 JOY65559:JOY65586 JYU65559:JYU65586 KIQ65559:KIQ65586 KSM65559:KSM65586 LCI65559:LCI65586 LME65559:LME65586 LWA65559:LWA65586 MFW65559:MFW65586 MPS65559:MPS65586 MZO65559:MZO65586 NJK65559:NJK65586 NTG65559:NTG65586 ODC65559:ODC65586 OMY65559:OMY65586 OWU65559:OWU65586 PGQ65559:PGQ65586 PQM65559:PQM65586 QAI65559:QAI65586 QKE65559:QKE65586 QUA65559:QUA65586 RDW65559:RDW65586 RNS65559:RNS65586 RXO65559:RXO65586 SHK65559:SHK65586 SRG65559:SRG65586 TBC65559:TBC65586 TKY65559:TKY65586 TUU65559:TUU65586 UEQ65559:UEQ65586 UOM65559:UOM65586 UYI65559:UYI65586 VIE65559:VIE65586 VSA65559:VSA65586 WBW65559:WBW65586 WLS65559:WLS65586 WVO65559:WVO65586 JC131095:JC131122 SY131095:SY131122 ACU131095:ACU131122 AMQ131095:AMQ131122 AWM131095:AWM131122 BGI131095:BGI131122 BQE131095:BQE131122 CAA131095:CAA131122 CJW131095:CJW131122 CTS131095:CTS131122 DDO131095:DDO131122 DNK131095:DNK131122 DXG131095:DXG131122 EHC131095:EHC131122 EQY131095:EQY131122 FAU131095:FAU131122 FKQ131095:FKQ131122 FUM131095:FUM131122 GEI131095:GEI131122 GOE131095:GOE131122 GYA131095:GYA131122 HHW131095:HHW131122 HRS131095:HRS131122 IBO131095:IBO131122 ILK131095:ILK131122 IVG131095:IVG131122 JFC131095:JFC131122 JOY131095:JOY131122 JYU131095:JYU131122 KIQ131095:KIQ131122 KSM131095:KSM131122 LCI131095:LCI131122 LME131095:LME131122 LWA131095:LWA131122 MFW131095:MFW131122 MPS131095:MPS131122 MZO131095:MZO131122 NJK131095:NJK131122 NTG131095:NTG131122 ODC131095:ODC131122 OMY131095:OMY131122 OWU131095:OWU131122 PGQ131095:PGQ131122 PQM131095:PQM131122 QAI131095:QAI131122 QKE131095:QKE131122 QUA131095:QUA131122 RDW131095:RDW131122 RNS131095:RNS131122 RXO131095:RXO131122 SHK131095:SHK131122 SRG131095:SRG131122 TBC131095:TBC131122 TKY131095:TKY131122 TUU131095:TUU131122 UEQ131095:UEQ131122 UOM131095:UOM131122 UYI131095:UYI131122 VIE131095:VIE131122 VSA131095:VSA131122 WBW131095:WBW131122 WLS131095:WLS131122 WVO131095:WVO131122 JC196631:JC196658 SY196631:SY196658 ACU196631:ACU196658 AMQ196631:AMQ196658 AWM196631:AWM196658 BGI196631:BGI196658 BQE196631:BQE196658 CAA196631:CAA196658 CJW196631:CJW196658 CTS196631:CTS196658 DDO196631:DDO196658 DNK196631:DNK196658 DXG196631:DXG196658 EHC196631:EHC196658 EQY196631:EQY196658 FAU196631:FAU196658 FKQ196631:FKQ196658 FUM196631:FUM196658 GEI196631:GEI196658 GOE196631:GOE196658 GYA196631:GYA196658 HHW196631:HHW196658 HRS196631:HRS196658 IBO196631:IBO196658 ILK196631:ILK196658 IVG196631:IVG196658 JFC196631:JFC196658 JOY196631:JOY196658 JYU196631:JYU196658 KIQ196631:KIQ196658 KSM196631:KSM196658 LCI196631:LCI196658 LME196631:LME196658 LWA196631:LWA196658 MFW196631:MFW196658 MPS196631:MPS196658 MZO196631:MZO196658 NJK196631:NJK196658 NTG196631:NTG196658 ODC196631:ODC196658 OMY196631:OMY196658 OWU196631:OWU196658 PGQ196631:PGQ196658 PQM196631:PQM196658 QAI196631:QAI196658 QKE196631:QKE196658 QUA196631:QUA196658 RDW196631:RDW196658 RNS196631:RNS196658 RXO196631:RXO196658 SHK196631:SHK196658 SRG196631:SRG196658 TBC196631:TBC196658 TKY196631:TKY196658 TUU196631:TUU196658 UEQ196631:UEQ196658 UOM196631:UOM196658 UYI196631:UYI196658 VIE196631:VIE196658 VSA196631:VSA196658 WBW196631:WBW196658 WLS196631:WLS196658 WVO196631:WVO196658 JC262167:JC262194 SY262167:SY262194 ACU262167:ACU262194 AMQ262167:AMQ262194 AWM262167:AWM262194 BGI262167:BGI262194 BQE262167:BQE262194 CAA262167:CAA262194 CJW262167:CJW262194 CTS262167:CTS262194 DDO262167:DDO262194 DNK262167:DNK262194 DXG262167:DXG262194 EHC262167:EHC262194 EQY262167:EQY262194 FAU262167:FAU262194 FKQ262167:FKQ262194 FUM262167:FUM262194 GEI262167:GEI262194 GOE262167:GOE262194 GYA262167:GYA262194 HHW262167:HHW262194 HRS262167:HRS262194 IBO262167:IBO262194 ILK262167:ILK262194 IVG262167:IVG262194 JFC262167:JFC262194 JOY262167:JOY262194 JYU262167:JYU262194 KIQ262167:KIQ262194 KSM262167:KSM262194 LCI262167:LCI262194 LME262167:LME262194 LWA262167:LWA262194 MFW262167:MFW262194 MPS262167:MPS262194 MZO262167:MZO262194 NJK262167:NJK262194 NTG262167:NTG262194 ODC262167:ODC262194 OMY262167:OMY262194 OWU262167:OWU262194 PGQ262167:PGQ262194 PQM262167:PQM262194 QAI262167:QAI262194 QKE262167:QKE262194 QUA262167:QUA262194 RDW262167:RDW262194 RNS262167:RNS262194 RXO262167:RXO262194 SHK262167:SHK262194 SRG262167:SRG262194 TBC262167:TBC262194 TKY262167:TKY262194 TUU262167:TUU262194 UEQ262167:UEQ262194 UOM262167:UOM262194 UYI262167:UYI262194 VIE262167:VIE262194 VSA262167:VSA262194 WBW262167:WBW262194 WLS262167:WLS262194 WVO262167:WVO262194 JC327703:JC327730 SY327703:SY327730 ACU327703:ACU327730 AMQ327703:AMQ327730 AWM327703:AWM327730 BGI327703:BGI327730 BQE327703:BQE327730 CAA327703:CAA327730 CJW327703:CJW327730 CTS327703:CTS327730 DDO327703:DDO327730 DNK327703:DNK327730 DXG327703:DXG327730 EHC327703:EHC327730 EQY327703:EQY327730 FAU327703:FAU327730 FKQ327703:FKQ327730 FUM327703:FUM327730 GEI327703:GEI327730 GOE327703:GOE327730 GYA327703:GYA327730 HHW327703:HHW327730 HRS327703:HRS327730 IBO327703:IBO327730 ILK327703:ILK327730 IVG327703:IVG327730 JFC327703:JFC327730 JOY327703:JOY327730 JYU327703:JYU327730 KIQ327703:KIQ327730 KSM327703:KSM327730 LCI327703:LCI327730 LME327703:LME327730 LWA327703:LWA327730 MFW327703:MFW327730 MPS327703:MPS327730 MZO327703:MZO327730 NJK327703:NJK327730 NTG327703:NTG327730 ODC327703:ODC327730 OMY327703:OMY327730 OWU327703:OWU327730 PGQ327703:PGQ327730 PQM327703:PQM327730 QAI327703:QAI327730 QKE327703:QKE327730 QUA327703:QUA327730 RDW327703:RDW327730 RNS327703:RNS327730 RXO327703:RXO327730 SHK327703:SHK327730 SRG327703:SRG327730 TBC327703:TBC327730 TKY327703:TKY327730 TUU327703:TUU327730 UEQ327703:UEQ327730 UOM327703:UOM327730 UYI327703:UYI327730 VIE327703:VIE327730 VSA327703:VSA327730 WBW327703:WBW327730 WLS327703:WLS327730 WVO327703:WVO327730 JC393239:JC393266 SY393239:SY393266 ACU393239:ACU393266 AMQ393239:AMQ393266 AWM393239:AWM393266 BGI393239:BGI393266 BQE393239:BQE393266 CAA393239:CAA393266 CJW393239:CJW393266 CTS393239:CTS393266 DDO393239:DDO393266 DNK393239:DNK393266 DXG393239:DXG393266 EHC393239:EHC393266 EQY393239:EQY393266 FAU393239:FAU393266 FKQ393239:FKQ393266 FUM393239:FUM393266 GEI393239:GEI393266 GOE393239:GOE393266 GYA393239:GYA393266 HHW393239:HHW393266 HRS393239:HRS393266 IBO393239:IBO393266 ILK393239:ILK393266 IVG393239:IVG393266 JFC393239:JFC393266 JOY393239:JOY393266 JYU393239:JYU393266 KIQ393239:KIQ393266 KSM393239:KSM393266 LCI393239:LCI393266 LME393239:LME393266 LWA393239:LWA393266 MFW393239:MFW393266 MPS393239:MPS393266 MZO393239:MZO393266 NJK393239:NJK393266 NTG393239:NTG393266 ODC393239:ODC393266 OMY393239:OMY393266 OWU393239:OWU393266 PGQ393239:PGQ393266 PQM393239:PQM393266 QAI393239:QAI393266 QKE393239:QKE393266 QUA393239:QUA393266 RDW393239:RDW393266 RNS393239:RNS393266 RXO393239:RXO393266 SHK393239:SHK393266 SRG393239:SRG393266 TBC393239:TBC393266 TKY393239:TKY393266 TUU393239:TUU393266 UEQ393239:UEQ393266 UOM393239:UOM393266 UYI393239:UYI393266 VIE393239:VIE393266 VSA393239:VSA393266 WBW393239:WBW393266 WLS393239:WLS393266 WVO393239:WVO393266 JC458775:JC458802 SY458775:SY458802 ACU458775:ACU458802 AMQ458775:AMQ458802 AWM458775:AWM458802 BGI458775:BGI458802 BQE458775:BQE458802 CAA458775:CAA458802 CJW458775:CJW458802 CTS458775:CTS458802 DDO458775:DDO458802 DNK458775:DNK458802 DXG458775:DXG458802 EHC458775:EHC458802 EQY458775:EQY458802 FAU458775:FAU458802 FKQ458775:FKQ458802 FUM458775:FUM458802 GEI458775:GEI458802 GOE458775:GOE458802 GYA458775:GYA458802 HHW458775:HHW458802 HRS458775:HRS458802 IBO458775:IBO458802 ILK458775:ILK458802 IVG458775:IVG458802 JFC458775:JFC458802 JOY458775:JOY458802 JYU458775:JYU458802 KIQ458775:KIQ458802 KSM458775:KSM458802 LCI458775:LCI458802 LME458775:LME458802 LWA458775:LWA458802 MFW458775:MFW458802 MPS458775:MPS458802 MZO458775:MZO458802 NJK458775:NJK458802 NTG458775:NTG458802 ODC458775:ODC458802 OMY458775:OMY458802 OWU458775:OWU458802 PGQ458775:PGQ458802 PQM458775:PQM458802 QAI458775:QAI458802 QKE458775:QKE458802 QUA458775:QUA458802 RDW458775:RDW458802 RNS458775:RNS458802 RXO458775:RXO458802 SHK458775:SHK458802 SRG458775:SRG458802 TBC458775:TBC458802 TKY458775:TKY458802 TUU458775:TUU458802 UEQ458775:UEQ458802 UOM458775:UOM458802 UYI458775:UYI458802 VIE458775:VIE458802 VSA458775:VSA458802 WBW458775:WBW458802 WLS458775:WLS458802 WVO458775:WVO458802 JC524311:JC524338 SY524311:SY524338 ACU524311:ACU524338 AMQ524311:AMQ524338 AWM524311:AWM524338 BGI524311:BGI524338 BQE524311:BQE524338 CAA524311:CAA524338 CJW524311:CJW524338 CTS524311:CTS524338 DDO524311:DDO524338 DNK524311:DNK524338 DXG524311:DXG524338 EHC524311:EHC524338 EQY524311:EQY524338 FAU524311:FAU524338 FKQ524311:FKQ524338 FUM524311:FUM524338 GEI524311:GEI524338 GOE524311:GOE524338 GYA524311:GYA524338 HHW524311:HHW524338 HRS524311:HRS524338 IBO524311:IBO524338 ILK524311:ILK524338 IVG524311:IVG524338 JFC524311:JFC524338 JOY524311:JOY524338 JYU524311:JYU524338 KIQ524311:KIQ524338 KSM524311:KSM524338 LCI524311:LCI524338 LME524311:LME524338 LWA524311:LWA524338 MFW524311:MFW524338 MPS524311:MPS524338 MZO524311:MZO524338 NJK524311:NJK524338 NTG524311:NTG524338 ODC524311:ODC524338 OMY524311:OMY524338 OWU524311:OWU524338 PGQ524311:PGQ524338 PQM524311:PQM524338 QAI524311:QAI524338 QKE524311:QKE524338 QUA524311:QUA524338 RDW524311:RDW524338 RNS524311:RNS524338 RXO524311:RXO524338 SHK524311:SHK524338 SRG524311:SRG524338 TBC524311:TBC524338 TKY524311:TKY524338 TUU524311:TUU524338 UEQ524311:UEQ524338 UOM524311:UOM524338 UYI524311:UYI524338 VIE524311:VIE524338 VSA524311:VSA524338 WBW524311:WBW524338 WLS524311:WLS524338 WVO524311:WVO524338 JC589847:JC589874 SY589847:SY589874 ACU589847:ACU589874 AMQ589847:AMQ589874 AWM589847:AWM589874 BGI589847:BGI589874 BQE589847:BQE589874 CAA589847:CAA589874 CJW589847:CJW589874 CTS589847:CTS589874 DDO589847:DDO589874 DNK589847:DNK589874 DXG589847:DXG589874 EHC589847:EHC589874 EQY589847:EQY589874 FAU589847:FAU589874 FKQ589847:FKQ589874 FUM589847:FUM589874 GEI589847:GEI589874 GOE589847:GOE589874 GYA589847:GYA589874 HHW589847:HHW589874 HRS589847:HRS589874 IBO589847:IBO589874 ILK589847:ILK589874 IVG589847:IVG589874 JFC589847:JFC589874 JOY589847:JOY589874 JYU589847:JYU589874 KIQ589847:KIQ589874 KSM589847:KSM589874 LCI589847:LCI589874 LME589847:LME589874 LWA589847:LWA589874 MFW589847:MFW589874 MPS589847:MPS589874 MZO589847:MZO589874 NJK589847:NJK589874 NTG589847:NTG589874 ODC589847:ODC589874 OMY589847:OMY589874 OWU589847:OWU589874 PGQ589847:PGQ589874 PQM589847:PQM589874 QAI589847:QAI589874 QKE589847:QKE589874 QUA589847:QUA589874 RDW589847:RDW589874 RNS589847:RNS589874 RXO589847:RXO589874 SHK589847:SHK589874 SRG589847:SRG589874 TBC589847:TBC589874 TKY589847:TKY589874 TUU589847:TUU589874 UEQ589847:UEQ589874 UOM589847:UOM589874 UYI589847:UYI589874 VIE589847:VIE589874 VSA589847:VSA589874 WBW589847:WBW589874 WLS589847:WLS589874 WVO589847:WVO589874 JC655383:JC655410 SY655383:SY655410 ACU655383:ACU655410 AMQ655383:AMQ655410 AWM655383:AWM655410 BGI655383:BGI655410 BQE655383:BQE655410 CAA655383:CAA655410 CJW655383:CJW655410 CTS655383:CTS655410 DDO655383:DDO655410 DNK655383:DNK655410 DXG655383:DXG655410 EHC655383:EHC655410 EQY655383:EQY655410 FAU655383:FAU655410 FKQ655383:FKQ655410 FUM655383:FUM655410 GEI655383:GEI655410 GOE655383:GOE655410 GYA655383:GYA655410 HHW655383:HHW655410 HRS655383:HRS655410 IBO655383:IBO655410 ILK655383:ILK655410 IVG655383:IVG655410 JFC655383:JFC655410 JOY655383:JOY655410 JYU655383:JYU655410 KIQ655383:KIQ655410 KSM655383:KSM655410 LCI655383:LCI655410 LME655383:LME655410 LWA655383:LWA655410 MFW655383:MFW655410 MPS655383:MPS655410 MZO655383:MZO655410 NJK655383:NJK655410 NTG655383:NTG655410 ODC655383:ODC655410 OMY655383:OMY655410 OWU655383:OWU655410 PGQ655383:PGQ655410 PQM655383:PQM655410 QAI655383:QAI655410 QKE655383:QKE655410 QUA655383:QUA655410 RDW655383:RDW655410 RNS655383:RNS655410 RXO655383:RXO655410 SHK655383:SHK655410 SRG655383:SRG655410 TBC655383:TBC655410 TKY655383:TKY655410 TUU655383:TUU655410 UEQ655383:UEQ655410 UOM655383:UOM655410 UYI655383:UYI655410 VIE655383:VIE655410 VSA655383:VSA655410 WBW655383:WBW655410 WLS655383:WLS655410 WVO655383:WVO655410 JC720919:JC720946 SY720919:SY720946 ACU720919:ACU720946 AMQ720919:AMQ720946 AWM720919:AWM720946 BGI720919:BGI720946 BQE720919:BQE720946 CAA720919:CAA720946 CJW720919:CJW720946 CTS720919:CTS720946 DDO720919:DDO720946 DNK720919:DNK720946 DXG720919:DXG720946 EHC720919:EHC720946 EQY720919:EQY720946 FAU720919:FAU720946 FKQ720919:FKQ720946 FUM720919:FUM720946 GEI720919:GEI720946 GOE720919:GOE720946 GYA720919:GYA720946 HHW720919:HHW720946 HRS720919:HRS720946 IBO720919:IBO720946 ILK720919:ILK720946 IVG720919:IVG720946 JFC720919:JFC720946 JOY720919:JOY720946 JYU720919:JYU720946 KIQ720919:KIQ720946 KSM720919:KSM720946 LCI720919:LCI720946 LME720919:LME720946 LWA720919:LWA720946 MFW720919:MFW720946 MPS720919:MPS720946 MZO720919:MZO720946 NJK720919:NJK720946 NTG720919:NTG720946 ODC720919:ODC720946 OMY720919:OMY720946 OWU720919:OWU720946 PGQ720919:PGQ720946 PQM720919:PQM720946 QAI720919:QAI720946 QKE720919:QKE720946 QUA720919:QUA720946 RDW720919:RDW720946 RNS720919:RNS720946 RXO720919:RXO720946 SHK720919:SHK720946 SRG720919:SRG720946 TBC720919:TBC720946 TKY720919:TKY720946 TUU720919:TUU720946 UEQ720919:UEQ720946 UOM720919:UOM720946 UYI720919:UYI720946 VIE720919:VIE720946 VSA720919:VSA720946 WBW720919:WBW720946 WLS720919:WLS720946 WVO720919:WVO720946 JC786455:JC786482 SY786455:SY786482 ACU786455:ACU786482 AMQ786455:AMQ786482 AWM786455:AWM786482 BGI786455:BGI786482 BQE786455:BQE786482 CAA786455:CAA786482 CJW786455:CJW786482 CTS786455:CTS786482 DDO786455:DDO786482 DNK786455:DNK786482 DXG786455:DXG786482 EHC786455:EHC786482 EQY786455:EQY786482 FAU786455:FAU786482 FKQ786455:FKQ786482 FUM786455:FUM786482 GEI786455:GEI786482 GOE786455:GOE786482 GYA786455:GYA786482 HHW786455:HHW786482 HRS786455:HRS786482 IBO786455:IBO786482 ILK786455:ILK786482 IVG786455:IVG786482 JFC786455:JFC786482 JOY786455:JOY786482 JYU786455:JYU786482 KIQ786455:KIQ786482 KSM786455:KSM786482 LCI786455:LCI786482 LME786455:LME786482 LWA786455:LWA786482 MFW786455:MFW786482 MPS786455:MPS786482 MZO786455:MZO786482 NJK786455:NJK786482 NTG786455:NTG786482 ODC786455:ODC786482 OMY786455:OMY786482 OWU786455:OWU786482 PGQ786455:PGQ786482 PQM786455:PQM786482 QAI786455:QAI786482 QKE786455:QKE786482 QUA786455:QUA786482 RDW786455:RDW786482 RNS786455:RNS786482 RXO786455:RXO786482 SHK786455:SHK786482 SRG786455:SRG786482 TBC786455:TBC786482 TKY786455:TKY786482 TUU786455:TUU786482 UEQ786455:UEQ786482 UOM786455:UOM786482 UYI786455:UYI786482 VIE786455:VIE786482 VSA786455:VSA786482 WBW786455:WBW786482 WLS786455:WLS786482 WVO786455:WVO786482 JC851991:JC852018 SY851991:SY852018 ACU851991:ACU852018 AMQ851991:AMQ852018 AWM851991:AWM852018 BGI851991:BGI852018 BQE851991:BQE852018 CAA851991:CAA852018 CJW851991:CJW852018 CTS851991:CTS852018 DDO851991:DDO852018 DNK851991:DNK852018 DXG851991:DXG852018 EHC851991:EHC852018 EQY851991:EQY852018 FAU851991:FAU852018 FKQ851991:FKQ852018 FUM851991:FUM852018 GEI851991:GEI852018 GOE851991:GOE852018 GYA851991:GYA852018 HHW851991:HHW852018 HRS851991:HRS852018 IBO851991:IBO852018 ILK851991:ILK852018 IVG851991:IVG852018 JFC851991:JFC852018 JOY851991:JOY852018 JYU851991:JYU852018 KIQ851991:KIQ852018 KSM851991:KSM852018 LCI851991:LCI852018 LME851991:LME852018 LWA851991:LWA852018 MFW851991:MFW852018 MPS851991:MPS852018 MZO851991:MZO852018 NJK851991:NJK852018 NTG851991:NTG852018 ODC851991:ODC852018 OMY851991:OMY852018 OWU851991:OWU852018 PGQ851991:PGQ852018 PQM851991:PQM852018 QAI851991:QAI852018 QKE851991:QKE852018 QUA851991:QUA852018 RDW851991:RDW852018 RNS851991:RNS852018 RXO851991:RXO852018 SHK851991:SHK852018 SRG851991:SRG852018 TBC851991:TBC852018 TKY851991:TKY852018 TUU851991:TUU852018 UEQ851991:UEQ852018 UOM851991:UOM852018 UYI851991:UYI852018 VIE851991:VIE852018 VSA851991:VSA852018 WBW851991:WBW852018 WLS851991:WLS852018 WVO851991:WVO852018 JC917527:JC917554 SY917527:SY917554 ACU917527:ACU917554 AMQ917527:AMQ917554 AWM917527:AWM917554 BGI917527:BGI917554 BQE917527:BQE917554 CAA917527:CAA917554 CJW917527:CJW917554 CTS917527:CTS917554 DDO917527:DDO917554 DNK917527:DNK917554 DXG917527:DXG917554 EHC917527:EHC917554 EQY917527:EQY917554 FAU917527:FAU917554 FKQ917527:FKQ917554 FUM917527:FUM917554 GEI917527:GEI917554 GOE917527:GOE917554 GYA917527:GYA917554 HHW917527:HHW917554 HRS917527:HRS917554 IBO917527:IBO917554 ILK917527:ILK917554 IVG917527:IVG917554 JFC917527:JFC917554 JOY917527:JOY917554 JYU917527:JYU917554 KIQ917527:KIQ917554 KSM917527:KSM917554 LCI917527:LCI917554 LME917527:LME917554 LWA917527:LWA917554 MFW917527:MFW917554 MPS917527:MPS917554 MZO917527:MZO917554 NJK917527:NJK917554 NTG917527:NTG917554 ODC917527:ODC917554 OMY917527:OMY917554 OWU917527:OWU917554 PGQ917527:PGQ917554 PQM917527:PQM917554 QAI917527:QAI917554 QKE917527:QKE917554 QUA917527:QUA917554 RDW917527:RDW917554 RNS917527:RNS917554 RXO917527:RXO917554 SHK917527:SHK917554 SRG917527:SRG917554 TBC917527:TBC917554 TKY917527:TKY917554 TUU917527:TUU917554 UEQ917527:UEQ917554 UOM917527:UOM917554 UYI917527:UYI917554 VIE917527:VIE917554 VSA917527:VSA917554 WBW917527:WBW917554 WLS917527:WLS917554 WVO917527:WVO917554 JC983063:JC983090 SY983063:SY983090 ACU983063:ACU983090 AMQ983063:AMQ983090 AWM983063:AWM983090 BGI983063:BGI983090 BQE983063:BQE983090 CAA983063:CAA983090 CJW983063:CJW983090 CTS983063:CTS983090 DDO983063:DDO983090 DNK983063:DNK983090 DXG983063:DXG983090 EHC983063:EHC983090 EQY983063:EQY983090 FAU983063:FAU983090 FKQ983063:FKQ983090 FUM983063:FUM983090 GEI983063:GEI983090 GOE983063:GOE983090 GYA983063:GYA983090 HHW983063:HHW983090 HRS983063:HRS983090 IBO983063:IBO983090 ILK983063:ILK983090 IVG983063:IVG983090 JFC983063:JFC983090 JOY983063:JOY983090 JYU983063:JYU983090 KIQ983063:KIQ983090 KSM983063:KSM983090 LCI983063:LCI983090 LME983063:LME983090 LWA983063:LWA983090 MFW983063:MFW983090 MPS983063:MPS983090 MZO983063:MZO983090 NJK983063:NJK983090 NTG983063:NTG983090 ODC983063:ODC983090 OMY983063:OMY983090 OWU983063:OWU983090 PGQ983063:PGQ983090 PQM983063:PQM983090 QAI983063:QAI983090 QKE983063:QKE983090 QUA983063:QUA983090 RDW983063:RDW983090 RNS983063:RNS983090 RXO983063:RXO983090 SHK983063:SHK983090 SRG983063:SRG983090 TBC983063:TBC983090 TKY983063:TKY983090 TUU983063:TUU983090 UEQ983063:UEQ983090 UOM983063:UOM983090 UYI983063:UYI983090 VIE983063:VIE983090 VSA983063:VSA983090 WBW983063:WBW983090 WLS983063:WLS983090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598:C65625 C131134:C131161 C196670:C196697 C262206:C262233 C327742:C327769 C393278:C393305 C458814:C458841 C524350:C524377 C589886:C589913 C655422:C655449 C720958:C720985 C786494:C786521 C852030:C852057 C917566:C917593 C983102:C983129 C1" xr:uid="{1CC7598A-C000-4646-8423-8FAFF9E82D21}">
      <formula1>#REF!</formula1>
    </dataValidation>
    <dataValidation type="list" allowBlank="1" showInputMessage="1" showErrorMessage="1" sqref="D65598:E65625 D131134:E131161 D196670:E196697 D262206:E262233 D327742:E327769 D393278:E393305 D458814:E458841 D524350:E524377 D589886:E589913 D655422:E655449 D720958:E720985 D786494:E786521 D852030:E852057 D917566:E917593 D983102:E983129" xr:uid="{F4E25A44-BCE6-4FE3-85BF-C9BC66C43997}">
      <formula1>$P$1:$P$6</formula1>
    </dataValidation>
    <dataValidation type="list" allowBlank="1" showInputMessage="1" showErrorMessage="1" sqref="WVP983063:WVP983090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3:WLT983090 WBX983063:WBX983090 VSB983063:VSB983090 VIF983063:VIF983090 UYJ983063:UYJ983090 UON983063:UON983090 UER983063:UER983090 TUV983063:TUV983090 TKZ983063:TKZ983090 TBD983063:TBD983090 SRH983063:SRH983090 SHL983063:SHL983090 RXP983063:RXP983090 RNT983063:RNT983090 RDX983063:RDX983090 QUB983063:QUB983090 QKF983063:QKF983090 QAJ983063:QAJ983090 PQN983063:PQN983090 PGR983063:PGR983090 OWV983063:OWV983090 OMZ983063:OMZ983090 ODD983063:ODD983090 NTH983063:NTH983090 NJL983063:NJL983090 MZP983063:MZP983090 MPT983063:MPT983090 MFX983063:MFX983090 LWB983063:LWB983090 LMF983063:LMF983090 LCJ983063:LCJ983090 KSN983063:KSN983090 KIR983063:KIR983090 JYV983063:JYV983090 JOZ983063:JOZ983090 JFD983063:JFD983090 IVH983063:IVH983090 ILL983063:ILL983090 IBP983063:IBP983090 HRT983063:HRT983090 HHX983063:HHX983090 GYB983063:GYB983090 GOF983063:GOF983090 GEJ983063:GEJ983090 FUN983063:FUN983090 FKR983063:FKR983090 FAV983063:FAV983090 EQZ983063:EQZ983090 EHD983063:EHD983090 DXH983063:DXH983090 DNL983063:DNL983090 DDP983063:DDP983090 CTT983063:CTT983090 CJX983063:CJX983090 CAB983063:CAB983090 BQF983063:BQF983090 BGJ983063:BGJ983090 AWN983063:AWN983090 AMR983063:AMR983090 ACV983063:ACV983090 SZ983063:SZ983090 JD983063:JD983090 SZ1:SZ34 WVP917527:WVP917554 WLT917527:WLT917554 WBX917527:WBX917554 VSB917527:VSB917554 VIF917527:VIF917554 UYJ917527:UYJ917554 UON917527:UON917554 UER917527:UER917554 TUV917527:TUV917554 TKZ917527:TKZ917554 TBD917527:TBD917554 SRH917527:SRH917554 SHL917527:SHL917554 RXP917527:RXP917554 RNT917527:RNT917554 RDX917527:RDX917554 QUB917527:QUB917554 QKF917527:QKF917554 QAJ917527:QAJ917554 PQN917527:PQN917554 PGR917527:PGR917554 OWV917527:OWV917554 OMZ917527:OMZ917554 ODD917527:ODD917554 NTH917527:NTH917554 NJL917527:NJL917554 MZP917527:MZP917554 MPT917527:MPT917554 MFX917527:MFX917554 LWB917527:LWB917554 LMF917527:LMF917554 LCJ917527:LCJ917554 KSN917527:KSN917554 KIR917527:KIR917554 JYV917527:JYV917554 JOZ917527:JOZ917554 JFD917527:JFD917554 IVH917527:IVH917554 ILL917527:ILL917554 IBP917527:IBP917554 HRT917527:HRT917554 HHX917527:HHX917554 GYB917527:GYB917554 GOF917527:GOF917554 GEJ917527:GEJ917554 FUN917527:FUN917554 FKR917527:FKR917554 FAV917527:FAV917554 EQZ917527:EQZ917554 EHD917527:EHD917554 DXH917527:DXH917554 DNL917527:DNL917554 DDP917527:DDP917554 CTT917527:CTT917554 CJX917527:CJX917554 CAB917527:CAB917554 BQF917527:BQF917554 BGJ917527:BGJ917554 AWN917527:AWN917554 AMR917527:AMR917554 ACV917527:ACV917554 SZ917527:SZ917554 JD917527:JD917554 WVP851991:WVP852018 WLT851991:WLT852018 WBX851991:WBX852018 VSB851991:VSB852018 VIF851991:VIF852018 UYJ851991:UYJ852018 UON851991:UON852018 UER851991:UER852018 TUV851991:TUV852018 TKZ851991:TKZ852018 TBD851991:TBD852018 SRH851991:SRH852018 SHL851991:SHL852018 RXP851991:RXP852018 RNT851991:RNT852018 RDX851991:RDX852018 QUB851991:QUB852018 QKF851991:QKF852018 QAJ851991:QAJ852018 PQN851991:PQN852018 PGR851991:PGR852018 OWV851991:OWV852018 OMZ851991:OMZ852018 ODD851991:ODD852018 NTH851991:NTH852018 NJL851991:NJL852018 MZP851991:MZP852018 MPT851991:MPT852018 MFX851991:MFX852018 LWB851991:LWB852018 LMF851991:LMF852018 LCJ851991:LCJ852018 KSN851991:KSN852018 KIR851991:KIR852018 JYV851991:JYV852018 JOZ851991:JOZ852018 JFD851991:JFD852018 IVH851991:IVH852018 ILL851991:ILL852018 IBP851991:IBP852018 HRT851991:HRT852018 HHX851991:HHX852018 GYB851991:GYB852018 GOF851991:GOF852018 GEJ851991:GEJ852018 FUN851991:FUN852018 FKR851991:FKR852018 FAV851991:FAV852018 EQZ851991:EQZ852018 EHD851991:EHD852018 DXH851991:DXH852018 DNL851991:DNL852018 DDP851991:DDP852018 CTT851991:CTT852018 CJX851991:CJX852018 CAB851991:CAB852018 BQF851991:BQF852018 BGJ851991:BGJ852018 AWN851991:AWN852018 AMR851991:AMR852018 ACV851991:ACV852018 SZ851991:SZ852018 JD851991:JD852018 WVP786455:WVP786482 WLT786455:WLT786482 WBX786455:WBX786482 VSB786455:VSB786482 VIF786455:VIF786482 UYJ786455:UYJ786482 UON786455:UON786482 UER786455:UER786482 TUV786455:TUV786482 TKZ786455:TKZ786482 TBD786455:TBD786482 SRH786455:SRH786482 SHL786455:SHL786482 RXP786455:RXP786482 RNT786455:RNT786482 RDX786455:RDX786482 QUB786455:QUB786482 QKF786455:QKF786482 QAJ786455:QAJ786482 PQN786455:PQN786482 PGR786455:PGR786482 OWV786455:OWV786482 OMZ786455:OMZ786482 ODD786455:ODD786482 NTH786455:NTH786482 NJL786455:NJL786482 MZP786455:MZP786482 MPT786455:MPT786482 MFX786455:MFX786482 LWB786455:LWB786482 LMF786455:LMF786482 LCJ786455:LCJ786482 KSN786455:KSN786482 KIR786455:KIR786482 JYV786455:JYV786482 JOZ786455:JOZ786482 JFD786455:JFD786482 IVH786455:IVH786482 ILL786455:ILL786482 IBP786455:IBP786482 HRT786455:HRT786482 HHX786455:HHX786482 GYB786455:GYB786482 GOF786455:GOF786482 GEJ786455:GEJ786482 FUN786455:FUN786482 FKR786455:FKR786482 FAV786455:FAV786482 EQZ786455:EQZ786482 EHD786455:EHD786482 DXH786455:DXH786482 DNL786455:DNL786482 DDP786455:DDP786482 CTT786455:CTT786482 CJX786455:CJX786482 CAB786455:CAB786482 BQF786455:BQF786482 BGJ786455:BGJ786482 AWN786455:AWN786482 AMR786455:AMR786482 ACV786455:ACV786482 SZ786455:SZ786482 JD786455:JD786482 WVP720919:WVP720946 WLT720919:WLT720946 WBX720919:WBX720946 VSB720919:VSB720946 VIF720919:VIF720946 UYJ720919:UYJ720946 UON720919:UON720946 UER720919:UER720946 TUV720919:TUV720946 TKZ720919:TKZ720946 TBD720919:TBD720946 SRH720919:SRH720946 SHL720919:SHL720946 RXP720919:RXP720946 RNT720919:RNT720946 RDX720919:RDX720946 QUB720919:QUB720946 QKF720919:QKF720946 QAJ720919:QAJ720946 PQN720919:PQN720946 PGR720919:PGR720946 OWV720919:OWV720946 OMZ720919:OMZ720946 ODD720919:ODD720946 NTH720919:NTH720946 NJL720919:NJL720946 MZP720919:MZP720946 MPT720919:MPT720946 MFX720919:MFX720946 LWB720919:LWB720946 LMF720919:LMF720946 LCJ720919:LCJ720946 KSN720919:KSN720946 KIR720919:KIR720946 JYV720919:JYV720946 JOZ720919:JOZ720946 JFD720919:JFD720946 IVH720919:IVH720946 ILL720919:ILL720946 IBP720919:IBP720946 HRT720919:HRT720946 HHX720919:HHX720946 GYB720919:GYB720946 GOF720919:GOF720946 GEJ720919:GEJ720946 FUN720919:FUN720946 FKR720919:FKR720946 FAV720919:FAV720946 EQZ720919:EQZ720946 EHD720919:EHD720946 DXH720919:DXH720946 DNL720919:DNL720946 DDP720919:DDP720946 CTT720919:CTT720946 CJX720919:CJX720946 CAB720919:CAB720946 BQF720919:BQF720946 BGJ720919:BGJ720946 AWN720919:AWN720946 AMR720919:AMR720946 ACV720919:ACV720946 SZ720919:SZ720946 JD720919:JD720946 WVP655383:WVP655410 WLT655383:WLT655410 WBX655383:WBX655410 VSB655383:VSB655410 VIF655383:VIF655410 UYJ655383:UYJ655410 UON655383:UON655410 UER655383:UER655410 TUV655383:TUV655410 TKZ655383:TKZ655410 TBD655383:TBD655410 SRH655383:SRH655410 SHL655383:SHL655410 RXP655383:RXP655410 RNT655383:RNT655410 RDX655383:RDX655410 QUB655383:QUB655410 QKF655383:QKF655410 QAJ655383:QAJ655410 PQN655383:PQN655410 PGR655383:PGR655410 OWV655383:OWV655410 OMZ655383:OMZ655410 ODD655383:ODD655410 NTH655383:NTH655410 NJL655383:NJL655410 MZP655383:MZP655410 MPT655383:MPT655410 MFX655383:MFX655410 LWB655383:LWB655410 LMF655383:LMF655410 LCJ655383:LCJ655410 KSN655383:KSN655410 KIR655383:KIR655410 JYV655383:JYV655410 JOZ655383:JOZ655410 JFD655383:JFD655410 IVH655383:IVH655410 ILL655383:ILL655410 IBP655383:IBP655410 HRT655383:HRT655410 HHX655383:HHX655410 GYB655383:GYB655410 GOF655383:GOF655410 GEJ655383:GEJ655410 FUN655383:FUN655410 FKR655383:FKR655410 FAV655383:FAV655410 EQZ655383:EQZ655410 EHD655383:EHD655410 DXH655383:DXH655410 DNL655383:DNL655410 DDP655383:DDP655410 CTT655383:CTT655410 CJX655383:CJX655410 CAB655383:CAB655410 BQF655383:BQF655410 BGJ655383:BGJ655410 AWN655383:AWN655410 AMR655383:AMR655410 ACV655383:ACV655410 SZ655383:SZ655410 JD655383:JD655410 WVP589847:WVP589874 WLT589847:WLT589874 WBX589847:WBX589874 VSB589847:VSB589874 VIF589847:VIF589874 UYJ589847:UYJ589874 UON589847:UON589874 UER589847:UER589874 TUV589847:TUV589874 TKZ589847:TKZ589874 TBD589847:TBD589874 SRH589847:SRH589874 SHL589847:SHL589874 RXP589847:RXP589874 RNT589847:RNT589874 RDX589847:RDX589874 QUB589847:QUB589874 QKF589847:QKF589874 QAJ589847:QAJ589874 PQN589847:PQN589874 PGR589847:PGR589874 OWV589847:OWV589874 OMZ589847:OMZ589874 ODD589847:ODD589874 NTH589847:NTH589874 NJL589847:NJL589874 MZP589847:MZP589874 MPT589847:MPT589874 MFX589847:MFX589874 LWB589847:LWB589874 LMF589847:LMF589874 LCJ589847:LCJ589874 KSN589847:KSN589874 KIR589847:KIR589874 JYV589847:JYV589874 JOZ589847:JOZ589874 JFD589847:JFD589874 IVH589847:IVH589874 ILL589847:ILL589874 IBP589847:IBP589874 HRT589847:HRT589874 HHX589847:HHX589874 GYB589847:GYB589874 GOF589847:GOF589874 GEJ589847:GEJ589874 FUN589847:FUN589874 FKR589847:FKR589874 FAV589847:FAV589874 EQZ589847:EQZ589874 EHD589847:EHD589874 DXH589847:DXH589874 DNL589847:DNL589874 DDP589847:DDP589874 CTT589847:CTT589874 CJX589847:CJX589874 CAB589847:CAB589874 BQF589847:BQF589874 BGJ589847:BGJ589874 AWN589847:AWN589874 AMR589847:AMR589874 ACV589847:ACV589874 SZ589847:SZ589874 JD589847:JD589874 WVP524311:WVP524338 WLT524311:WLT524338 WBX524311:WBX524338 VSB524311:VSB524338 VIF524311:VIF524338 UYJ524311:UYJ524338 UON524311:UON524338 UER524311:UER524338 TUV524311:TUV524338 TKZ524311:TKZ524338 TBD524311:TBD524338 SRH524311:SRH524338 SHL524311:SHL524338 RXP524311:RXP524338 RNT524311:RNT524338 RDX524311:RDX524338 QUB524311:QUB524338 QKF524311:QKF524338 QAJ524311:QAJ524338 PQN524311:PQN524338 PGR524311:PGR524338 OWV524311:OWV524338 OMZ524311:OMZ524338 ODD524311:ODD524338 NTH524311:NTH524338 NJL524311:NJL524338 MZP524311:MZP524338 MPT524311:MPT524338 MFX524311:MFX524338 LWB524311:LWB524338 LMF524311:LMF524338 LCJ524311:LCJ524338 KSN524311:KSN524338 KIR524311:KIR524338 JYV524311:JYV524338 JOZ524311:JOZ524338 JFD524311:JFD524338 IVH524311:IVH524338 ILL524311:ILL524338 IBP524311:IBP524338 HRT524311:HRT524338 HHX524311:HHX524338 GYB524311:GYB524338 GOF524311:GOF524338 GEJ524311:GEJ524338 FUN524311:FUN524338 FKR524311:FKR524338 FAV524311:FAV524338 EQZ524311:EQZ524338 EHD524311:EHD524338 DXH524311:DXH524338 DNL524311:DNL524338 DDP524311:DDP524338 CTT524311:CTT524338 CJX524311:CJX524338 CAB524311:CAB524338 BQF524311:BQF524338 BGJ524311:BGJ524338 AWN524311:AWN524338 AMR524311:AMR524338 ACV524311:ACV524338 SZ524311:SZ524338 JD524311:JD524338 WVP458775:WVP458802 WLT458775:WLT458802 WBX458775:WBX458802 VSB458775:VSB458802 VIF458775:VIF458802 UYJ458775:UYJ458802 UON458775:UON458802 UER458775:UER458802 TUV458775:TUV458802 TKZ458775:TKZ458802 TBD458775:TBD458802 SRH458775:SRH458802 SHL458775:SHL458802 RXP458775:RXP458802 RNT458775:RNT458802 RDX458775:RDX458802 QUB458775:QUB458802 QKF458775:QKF458802 QAJ458775:QAJ458802 PQN458775:PQN458802 PGR458775:PGR458802 OWV458775:OWV458802 OMZ458775:OMZ458802 ODD458775:ODD458802 NTH458775:NTH458802 NJL458775:NJL458802 MZP458775:MZP458802 MPT458775:MPT458802 MFX458775:MFX458802 LWB458775:LWB458802 LMF458775:LMF458802 LCJ458775:LCJ458802 KSN458775:KSN458802 KIR458775:KIR458802 JYV458775:JYV458802 JOZ458775:JOZ458802 JFD458775:JFD458802 IVH458775:IVH458802 ILL458775:ILL458802 IBP458775:IBP458802 HRT458775:HRT458802 HHX458775:HHX458802 GYB458775:GYB458802 GOF458775:GOF458802 GEJ458775:GEJ458802 FUN458775:FUN458802 FKR458775:FKR458802 FAV458775:FAV458802 EQZ458775:EQZ458802 EHD458775:EHD458802 DXH458775:DXH458802 DNL458775:DNL458802 DDP458775:DDP458802 CTT458775:CTT458802 CJX458775:CJX458802 CAB458775:CAB458802 BQF458775:BQF458802 BGJ458775:BGJ458802 AWN458775:AWN458802 AMR458775:AMR458802 ACV458775:ACV458802 SZ458775:SZ458802 JD458775:JD458802 WVP393239:WVP393266 WLT393239:WLT393266 WBX393239:WBX393266 VSB393239:VSB393266 VIF393239:VIF393266 UYJ393239:UYJ393266 UON393239:UON393266 UER393239:UER393266 TUV393239:TUV393266 TKZ393239:TKZ393266 TBD393239:TBD393266 SRH393239:SRH393266 SHL393239:SHL393266 RXP393239:RXP393266 RNT393239:RNT393266 RDX393239:RDX393266 QUB393239:QUB393266 QKF393239:QKF393266 QAJ393239:QAJ393266 PQN393239:PQN393266 PGR393239:PGR393266 OWV393239:OWV393266 OMZ393239:OMZ393266 ODD393239:ODD393266 NTH393239:NTH393266 NJL393239:NJL393266 MZP393239:MZP393266 MPT393239:MPT393266 MFX393239:MFX393266 LWB393239:LWB393266 LMF393239:LMF393266 LCJ393239:LCJ393266 KSN393239:KSN393266 KIR393239:KIR393266 JYV393239:JYV393266 JOZ393239:JOZ393266 JFD393239:JFD393266 IVH393239:IVH393266 ILL393239:ILL393266 IBP393239:IBP393266 HRT393239:HRT393266 HHX393239:HHX393266 GYB393239:GYB393266 GOF393239:GOF393266 GEJ393239:GEJ393266 FUN393239:FUN393266 FKR393239:FKR393266 FAV393239:FAV393266 EQZ393239:EQZ393266 EHD393239:EHD393266 DXH393239:DXH393266 DNL393239:DNL393266 DDP393239:DDP393266 CTT393239:CTT393266 CJX393239:CJX393266 CAB393239:CAB393266 BQF393239:BQF393266 BGJ393239:BGJ393266 AWN393239:AWN393266 AMR393239:AMR393266 ACV393239:ACV393266 SZ393239:SZ393266 JD393239:JD393266 WVP327703:WVP327730 WLT327703:WLT327730 WBX327703:WBX327730 VSB327703:VSB327730 VIF327703:VIF327730 UYJ327703:UYJ327730 UON327703:UON327730 UER327703:UER327730 TUV327703:TUV327730 TKZ327703:TKZ327730 TBD327703:TBD327730 SRH327703:SRH327730 SHL327703:SHL327730 RXP327703:RXP327730 RNT327703:RNT327730 RDX327703:RDX327730 QUB327703:QUB327730 QKF327703:QKF327730 QAJ327703:QAJ327730 PQN327703:PQN327730 PGR327703:PGR327730 OWV327703:OWV327730 OMZ327703:OMZ327730 ODD327703:ODD327730 NTH327703:NTH327730 NJL327703:NJL327730 MZP327703:MZP327730 MPT327703:MPT327730 MFX327703:MFX327730 LWB327703:LWB327730 LMF327703:LMF327730 LCJ327703:LCJ327730 KSN327703:KSN327730 KIR327703:KIR327730 JYV327703:JYV327730 JOZ327703:JOZ327730 JFD327703:JFD327730 IVH327703:IVH327730 ILL327703:ILL327730 IBP327703:IBP327730 HRT327703:HRT327730 HHX327703:HHX327730 GYB327703:GYB327730 GOF327703:GOF327730 GEJ327703:GEJ327730 FUN327703:FUN327730 FKR327703:FKR327730 FAV327703:FAV327730 EQZ327703:EQZ327730 EHD327703:EHD327730 DXH327703:DXH327730 DNL327703:DNL327730 DDP327703:DDP327730 CTT327703:CTT327730 CJX327703:CJX327730 CAB327703:CAB327730 BQF327703:BQF327730 BGJ327703:BGJ327730 AWN327703:AWN327730 AMR327703:AMR327730 ACV327703:ACV327730 SZ327703:SZ327730 JD327703:JD327730 WVP262167:WVP262194 WLT262167:WLT262194 WBX262167:WBX262194 VSB262167:VSB262194 VIF262167:VIF262194 UYJ262167:UYJ262194 UON262167:UON262194 UER262167:UER262194 TUV262167:TUV262194 TKZ262167:TKZ262194 TBD262167:TBD262194 SRH262167:SRH262194 SHL262167:SHL262194 RXP262167:RXP262194 RNT262167:RNT262194 RDX262167:RDX262194 QUB262167:QUB262194 QKF262167:QKF262194 QAJ262167:QAJ262194 PQN262167:PQN262194 PGR262167:PGR262194 OWV262167:OWV262194 OMZ262167:OMZ262194 ODD262167:ODD262194 NTH262167:NTH262194 NJL262167:NJL262194 MZP262167:MZP262194 MPT262167:MPT262194 MFX262167:MFX262194 LWB262167:LWB262194 LMF262167:LMF262194 LCJ262167:LCJ262194 KSN262167:KSN262194 KIR262167:KIR262194 JYV262167:JYV262194 JOZ262167:JOZ262194 JFD262167:JFD262194 IVH262167:IVH262194 ILL262167:ILL262194 IBP262167:IBP262194 HRT262167:HRT262194 HHX262167:HHX262194 GYB262167:GYB262194 GOF262167:GOF262194 GEJ262167:GEJ262194 FUN262167:FUN262194 FKR262167:FKR262194 FAV262167:FAV262194 EQZ262167:EQZ262194 EHD262167:EHD262194 DXH262167:DXH262194 DNL262167:DNL262194 DDP262167:DDP262194 CTT262167:CTT262194 CJX262167:CJX262194 CAB262167:CAB262194 BQF262167:BQF262194 BGJ262167:BGJ262194 AWN262167:AWN262194 AMR262167:AMR262194 ACV262167:ACV262194 SZ262167:SZ262194 JD262167:JD262194 WVP196631:WVP196658 WLT196631:WLT196658 WBX196631:WBX196658 VSB196631:VSB196658 VIF196631:VIF196658 UYJ196631:UYJ196658 UON196631:UON196658 UER196631:UER196658 TUV196631:TUV196658 TKZ196631:TKZ196658 TBD196631:TBD196658 SRH196631:SRH196658 SHL196631:SHL196658 RXP196631:RXP196658 RNT196631:RNT196658 RDX196631:RDX196658 QUB196631:QUB196658 QKF196631:QKF196658 QAJ196631:QAJ196658 PQN196631:PQN196658 PGR196631:PGR196658 OWV196631:OWV196658 OMZ196631:OMZ196658 ODD196631:ODD196658 NTH196631:NTH196658 NJL196631:NJL196658 MZP196631:MZP196658 MPT196631:MPT196658 MFX196631:MFX196658 LWB196631:LWB196658 LMF196631:LMF196658 LCJ196631:LCJ196658 KSN196631:KSN196658 KIR196631:KIR196658 JYV196631:JYV196658 JOZ196631:JOZ196658 JFD196631:JFD196658 IVH196631:IVH196658 ILL196631:ILL196658 IBP196631:IBP196658 HRT196631:HRT196658 HHX196631:HHX196658 GYB196631:GYB196658 GOF196631:GOF196658 GEJ196631:GEJ196658 FUN196631:FUN196658 FKR196631:FKR196658 FAV196631:FAV196658 EQZ196631:EQZ196658 EHD196631:EHD196658 DXH196631:DXH196658 DNL196631:DNL196658 DDP196631:DDP196658 CTT196631:CTT196658 CJX196631:CJX196658 CAB196631:CAB196658 BQF196631:BQF196658 BGJ196631:BGJ196658 AWN196631:AWN196658 AMR196631:AMR196658 ACV196631:ACV196658 SZ196631:SZ196658 JD196631:JD196658 WVP131095:WVP131122 WLT131095:WLT131122 WBX131095:WBX131122 VSB131095:VSB131122 VIF131095:VIF131122 UYJ131095:UYJ131122 UON131095:UON131122 UER131095:UER131122 TUV131095:TUV131122 TKZ131095:TKZ131122 TBD131095:TBD131122 SRH131095:SRH131122 SHL131095:SHL131122 RXP131095:RXP131122 RNT131095:RNT131122 RDX131095:RDX131122 QUB131095:QUB131122 QKF131095:QKF131122 QAJ131095:QAJ131122 PQN131095:PQN131122 PGR131095:PGR131122 OWV131095:OWV131122 OMZ131095:OMZ131122 ODD131095:ODD131122 NTH131095:NTH131122 NJL131095:NJL131122 MZP131095:MZP131122 MPT131095:MPT131122 MFX131095:MFX131122 LWB131095:LWB131122 LMF131095:LMF131122 LCJ131095:LCJ131122 KSN131095:KSN131122 KIR131095:KIR131122 JYV131095:JYV131122 JOZ131095:JOZ131122 JFD131095:JFD131122 IVH131095:IVH131122 ILL131095:ILL131122 IBP131095:IBP131122 HRT131095:HRT131122 HHX131095:HHX131122 GYB131095:GYB131122 GOF131095:GOF131122 GEJ131095:GEJ131122 FUN131095:FUN131122 FKR131095:FKR131122 FAV131095:FAV131122 EQZ131095:EQZ131122 EHD131095:EHD131122 DXH131095:DXH131122 DNL131095:DNL131122 DDP131095:DDP131122 CTT131095:CTT131122 CJX131095:CJX131122 CAB131095:CAB131122 BQF131095:BQF131122 BGJ131095:BGJ131122 AWN131095:AWN131122 AMR131095:AMR131122 ACV131095:ACV131122 SZ131095:SZ131122 JD131095:JD131122 WVP65559:WVP65586 WLT65559:WLT65586 WBX65559:WBX65586 VSB65559:VSB65586 VIF65559:VIF65586 UYJ65559:UYJ65586 UON65559:UON65586 UER65559:UER65586 TUV65559:TUV65586 TKZ65559:TKZ65586 TBD65559:TBD65586 SRH65559:SRH65586 SHL65559:SHL65586 RXP65559:RXP65586 RNT65559:RNT65586 RDX65559:RDX65586 QUB65559:QUB65586 QKF65559:QKF65586 QAJ65559:QAJ65586 PQN65559:PQN65586 PGR65559:PGR65586 OWV65559:OWV65586 OMZ65559:OMZ65586 ODD65559:ODD65586 NTH65559:NTH65586 NJL65559:NJL65586 MZP65559:MZP65586 MPT65559:MPT65586 MFX65559:MFX65586 LWB65559:LWB65586 LMF65559:LMF65586 LCJ65559:LCJ65586 KSN65559:KSN65586 KIR65559:KIR65586 JYV65559:JYV65586 JOZ65559:JOZ65586 JFD65559:JFD65586 IVH65559:IVH65586 ILL65559:ILL65586 IBP65559:IBP65586 HRT65559:HRT65586 HHX65559:HHX65586 GYB65559:GYB65586 GOF65559:GOF65586 GEJ65559:GEJ65586 FUN65559:FUN65586 FKR65559:FKR65586 FAV65559:FAV65586 EQZ65559:EQZ65586 EHD65559:EHD65586 DXH65559:DXH65586 DNL65559:DNL65586 DDP65559:DDP65586 CTT65559:CTT65586 CJX65559:CJX65586 CAB65559:CAB65586 BQF65559:BQF65586 BGJ65559:BGJ65586 AWN65559:AWN65586 AMR65559:AMR65586 ACV65559:ACV65586 SZ65559:SZ65586 JD65559:JD65586" xr:uid="{0305C507-2669-4718-B1EE-E244BFD6F82C}">
      <formula1>$L$1:$L$6</formula1>
    </dataValidation>
    <dataValidation type="list" errorStyle="information" showInputMessage="1" sqref="E2:E97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8" sqref="D28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55" t="s">
        <v>76</v>
      </c>
      <c r="F2" s="155"/>
      <c r="G2" s="10"/>
      <c r="H2" s="155" t="s">
        <v>77</v>
      </c>
      <c r="I2" s="155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56">
        <f>C27*C4</f>
        <v>0</v>
      </c>
      <c r="F3" s="157"/>
      <c r="G3" s="10"/>
      <c r="H3" s="156">
        <f>D27*C4</f>
        <v>38</v>
      </c>
      <c r="I3" s="157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58"/>
      <c r="F4" s="159"/>
      <c r="G4" s="10"/>
      <c r="H4" s="158"/>
      <c r="I4" s="15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51" t="s">
        <v>84</v>
      </c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6"/>
      <c r="R9" s="10"/>
      <c r="S9" s="15"/>
      <c r="T9" s="151" t="s">
        <v>85</v>
      </c>
      <c r="U9" s="151"/>
      <c r="V9" s="151"/>
      <c r="W9" s="151"/>
      <c r="X9" s="151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9"/>
      <c r="R10" s="10"/>
      <c r="S10" s="18"/>
      <c r="T10" s="152"/>
      <c r="U10" s="152"/>
      <c r="V10" s="152"/>
      <c r="W10" s="152"/>
      <c r="X10" s="152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46" t="s">
        <v>79</v>
      </c>
      <c r="G11" s="146" t="s">
        <v>88</v>
      </c>
      <c r="H11" s="20"/>
      <c r="I11" s="147" t="s">
        <v>78</v>
      </c>
      <c r="J11" s="147" t="s">
        <v>89</v>
      </c>
      <c r="K11" s="21"/>
      <c r="L11" s="153" t="s">
        <v>90</v>
      </c>
      <c r="M11" s="153" t="s">
        <v>91</v>
      </c>
      <c r="N11" s="21"/>
      <c r="O11" s="154" t="s">
        <v>92</v>
      </c>
      <c r="P11" s="154" t="s">
        <v>93</v>
      </c>
      <c r="Q11" s="19"/>
      <c r="R11" s="10"/>
      <c r="S11" s="18"/>
      <c r="T11" s="146" t="s">
        <v>94</v>
      </c>
      <c r="U11" s="146" t="s">
        <v>95</v>
      </c>
      <c r="V11" s="20"/>
      <c r="W11" s="147" t="s">
        <v>96</v>
      </c>
      <c r="X11" s="147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46"/>
      <c r="G12" s="146"/>
      <c r="H12" s="20"/>
      <c r="I12" s="147"/>
      <c r="J12" s="147"/>
      <c r="K12" s="21"/>
      <c r="L12" s="153"/>
      <c r="M12" s="153"/>
      <c r="N12" s="21"/>
      <c r="O12" s="154"/>
      <c r="P12" s="154"/>
      <c r="Q12" s="19"/>
      <c r="R12" s="10"/>
      <c r="S12" s="18"/>
      <c r="T12" s="146"/>
      <c r="U12" s="146"/>
      <c r="V12" s="20"/>
      <c r="W12" s="147"/>
      <c r="X12" s="147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48">
        <f>C6</f>
        <v>0</v>
      </c>
      <c r="G13" s="149">
        <f>C6/(25*C4)</f>
        <v>0</v>
      </c>
      <c r="H13" s="10"/>
      <c r="I13" s="161">
        <f>C5</f>
        <v>0</v>
      </c>
      <c r="J13" s="145">
        <f>C5/(185*C4)</f>
        <v>0</v>
      </c>
      <c r="K13" s="23"/>
      <c r="L13" s="160">
        <f>C7</f>
        <v>0</v>
      </c>
      <c r="M13" s="160">
        <f>C7/(25*C4)</f>
        <v>0</v>
      </c>
      <c r="N13" s="23"/>
      <c r="O13" s="162">
        <f>C8</f>
        <v>0</v>
      </c>
      <c r="P13" s="162">
        <f>C8/(1*C4)</f>
        <v>0</v>
      </c>
      <c r="Q13" s="19"/>
      <c r="R13" s="10"/>
      <c r="S13" s="18"/>
      <c r="T13" s="148">
        <f>(C9="YES")*('Percentage Data'!R21)+(C10="YES")*('Percentage Data'!R22)+(C11="YES")*('Percentage Data'!R23)</f>
        <v>0</v>
      </c>
      <c r="U13" s="149">
        <f>((((C9="YES")*('Percentage Data'!R21)+(C10="YES")*('Percentage Data'!R22)+(C11="YES")*('Percentage Data'!R23))/C4)/C14)/2</f>
        <v>0</v>
      </c>
      <c r="V13" s="10"/>
      <c r="W13" s="150">
        <f>(C9="YES")*('Percentage Data'!R21)+(C10="YES")*('Percentage Data'!R22)+(C11="YES")*('Percentage Data'!R23)</f>
        <v>0</v>
      </c>
      <c r="X13" s="145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48"/>
      <c r="G14" s="149"/>
      <c r="H14" s="10"/>
      <c r="I14" s="150"/>
      <c r="J14" s="145"/>
      <c r="K14" s="23"/>
      <c r="L14" s="160"/>
      <c r="M14" s="160"/>
      <c r="N14" s="23"/>
      <c r="O14" s="162"/>
      <c r="P14" s="162"/>
      <c r="Q14" s="19"/>
      <c r="R14" s="10"/>
      <c r="S14" s="18"/>
      <c r="T14" s="148"/>
      <c r="U14" s="149" t="e">
        <f>((((#REF!="YES")*('Percentage Data'!AC4)+(#REF!="YES")*('Percentage Data'!AC5)+(#REF!="YES")*('Percentage Data'!AC6))/#REF!)/#REF!)/2</f>
        <v>#REF!</v>
      </c>
      <c r="V14" s="10"/>
      <c r="W14" s="150"/>
      <c r="X14" s="145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tabSelected="1" workbookViewId="0">
      <selection activeCell="F2" sqref="F2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171</v>
      </c>
      <c r="B2" s="39" t="s">
        <v>162</v>
      </c>
      <c r="C2" s="39" t="s">
        <v>161</v>
      </c>
      <c r="D2" s="39" t="s">
        <v>193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194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174</v>
      </c>
      <c r="B4" s="39" t="s">
        <v>162</v>
      </c>
      <c r="C4" s="39" t="s">
        <v>161</v>
      </c>
      <c r="D4" s="39" t="s">
        <v>193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183</v>
      </c>
      <c r="B5" s="39" t="s">
        <v>162</v>
      </c>
      <c r="C5" s="39" t="s">
        <v>161</v>
      </c>
      <c r="D5" s="39" t="s">
        <v>193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193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188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189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173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180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175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Sheet'!$A:$C,2,FALSE),"")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182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189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177</v>
      </c>
      <c r="B20" s="39" t="s">
        <v>162</v>
      </c>
      <c r="C20" s="39" t="s">
        <v>160</v>
      </c>
      <c r="D20" s="39" t="s">
        <v>189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189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178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179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186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192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192</v>
      </c>
      <c r="E26" s="39" t="s">
        <v>5</v>
      </c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189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Sheet'!$A:$C,2,FALSE),"")</f>
        <v>1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189</v>
      </c>
      <c r="E28" s="39" t="s">
        <v>5</v>
      </c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189</v>
      </c>
      <c r="E30" s="39" t="s">
        <v>5</v>
      </c>
      <c r="F30" s="39" t="s">
        <v>197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195</v>
      </c>
      <c r="E31" s="39" t="s">
        <v>5</v>
      </c>
      <c r="F31" s="39" t="s">
        <v>197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196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197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Sheet'!$A:$C,2,FALSE),"")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203</v>
      </c>
      <c r="B33" s="39" t="s">
        <v>162</v>
      </c>
      <c r="C33" s="39" t="s">
        <v>160</v>
      </c>
      <c r="D33" s="39" t="s">
        <v>191</v>
      </c>
      <c r="E33" s="39" t="s">
        <v>5</v>
      </c>
      <c r="F33" s="39" t="s">
        <v>197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181</v>
      </c>
      <c r="B34" s="39" t="s">
        <v>162</v>
      </c>
      <c r="C34" s="39" t="s">
        <v>161</v>
      </c>
      <c r="D34" s="39" t="s">
        <v>192</v>
      </c>
      <c r="E34" s="39" t="s">
        <v>5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Sheet'!$A:$C,2,FALSE),"")</f>
        <v>1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193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191</v>
      </c>
      <c r="E36" s="39" t="s">
        <v>5</v>
      </c>
      <c r="F36" s="39" t="s">
        <v>197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193</v>
      </c>
      <c r="E37" s="39" t="s">
        <v>12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176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197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276</v>
      </c>
      <c r="B40" s="39" t="s">
        <v>162</v>
      </c>
      <c r="C40" s="39" t="s">
        <v>160</v>
      </c>
      <c r="D40" s="39" t="s">
        <v>187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172</v>
      </c>
      <c r="B41" s="39" t="s">
        <v>162</v>
      </c>
      <c r="C41" s="39" t="s">
        <v>161</v>
      </c>
      <c r="D41" s="39" t="s">
        <v>187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187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190</v>
      </c>
      <c r="B43" s="67" t="s">
        <v>162</v>
      </c>
      <c r="C43" s="67" t="s">
        <v>161</v>
      </c>
      <c r="D43" s="39" t="s">
        <v>191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205</v>
      </c>
      <c r="B44" s="39" t="s">
        <v>162</v>
      </c>
      <c r="C44" s="39" t="s">
        <v>160</v>
      </c>
      <c r="D44" s="39" t="s">
        <v>191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219</v>
      </c>
      <c r="B45" s="39"/>
      <c r="C45" s="39"/>
      <c r="D45" s="39" t="s">
        <v>189</v>
      </c>
      <c r="E45" s="39" t="s">
        <v>12</v>
      </c>
      <c r="F45" s="39" t="s">
        <v>197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220</v>
      </c>
      <c r="B46" s="39"/>
      <c r="C46" s="39"/>
      <c r="D46" s="39" t="s">
        <v>187</v>
      </c>
      <c r="E46" s="39" t="s">
        <v>5</v>
      </c>
      <c r="F46" s="39" t="s">
        <v>18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221</v>
      </c>
      <c r="B47" s="39"/>
      <c r="C47" s="39"/>
      <c r="D47" s="39" t="s">
        <v>164</v>
      </c>
      <c r="E47" s="39" t="s">
        <v>12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222</v>
      </c>
      <c r="B48" s="67"/>
      <c r="C48" s="67"/>
      <c r="D48" s="39" t="s">
        <v>164</v>
      </c>
      <c r="E48" s="39" t="s">
        <v>12</v>
      </c>
      <c r="F48" s="39" t="s">
        <v>10</v>
      </c>
      <c r="G48" s="39"/>
      <c r="H48" s="37" t="str">
        <f>IFERROR(VLOOKUP(#REF!,'Crew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 t="s">
        <v>277</v>
      </c>
      <c r="B49" s="39"/>
      <c r="C49" s="39"/>
      <c r="D49" s="39" t="s">
        <v>189</v>
      </c>
      <c r="E49" s="39" t="s">
        <v>5</v>
      </c>
      <c r="F49" s="39" t="s">
        <v>10</v>
      </c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67" t="s">
        <v>278</v>
      </c>
      <c r="B50" s="39"/>
      <c r="C50" s="39"/>
      <c r="D50" s="39" t="s">
        <v>189</v>
      </c>
      <c r="E50" s="39" t="s">
        <v>5</v>
      </c>
      <c r="F50" s="39" t="s">
        <v>197</v>
      </c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P2" sqref="P2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275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233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236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237</v>
      </c>
      <c r="B17" s="67"/>
      <c r="C17" s="67"/>
      <c r="D17" s="39" t="s">
        <v>274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19" spans="1:9" ht="15.75" x14ac:dyDescent="0.25">
      <c r="A19" s="100" t="s">
        <v>239</v>
      </c>
      <c r="B19" s="39"/>
      <c r="C19" s="39"/>
      <c r="D19" s="39" t="s">
        <v>164</v>
      </c>
      <c r="E19" s="39" t="s">
        <v>132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</row>
    <row r="20" spans="1:9" ht="15.75" x14ac:dyDescent="0.25">
      <c r="A20" s="100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264</v>
      </c>
      <c r="B44" s="67"/>
      <c r="C44" s="67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269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51" xr:uid="{01572EC7-69C1-47D1-8168-8C49CFE7A055}">
      <formula1>$S$1:$S$2</formula1>
    </dataValidation>
    <dataValidation type="list" allowBlank="1" showInputMessage="1" showErrorMessage="1" sqref="C2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63" t="s">
        <v>111</v>
      </c>
      <c r="I2" s="163"/>
      <c r="J2" s="163"/>
      <c r="K2" s="163"/>
      <c r="L2" s="164" t="s">
        <v>112</v>
      </c>
      <c r="M2" s="165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2026-06-16T15:17:12Z</dcterms:modified>
  <cp:category/>
  <cp:contentStatus/>
</cp:coreProperties>
</file>