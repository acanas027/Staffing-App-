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dresCan\Downloads\Work Done\TK_Tools_App\Staff-Report\"/>
    </mc:Choice>
  </mc:AlternateContent>
  <xr:revisionPtr revIDLastSave="0" documentId="13_ncr:1_{39AE6A39-7F5D-41B6-A11C-039CE652EF52}" xr6:coauthVersionLast="47" xr6:coauthVersionMax="47" xr10:uidLastSave="{00000000-0000-0000-0000-000000000000}"/>
  <bookViews>
    <workbookView xWindow="4170" yWindow="1065" windowWidth="20310" windowHeight="13200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Staffing sheet 1ST Shift" sheetId="4" r:id="rId5"/>
    <sheet name="Staffing Sheet 2nd Shift" sheetId="8" r:id="rId6"/>
    <sheet name="Percentage Data" sheetId="1" r:id="rId7"/>
  </sheets>
  <externalReferences>
    <externalReference r:id="rId8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4" l="1"/>
  <c r="C99" i="3"/>
  <c r="D99" i="3"/>
  <c r="E99" i="3" s="1"/>
  <c r="C98" i="3"/>
  <c r="D98" i="3" s="1"/>
  <c r="E98" i="3" s="1"/>
  <c r="H51" i="4"/>
  <c r="I51" i="4"/>
  <c r="C3" i="3"/>
  <c r="C4" i="3"/>
  <c r="C5" i="3"/>
  <c r="C6" i="3"/>
  <c r="C7" i="3"/>
  <c r="C8" i="3"/>
  <c r="C9" i="3"/>
  <c r="C10" i="3"/>
  <c r="C11" i="3"/>
  <c r="C12" i="3"/>
  <c r="C13" i="3"/>
  <c r="D13" i="3" s="1"/>
  <c r="E13" i="3" s="1"/>
  <c r="C14" i="3"/>
  <c r="C15" i="3"/>
  <c r="D15" i="3" s="1"/>
  <c r="E15" i="3" s="1"/>
  <c r="C16" i="3"/>
  <c r="D16" i="3" s="1"/>
  <c r="E16" i="3" s="1"/>
  <c r="C17" i="3"/>
  <c r="D17" i="3" s="1"/>
  <c r="E17" i="3" s="1"/>
  <c r="C18" i="3"/>
  <c r="D18" i="3" s="1"/>
  <c r="E18" i="3" s="1"/>
  <c r="C19" i="3"/>
  <c r="C20" i="3"/>
  <c r="C21" i="3"/>
  <c r="C22" i="3"/>
  <c r="C23" i="3"/>
  <c r="D23" i="3" s="1"/>
  <c r="E23" i="3" s="1"/>
  <c r="C24" i="3"/>
  <c r="C25" i="3"/>
  <c r="C26" i="3"/>
  <c r="D26" i="3" s="1"/>
  <c r="E26" i="3" s="1"/>
  <c r="C27" i="3"/>
  <c r="D27" i="3" s="1"/>
  <c r="E27" i="3" s="1"/>
  <c r="C28" i="3"/>
  <c r="D28" i="3" s="1"/>
  <c r="E28" i="3" s="1"/>
  <c r="C29" i="3"/>
  <c r="C30" i="3"/>
  <c r="C31" i="3"/>
  <c r="D31" i="3" s="1"/>
  <c r="E31" i="3" s="1"/>
  <c r="C32" i="3"/>
  <c r="D32" i="3" s="1"/>
  <c r="E32" i="3" s="1"/>
  <c r="C33" i="3"/>
  <c r="D33" i="3" s="1"/>
  <c r="E33" i="3" s="1"/>
  <c r="C34" i="3"/>
  <c r="C35" i="3"/>
  <c r="C36" i="3"/>
  <c r="C37" i="3"/>
  <c r="D37" i="3" s="1"/>
  <c r="E37" i="3" s="1"/>
  <c r="C38" i="3"/>
  <c r="D38" i="3" s="1"/>
  <c r="E38" i="3" s="1"/>
  <c r="C39" i="3"/>
  <c r="C40" i="3"/>
  <c r="C41" i="3"/>
  <c r="C42" i="3"/>
  <c r="C43" i="3"/>
  <c r="C44" i="3"/>
  <c r="D44" i="3" s="1"/>
  <c r="E44" i="3" s="1"/>
  <c r="C45" i="3"/>
  <c r="D45" i="3" s="1"/>
  <c r="E45" i="3" s="1"/>
  <c r="C46" i="3"/>
  <c r="C47" i="3"/>
  <c r="D47" i="3" s="1"/>
  <c r="E47" i="3" s="1"/>
  <c r="C48" i="3"/>
  <c r="C49" i="3"/>
  <c r="D49" i="3" s="1"/>
  <c r="E49" i="3" s="1"/>
  <c r="C50" i="3"/>
  <c r="D50" i="3" s="1"/>
  <c r="E50" i="3" s="1"/>
  <c r="C51" i="3"/>
  <c r="C52" i="3"/>
  <c r="C53" i="3"/>
  <c r="D53" i="3" s="1"/>
  <c r="E53" i="3" s="1"/>
  <c r="C54" i="3"/>
  <c r="C55" i="3"/>
  <c r="D55" i="3" s="1"/>
  <c r="E55" i="3" s="1"/>
  <c r="C56" i="3"/>
  <c r="C57" i="3"/>
  <c r="C58" i="3"/>
  <c r="C59" i="3"/>
  <c r="D59" i="3" s="1"/>
  <c r="E59" i="3" s="1"/>
  <c r="C60" i="3"/>
  <c r="D60" i="3" s="1"/>
  <c r="E60" i="3" s="1"/>
  <c r="C61" i="3"/>
  <c r="D61" i="3" s="1"/>
  <c r="E61" i="3" s="1"/>
  <c r="C62" i="3"/>
  <c r="C63" i="3"/>
  <c r="D63" i="3" s="1"/>
  <c r="E63" i="3" s="1"/>
  <c r="C64" i="3"/>
  <c r="D64" i="3" s="1"/>
  <c r="E64" i="3" s="1"/>
  <c r="C65" i="3"/>
  <c r="C66" i="3"/>
  <c r="D66" i="3" s="1"/>
  <c r="E66" i="3" s="1"/>
  <c r="C67" i="3"/>
  <c r="C68" i="3"/>
  <c r="D68" i="3" s="1"/>
  <c r="E68" i="3" s="1"/>
  <c r="C69" i="3"/>
  <c r="C70" i="3"/>
  <c r="C71" i="3"/>
  <c r="C72" i="3"/>
  <c r="C73" i="3"/>
  <c r="C74" i="3"/>
  <c r="C75" i="3"/>
  <c r="C76" i="3"/>
  <c r="C77" i="3"/>
  <c r="D77" i="3" s="1"/>
  <c r="E77" i="3" s="1"/>
  <c r="C78" i="3"/>
  <c r="C79" i="3"/>
  <c r="D79" i="3" s="1"/>
  <c r="E79" i="3" s="1"/>
  <c r="C80" i="3"/>
  <c r="D80" i="3" s="1"/>
  <c r="E80" i="3" s="1"/>
  <c r="C81" i="3"/>
  <c r="C82" i="3"/>
  <c r="C83" i="3"/>
  <c r="C84" i="3"/>
  <c r="D84" i="3" s="1"/>
  <c r="E84" i="3" s="1"/>
  <c r="C85" i="3"/>
  <c r="C86" i="3"/>
  <c r="D86" i="3" s="1"/>
  <c r="E86" i="3" s="1"/>
  <c r="C87" i="3"/>
  <c r="C88" i="3"/>
  <c r="D88" i="3" s="1"/>
  <c r="E88" i="3" s="1"/>
  <c r="C89" i="3"/>
  <c r="D89" i="3" s="1"/>
  <c r="E89" i="3" s="1"/>
  <c r="C90" i="3"/>
  <c r="C91" i="3"/>
  <c r="C92" i="3"/>
  <c r="C93" i="3"/>
  <c r="D93" i="3" s="1"/>
  <c r="E93" i="3" s="1"/>
  <c r="C94" i="3"/>
  <c r="D94" i="3" s="1"/>
  <c r="E94" i="3" s="1"/>
  <c r="C95" i="3"/>
  <c r="C96" i="3"/>
  <c r="D96" i="3" s="1"/>
  <c r="E96" i="3" s="1"/>
  <c r="C97" i="3"/>
  <c r="D19" i="3"/>
  <c r="E19" i="3" s="1"/>
  <c r="D3" i="3"/>
  <c r="E3" i="3" s="1"/>
  <c r="D14" i="3"/>
  <c r="E14" i="3" s="1"/>
  <c r="D46" i="3"/>
  <c r="E46" i="3" s="1"/>
  <c r="D54" i="3"/>
  <c r="E54" i="3" s="1"/>
  <c r="D90" i="3"/>
  <c r="E90" i="3" s="1"/>
  <c r="D91" i="3"/>
  <c r="E91" i="3" s="1"/>
  <c r="E2" i="3"/>
  <c r="D8" i="3"/>
  <c r="E8" i="3" s="1"/>
  <c r="D9" i="3"/>
  <c r="E9" i="3" s="1"/>
  <c r="D10" i="3"/>
  <c r="E10" i="3" s="1"/>
  <c r="D40" i="3"/>
  <c r="E40" i="3" s="1"/>
  <c r="D51" i="3"/>
  <c r="E51" i="3" s="1"/>
  <c r="D67" i="3"/>
  <c r="E67" i="3" s="1"/>
  <c r="D87" i="3"/>
  <c r="E87" i="3" s="1"/>
  <c r="C100" i="3" a="1"/>
  <c r="C100" i="3" s="1"/>
  <c r="M1" i="6"/>
  <c r="H51" i="8"/>
  <c r="I51" i="8"/>
  <c r="H2" i="8"/>
  <c r="I2" i="8"/>
  <c r="I50" i="8"/>
  <c r="H50" i="8"/>
  <c r="I38" i="8"/>
  <c r="H38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D21" i="2"/>
  <c r="D20" i="2"/>
  <c r="L9" i="3"/>
  <c r="C10" i="2"/>
  <c r="B5" i="6"/>
  <c r="B6" i="6"/>
  <c r="B7" i="6"/>
  <c r="C8" i="2" s="1"/>
  <c r="I48" i="4" l="1"/>
  <c r="I49" i="4"/>
  <c r="I50" i="4"/>
  <c r="C4" i="2"/>
  <c r="C3" i="2"/>
  <c r="C2" i="2"/>
  <c r="C11" i="2"/>
  <c r="C9" i="2"/>
  <c r="D5" i="3"/>
  <c r="E5" i="3" s="1"/>
  <c r="D6" i="3"/>
  <c r="E6" i="3" s="1"/>
  <c r="D7" i="3"/>
  <c r="E7" i="3" s="1"/>
  <c r="D11" i="3"/>
  <c r="E11" i="3" s="1"/>
  <c r="D12" i="3"/>
  <c r="E12" i="3" s="1"/>
  <c r="E20" i="3"/>
  <c r="D21" i="3"/>
  <c r="E21" i="3" s="1"/>
  <c r="D22" i="3"/>
  <c r="E22" i="3" s="1"/>
  <c r="D24" i="3"/>
  <c r="E24" i="3" s="1"/>
  <c r="D25" i="3"/>
  <c r="E25" i="3" s="1"/>
  <c r="D29" i="3"/>
  <c r="E29" i="3" s="1"/>
  <c r="D30" i="3"/>
  <c r="E30" i="3" s="1"/>
  <c r="D34" i="3"/>
  <c r="E34" i="3" s="1"/>
  <c r="D35" i="3"/>
  <c r="E35" i="3" s="1"/>
  <c r="D36" i="3"/>
  <c r="E36" i="3" s="1"/>
  <c r="D39" i="3"/>
  <c r="E39" i="3" s="1"/>
  <c r="D41" i="3"/>
  <c r="E41" i="3" s="1"/>
  <c r="D42" i="3"/>
  <c r="E42" i="3" s="1"/>
  <c r="D43" i="3"/>
  <c r="E43" i="3" s="1"/>
  <c r="D48" i="3"/>
  <c r="E48" i="3" s="1"/>
  <c r="D52" i="3"/>
  <c r="E52" i="3" s="1"/>
  <c r="D56" i="3"/>
  <c r="E56" i="3" s="1"/>
  <c r="D57" i="3"/>
  <c r="E57" i="3" s="1"/>
  <c r="D58" i="3"/>
  <c r="E58" i="3" s="1"/>
  <c r="D62" i="3"/>
  <c r="E62" i="3" s="1"/>
  <c r="D65" i="3"/>
  <c r="E65" i="3" s="1"/>
  <c r="D69" i="3"/>
  <c r="E69" i="3" s="1"/>
  <c r="D70" i="3"/>
  <c r="E70" i="3" s="1"/>
  <c r="D71" i="3"/>
  <c r="E71" i="3" s="1"/>
  <c r="D72" i="3"/>
  <c r="E72" i="3" s="1"/>
  <c r="D73" i="3"/>
  <c r="E73" i="3" s="1"/>
  <c r="D74" i="3"/>
  <c r="E74" i="3" s="1"/>
  <c r="D76" i="3"/>
  <c r="E76" i="3" s="1"/>
  <c r="D78" i="3"/>
  <c r="E78" i="3" s="1"/>
  <c r="D81" i="3"/>
  <c r="E81" i="3" s="1"/>
  <c r="D82" i="3"/>
  <c r="E82" i="3" s="1"/>
  <c r="D83" i="3"/>
  <c r="E83" i="3" s="1"/>
  <c r="D85" i="3"/>
  <c r="E85" i="3" s="1"/>
  <c r="D92" i="3"/>
  <c r="E92" i="3" s="1"/>
  <c r="D95" i="3"/>
  <c r="E95" i="3" s="1"/>
  <c r="D97" i="3"/>
  <c r="E97" i="3" s="1"/>
  <c r="D75" i="3"/>
  <c r="E75" i="3" s="1"/>
  <c r="C2" i="3"/>
  <c r="L14" i="3"/>
  <c r="L13" i="3"/>
  <c r="C150" i="3" l="1"/>
  <c r="L12" i="3"/>
  <c r="C5" i="2"/>
  <c r="C6" i="2"/>
  <c r="T3" i="4" l="1"/>
  <c r="T4" i="4"/>
  <c r="I4" i="4" s="1"/>
  <c r="T5" i="4"/>
  <c r="I5" i="4" s="1"/>
  <c r="T6" i="4"/>
  <c r="T7" i="4"/>
  <c r="I7" i="4" s="1"/>
  <c r="T8" i="4"/>
  <c r="I8" i="4" s="1"/>
  <c r="T9" i="4"/>
  <c r="I9" i="4" s="1"/>
  <c r="T10" i="4"/>
  <c r="I10" i="4" s="1"/>
  <c r="T11" i="4"/>
  <c r="I11" i="4" s="1"/>
  <c r="T12" i="4"/>
  <c r="I12" i="4" s="1"/>
  <c r="T13" i="4"/>
  <c r="I13" i="4" s="1"/>
  <c r="T14" i="4"/>
  <c r="I14" i="4" s="1"/>
  <c r="T15" i="4"/>
  <c r="I15" i="4" s="1"/>
  <c r="T16" i="4"/>
  <c r="I16" i="4" s="1"/>
  <c r="T17" i="4"/>
  <c r="I17" i="4" s="1"/>
  <c r="T18" i="4"/>
  <c r="T19" i="4"/>
  <c r="I19" i="4" s="1"/>
  <c r="T20" i="4"/>
  <c r="T21" i="4"/>
  <c r="T22" i="4"/>
  <c r="I22" i="4" s="1"/>
  <c r="T23" i="4"/>
  <c r="I23" i="4" s="1"/>
  <c r="T24" i="4"/>
  <c r="T25" i="4"/>
  <c r="T26" i="4"/>
  <c r="I26" i="4" s="1"/>
  <c r="T27" i="4"/>
  <c r="T28" i="4"/>
  <c r="I28" i="4" s="1"/>
  <c r="T29" i="4"/>
  <c r="I29" i="4" s="1"/>
  <c r="T30" i="4"/>
  <c r="T31" i="4"/>
  <c r="I31" i="4" s="1"/>
  <c r="T32" i="4"/>
  <c r="I32" i="4" s="1"/>
  <c r="T33" i="4"/>
  <c r="T34" i="4"/>
  <c r="I34" i="4" s="1"/>
  <c r="T35" i="4"/>
  <c r="T36" i="4"/>
  <c r="T37" i="4"/>
  <c r="I37" i="4" s="1"/>
  <c r="T38" i="4"/>
  <c r="T39" i="4"/>
  <c r="T40" i="4"/>
  <c r="I40" i="4" s="1"/>
  <c r="T41" i="4"/>
  <c r="I41" i="4" s="1"/>
  <c r="T42" i="4"/>
  <c r="I42" i="4" s="1"/>
  <c r="T43" i="4"/>
  <c r="I43" i="4" s="1"/>
  <c r="T44" i="4"/>
  <c r="T2" i="4"/>
  <c r="I2" i="4" s="1"/>
  <c r="T45" i="4"/>
  <c r="I45" i="4" s="1"/>
  <c r="T46" i="4"/>
  <c r="I46" i="4" s="1"/>
  <c r="T47" i="4"/>
  <c r="I47" i="4" s="1"/>
  <c r="W46" i="4" l="1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16" i="4"/>
  <c r="H43" i="4"/>
  <c r="H40" i="4"/>
  <c r="H27" i="4"/>
  <c r="H7" i="4"/>
  <c r="H9" i="4"/>
  <c r="H28" i="4"/>
  <c r="H45" i="4"/>
  <c r="H24" i="4"/>
  <c r="H25" i="4"/>
  <c r="H10" i="4"/>
  <c r="H29" i="4"/>
  <c r="H30" i="4"/>
  <c r="H2" i="4"/>
  <c r="H3" i="4"/>
  <c r="H41" i="4"/>
  <c r="H11" i="4"/>
  <c r="H46" i="4"/>
  <c r="H47" i="4"/>
  <c r="H12" i="4"/>
  <c r="H13" i="4"/>
  <c r="H42" i="4"/>
  <c r="H48" i="4"/>
  <c r="H31" i="4"/>
  <c r="H32" i="4"/>
  <c r="H33" i="4"/>
  <c r="H14" i="4"/>
  <c r="H4" i="4"/>
  <c r="H5" i="4"/>
  <c r="H15" i="4"/>
  <c r="H49" i="4"/>
  <c r="H34" i="4"/>
  <c r="H35" i="4"/>
  <c r="H17" i="4"/>
  <c r="H18" i="4"/>
  <c r="H36" i="4"/>
  <c r="H6" i="4"/>
  <c r="H37" i="4"/>
  <c r="H50" i="4"/>
  <c r="H26" i="4"/>
  <c r="H19" i="4"/>
  <c r="H38" i="4"/>
  <c r="H20" i="4"/>
  <c r="H21" i="4"/>
  <c r="H22" i="4"/>
  <c r="H39" i="4"/>
  <c r="H23" i="4"/>
  <c r="H44" i="4"/>
  <c r="H8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Q14" i="3"/>
  <c r="G13" i="2" l="1"/>
  <c r="D25" i="2" s="1"/>
  <c r="J13" i="2"/>
  <c r="D23" i="2" s="1"/>
  <c r="P13" i="2"/>
  <c r="L15" i="3" s="1"/>
  <c r="C7" i="2"/>
  <c r="D26" i="2" l="1"/>
  <c r="M13" i="2"/>
  <c r="D24" i="2" s="1"/>
  <c r="L13" i="2"/>
  <c r="Q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U13" i="2" l="1"/>
  <c r="H79" i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D27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H3" i="2" l="1"/>
  <c r="L11" i="3"/>
  <c r="L16" i="3" s="1"/>
  <c r="I3" i="4"/>
  <c r="AC13" i="2"/>
  <c r="I6" i="4" l="1"/>
  <c r="I18" i="4" s="1"/>
  <c r="I20" i="4" l="1"/>
  <c r="I21" i="4" s="1"/>
  <c r="I24" i="4" l="1"/>
  <c r="I25" i="4" s="1"/>
  <c r="I27" i="4" s="1"/>
  <c r="I30" i="4" s="1"/>
  <c r="I33" i="4" l="1"/>
  <c r="I35" i="4" s="1"/>
  <c r="I36" i="4" s="1"/>
  <c r="I38" i="4" s="1"/>
  <c r="I39" i="4" s="1"/>
  <c r="I44" i="4" l="1"/>
  <c r="I2" i="3" l="1"/>
  <c r="Q11" i="3" l="1"/>
  <c r="Q10" i="3" s="1"/>
  <c r="I11" i="3"/>
  <c r="I15" i="3"/>
  <c r="I5" i="3" s="1"/>
  <c r="I13" i="3"/>
  <c r="I12" i="3"/>
  <c r="I1" i="3" s="1"/>
  <c r="I10" i="3"/>
  <c r="I3" i="3" s="1"/>
  <c r="I9" i="3"/>
  <c r="I4" i="3" s="1"/>
  <c r="I14" i="3"/>
  <c r="Q9" i="3" l="1"/>
  <c r="Q12" i="3"/>
  <c r="Q13" i="3"/>
  <c r="N14" i="3"/>
  <c r="R14" i="3"/>
  <c r="S14" i="3" s="1"/>
  <c r="C25" i="2"/>
  <c r="N9" i="3"/>
  <c r="C20" i="2"/>
  <c r="R9" i="3"/>
  <c r="I16" i="3"/>
  <c r="K17" i="3" s="1"/>
  <c r="R12" i="3"/>
  <c r="S12" i="3" s="1"/>
  <c r="C23" i="2"/>
  <c r="N12" i="3"/>
  <c r="N10" i="3"/>
  <c r="R10" i="3"/>
  <c r="S10" i="3" s="1"/>
  <c r="C21" i="2"/>
  <c r="C24" i="2"/>
  <c r="R13" i="3"/>
  <c r="N13" i="3"/>
  <c r="C22" i="2"/>
  <c r="N11" i="3"/>
  <c r="R11" i="3"/>
  <c r="S11" i="3" s="1"/>
  <c r="N15" i="3"/>
  <c r="C26" i="2"/>
  <c r="R15" i="3"/>
  <c r="S15" i="3" s="1"/>
  <c r="S13" i="3" l="1"/>
  <c r="S9" i="3"/>
  <c r="O9" i="3"/>
  <c r="P9" i="3"/>
  <c r="O25" i="3"/>
  <c r="U9" i="3"/>
  <c r="N16" i="3"/>
  <c r="L25" i="3"/>
  <c r="O13" i="3"/>
  <c r="N29" i="3" s="1"/>
  <c r="P13" i="3"/>
  <c r="L29" i="3"/>
  <c r="L26" i="3"/>
  <c r="O10" i="3"/>
  <c r="N26" i="3" s="1"/>
  <c r="P10" i="3"/>
  <c r="P12" i="3"/>
  <c r="O12" i="3"/>
  <c r="N28" i="3" s="1"/>
  <c r="L28" i="3"/>
  <c r="C27" i="2"/>
  <c r="E3" i="2" s="1"/>
  <c r="L27" i="3"/>
  <c r="O11" i="3"/>
  <c r="N27" i="3" s="1"/>
  <c r="P11" i="3"/>
  <c r="O27" i="3"/>
  <c r="U11" i="3"/>
  <c r="O15" i="3"/>
  <c r="N31" i="3" s="1"/>
  <c r="P15" i="3"/>
  <c r="L31" i="3"/>
  <c r="P14" i="3"/>
  <c r="O14" i="3"/>
  <c r="N30" i="3" s="1"/>
  <c r="L30" i="3"/>
  <c r="O31" i="3" l="1"/>
  <c r="U10" i="3"/>
  <c r="U15" i="3"/>
  <c r="O26" i="3"/>
  <c r="O29" i="3"/>
  <c r="U14" i="3"/>
  <c r="U13" i="3"/>
  <c r="O30" i="3"/>
  <c r="T13" i="3"/>
  <c r="K29" i="3"/>
  <c r="T11" i="3"/>
  <c r="K27" i="3"/>
  <c r="K26" i="3"/>
  <c r="T10" i="3"/>
  <c r="T15" i="3"/>
  <c r="K31" i="3"/>
  <c r="U12" i="3"/>
  <c r="T9" i="3"/>
  <c r="K25" i="3"/>
  <c r="O28" i="3"/>
  <c r="T14" i="3"/>
  <c r="K30" i="3"/>
  <c r="T12" i="3"/>
  <c r="K28" i="3"/>
  <c r="N25" i="3"/>
  <c r="H29" i="3" s="1"/>
  <c r="O16" i="3"/>
  <c r="H30" i="3" l="1"/>
  <c r="H31" i="3"/>
  <c r="H28" i="3"/>
  <c r="H25" i="3"/>
  <c r="H26" i="3"/>
  <c r="H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<sst xmlns="http://schemas.openxmlformats.org/spreadsheetml/2006/main" count="1857" uniqueCount="280">
  <si>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</si>
  <si>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</si>
  <si>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</si>
  <si>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</si>
  <si>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</si>
  <si>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</si>
  <si>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</si>
  <si>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</si>
  <si>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</si>
  <si>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</si>
  <si>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</si>
  <si>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</si>
  <si>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</si>
  <si>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</si>
  <si>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</si>
  <si>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</si>
  <si>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</si>
  <si>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</si>
  <si>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</si>
  <si>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</si>
  <si>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</si>
  <si>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</si>
  <si>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</si>
  <si>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</si>
  <si>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</si>
  <si>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</si>
  <si>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</si>
  <si>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</si>
  <si>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</si>
  <si>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</si>
  <si>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</si>
  <si>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</si>
  <si>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</si>
  <si>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</si>
  <si>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</si>
  <si>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</si>
  <si>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</si>
  <si>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</si>
  <si>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</si>
  <si>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</si>
  <si>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</si>
  <si>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</si>
  <si>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</si>
  <si>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</si>
  <si>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</si>
  <si>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</si>
  <si>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</si>
  <si>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</si>
  <si>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</si>
  <si>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</si>
  <si>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</si>
  <si>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</si>
  <si>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</si>
  <si>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</si>
  <si>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</si>
  <si>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</si>
  <si>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</si>
  <si>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</si>
  <si>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</si>
  <si>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</si>
  <si>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</si>
  <si>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</si>
  <si>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</si>
  <si>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</si>
  <si>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</si>
  <si>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</si>
  <si>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</si>
  <si>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</si>
  <si>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</si>
  <si>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</si>
  <si>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</si>
  <si>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</si>
  <si>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</si>
  <si>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</si>
  <si>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</si>
  <si>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</si>
  <si>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</si>
  <si>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</si>
  <si>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</si>
  <si>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</si>
  <si>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</si>
  <si>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</si>
  <si>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</si>
  <si>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</si>
  <si>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</si>
  <si>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</si>
  <si>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</si>
  <si>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</si>
  <si>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</si>
  <si>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</si>
  <si>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</si>
  <si>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</si>
  <si>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</si>
  <si>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</si>
  <si>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</si>
  <si>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</si>
  <si>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</si>
  <si>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</si>
  <si>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</si>
  <si>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</si>
  <si>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</si>
  <si>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</si>
  <si>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</si>
  <si>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</si>
  <si>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</si>
  <si>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</si>
  <si>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</si>
  <si>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</si>
  <si>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</si>
  <si>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</si>
  <si>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</si>
  <si>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</si>
  <si>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</si>
  <si>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</si>
  <si>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</si>
  <si>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</si>
  <si>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</si>
  <si>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</si>
  <si>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</si>
  <si>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</si>
  <si>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</si>
  <si>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</si>
  <si>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</si>
  <si>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</si>
  <si>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</si>
  <si>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</si>
  <si>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</si>
  <si>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</si>
  <si>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</si>
  <si>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</si>
  <si>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</si>
  <si>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</si>
  <si>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</si>
  <si>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</si>
  <si>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</si>
  <si>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</si>
  <si>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</si>
  <si>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</si>
  <si>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</si>
  <si>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</si>
  <si>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</si>
  <si>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</si>
  <si>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</si>
  <si>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</si>
  <si>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</si>
  <si>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</si>
  <si>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</si>
  <si>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</si>
  <si>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</si>
  <si>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</si>
  <si>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</si>
  <si>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</si>
  <si>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</si>
  <si>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</si>
  <si>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</si>
  <si>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</si>
  <si>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</si>
  <si>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</si>
  <si>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</si>
  <si>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</si>
  <si>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</si>
  <si>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</si>
  <si>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</si>
  <si>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</si>
  <si>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</si>
  <si>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</si>
  <si>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</si>
  <si>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</si>
  <si>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</si>
  <si>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</si>
  <si>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</si>
  <si>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</si>
  <si>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</si>
  <si>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</si>
  <si>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</si>
  <si>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</si>
  <si>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</si>
  <si>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</si>
  <si>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</si>
  <si>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</si>
  <si>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</si>
  <si>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</si>
  <si>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</si>
  <si>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</si>
  <si>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</si>
  <si>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</si>
  <si>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</si>
  <si>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</si>
  <si>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</si>
  <si>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</si>
  <si>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</si>
  <si>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</si>
  <si>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</si>
  <si>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</si>
  <si>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</si>
  <si>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</si>
  <si>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</si>
  <si>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</si>
  <si>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</si>
  <si>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</si>
  <si>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</si>
  <si>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</si>
  <si>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</si>
  <si>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</si>
  <si>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</si>
  <si>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</si>
  <si>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</si>
  <si>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</si>
  <si>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</si>
  <si>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</si>
  <si>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</si>
  <si>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</si>
  <si>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</si>
  <si>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</si>
  <si>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</si>
  <si>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</si>
  <si>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</si>
  <si>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</si>
  <si>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</si>
  <si>
    <t>Ray P.</t>
  </si>
  <si>
    <t>Walter W.</t>
  </si>
  <si>
    <t>Cristopher R.</t>
  </si>
  <si>
    <t>JeVeaghn P.</t>
  </si>
  <si>
    <t>Andrew Bartell</t>
  </si>
  <si>
    <t>Ashton Sudduth</t>
  </si>
  <si>
    <t>Billy Anderson</t>
  </si>
  <si>
    <t>Bressa Gonzaga</t>
  </si>
  <si>
    <t>Brian Manis</t>
  </si>
  <si>
    <t>Bryce Andrews</t>
  </si>
  <si>
    <t>Charles Myers</t>
  </si>
  <si>
    <t>Chaz Lacey</t>
  </si>
  <si>
    <t>Chris Dodds</t>
  </si>
  <si>
    <t>Danny Trotter</t>
  </si>
  <si>
    <t>David Norwood</t>
  </si>
  <si>
    <t>Diamond Williams</t>
  </si>
  <si>
    <t>Don Michael</t>
  </si>
  <si>
    <t>Earnest Carter</t>
  </si>
  <si>
    <t>Eugene Emery</t>
  </si>
  <si>
    <t>Gary Lake</t>
  </si>
  <si>
    <t>Goliath Haagan</t>
  </si>
  <si>
    <t>Isaiah Kilmete</t>
  </si>
  <si>
    <t>Jarrad Reid</t>
  </si>
  <si>
    <t>Jasiah Goar</t>
  </si>
  <si>
    <t>Javier Ceballos</t>
  </si>
  <si>
    <t>Javon Phillips</t>
  </si>
  <si>
    <t>Jaylin Garrett</t>
  </si>
  <si>
    <t>Jeffrey Lowe</t>
  </si>
  <si>
    <t>Jeffrey Stone</t>
  </si>
  <si>
    <t>Jim Herman</t>
  </si>
  <si>
    <t>Jimmy Stewart</t>
  </si>
  <si>
    <t>Jose Rangel-Cazares</t>
  </si>
  <si>
    <t>Justin Pucek</t>
  </si>
  <si>
    <t>Louis Heath</t>
  </si>
  <si>
    <t>Matthew Tennison</t>
  </si>
  <si>
    <t>Micahel Baum</t>
  </si>
  <si>
    <t>Mike Jenkins</t>
  </si>
  <si>
    <t>MJ Soliz</t>
  </si>
  <si>
    <t>Nelson Rivera</t>
  </si>
  <si>
    <t xml:space="preserve">Robert Dingle </t>
  </si>
  <si>
    <t>Robert Wilson</t>
  </si>
  <si>
    <t>Robert Worthington</t>
  </si>
  <si>
    <t>Saul Castorena</t>
  </si>
  <si>
    <t>Taurus Sherrer</t>
  </si>
  <si>
    <t>Taylor Belisle</t>
  </si>
  <si>
    <t>Terry Thomas</t>
  </si>
  <si>
    <t>Tim Skaggs</t>
  </si>
  <si>
    <t>Tony Zapata</t>
  </si>
  <si>
    <t>Tye Lewis</t>
  </si>
  <si>
    <t>Ulises Mendoza</t>
  </si>
  <si>
    <t>Vernon Plamer</t>
  </si>
  <si>
    <t>P/U</t>
  </si>
  <si>
    <t>P/T/R</t>
  </si>
  <si>
    <t>Olivia Jackson</t>
  </si>
  <si>
    <t>William Webber</t>
  </si>
  <si>
    <t>P/T/U</t>
  </si>
  <si>
    <t>Alex Hieronymus</t>
  </si>
  <si>
    <t>Alex G.</t>
  </si>
  <si>
    <t>Dylan</t>
  </si>
  <si>
    <t>Carlos</t>
  </si>
  <si>
    <t>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</si>
</sst>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  <font>
      <sz val="12"/>
      <color theme="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71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8" fillId="0" borderId="0" xfId="2" applyFont="1" applyFill="1" applyAlignment="1">
      <alignment horizontal="left" vertical="center"/>
    </xf>
    <xf numFmtId="0" fontId="12" fillId="12" borderId="0" xfId="2" applyFont="1" applyFill="1"/>
    <xf numFmtId="0" fontId="12" fillId="13" borderId="0" xfId="2" applyFont="1" applyFill="1"/>
    <xf numFmtId="0" fontId="8" fillId="0" borderId="0" xfId="2" applyNumberFormat="1" applyFont="1" applyAlignment="1">
      <alignment horizontal="center" vertical="center"/>
    </xf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NumberFormat="1" applyFont="1" applyFill="1" applyBorder="1" applyAlignment="1">
      <alignment horizontal="left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0" fontId="0" fillId="0" borderId="1" xfId="0" applyBorder="1"/>
    <xf numFmtId="0" fontId="0" fillId="0" borderId="0" xfId="0" applyAlignment="1"/>
    <xf numFmtId="0" fontId="2" fillId="0" borderId="1" xfId="0" applyFont="1" applyBorder="1" applyAlignment="1"/>
    <xf numFmtId="9" fontId="6" fillId="0" borderId="1" xfId="1" applyFont="1" applyBorder="1"/>
    <xf numFmtId="9" fontId="13" fillId="0" borderId="1" xfId="1" applyFont="1" applyFill="1" applyBorder="1" applyAlignment="1">
      <alignment vertical="top"/>
    </xf>
    <xf numFmtId="9" fontId="13" fillId="0" borderId="1" xfId="1" applyFont="1" applyBorder="1" applyAlignment="1">
      <alignment vertical="top"/>
    </xf>
    <xf numFmtId="9" fontId="13" fillId="4" borderId="1" xfId="1" applyFont="1" applyFill="1" applyBorder="1" applyAlignment="1">
      <alignment vertical="top"/>
    </xf>
    <xf numFmtId="9" fontId="6" fillId="0" borderId="1" xfId="1" applyFont="1" applyFill="1" applyBorder="1"/>
    <xf numFmtId="0" fontId="8" fillId="0" borderId="0" xfId="0" applyNumberFormat="1" applyFont="1" applyAlignment="1">
      <alignment horizontal="center" vertical="center"/>
    </xf>
    <xf numFmtId="0" fontId="8" fillId="0" borderId="0" xfId="0" applyNumberFormat="1" applyFont="1" applyAlignment="1">
      <alignment horizontal="left" vertical="center"/>
    </xf>
    <xf numFmtId="0" fontId="8" fillId="0" borderId="1" xfId="2" applyFont="1" applyFill="1" applyBorder="1" applyAlignment="1">
      <alignment horizontal="left" vertical="center"/>
    </xf>
    <xf numFmtId="9" fontId="6" fillId="0" borderId="0" xfId="1" applyFont="1" applyFill="1" applyBorder="1"/>
    <xf numFmtId="0" fontId="8" fillId="0" borderId="1" xfId="2" applyFont="1" applyBorder="1" applyAlignment="1">
      <alignment horizontal="left" vertical="center"/>
    </xf>
    <xf numFmtId="9" fontId="6" fillId="4" borderId="0" xfId="1" applyFont="1" applyFill="1" applyBorder="1"/>
    <xf numFmtId="9" fontId="16" fillId="0" borderId="1" xfId="1" applyFont="1" applyBorder="1"/>
    <xf numFmtId="9" fontId="8" fillId="0" borderId="1" xfId="1" applyFont="1" applyFill="1" applyBorder="1" applyAlignment="1">
      <alignment vertical="top"/>
    </xf>
    <xf numFmtId="9" fontId="8" fillId="0" borderId="1" xfId="1" applyFont="1" applyBorder="1" applyAlignment="1">
      <alignment vertical="top"/>
    </xf>
    <xf numFmtId="9" fontId="16" fillId="0" borderId="1" xfId="1" applyFont="1" applyFill="1" applyBorder="1"/>
    <xf numFmtId="9" fontId="16" fillId="4" borderId="1" xfId="1" applyFont="1" applyFill="1" applyBorder="1"/>
    <xf numFmtId="0" fontId="6" fillId="0" borderId="1" xfId="1" applyNumberFormat="1" applyFont="1" applyBorder="1"/>
    <xf numFmtId="0" fontId="8" fillId="17" borderId="3" xfId="2" applyNumberFormat="1" applyFont="1" applyFill="1" applyBorder="1" applyAlignment="1">
      <alignment horizontal="left" vertical="center"/>
    </xf>
    <xf numFmtId="0" fontId="8" fillId="4" borderId="3" xfId="2" applyNumberFormat="1" applyFont="1" applyFill="1" applyBorder="1" applyAlignment="1">
      <alignment horizontal="left" vertical="center"/>
    </xf>
    <xf numFmtId="9" fontId="6" fillId="0" borderId="3" xfId="1" applyFont="1" applyBorder="1"/>
    <xf numFmtId="9" fontId="13" fillId="0" borderId="3" xfId="1" applyFont="1" applyFill="1" applyBorder="1" applyAlignment="1">
      <alignment vertical="top"/>
    </xf>
    <xf numFmtId="9" fontId="13" fillId="0" borderId="3" xfId="1" applyFont="1" applyBorder="1" applyAlignment="1">
      <alignment vertical="top"/>
    </xf>
    <xf numFmtId="9" fontId="13" fillId="4" borderId="3" xfId="1" applyFont="1" applyFill="1" applyBorder="1" applyAlignment="1">
      <alignment vertical="top"/>
    </xf>
    <xf numFmtId="9" fontId="6" fillId="0" borderId="3" xfId="1" applyFont="1" applyFill="1" applyBorder="1"/>
    <xf numFmtId="9" fontId="6" fillId="4" borderId="3" xfId="1" applyFont="1" applyFill="1" applyBorder="1"/>
    <xf numFmtId="0" fontId="10" fillId="17" borderId="2" xfId="2" applyNumberFormat="1" applyFont="1" applyFill="1" applyBorder="1" applyAlignment="1">
      <alignment horizontal="center" vertical="center"/>
    </xf>
    <xf numFmtId="0" fontId="10" fillId="4" borderId="2" xfId="2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0" fillId="0" borderId="2" xfId="0" applyBorder="1"/>
    <xf numFmtId="0" fontId="2" fillId="4" borderId="8" xfId="0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2" fillId="0" borderId="3" xfId="0" applyFont="1" applyBorder="1" applyAlignment="1"/>
    <xf numFmtId="0" fontId="0" fillId="0" borderId="5" xfId="0" applyBorder="1"/>
    <xf numFmtId="9" fontId="0" fillId="0" borderId="3" xfId="1" applyFont="1" applyFill="1" applyBorder="1" applyAlignment="1">
      <alignment horizontal="left" vertical="center"/>
    </xf>
    <xf numFmtId="0" fontId="0" fillId="17" borderId="1" xfId="1" applyNumberFormat="1" applyFont="1" applyFill="1" applyBorder="1" applyAlignment="1">
      <alignment horizontal="left" vertical="center"/>
    </xf>
    <xf numFmtId="0" fontId="10" fillId="0" borderId="0" xfId="2" applyNumberFormat="1" applyFont="1" applyAlignment="1">
      <alignment horizontal="left" vertical="center"/>
    </xf>
    <xf numFmtId="0" fontId="8" fillId="0" borderId="0" xfId="2" applyNumberFormat="1" applyFont="1" applyAlignment="1">
      <alignment horizontal="left" vertical="center"/>
    </xf>
    <xf numFmtId="9" fontId="0" fillId="0" borderId="3" xfId="1" applyFont="1" applyFill="1" applyBorder="1"/>
    <xf numFmtId="0" fontId="0" fillId="0" borderId="1" xfId="1" applyNumberFormat="1" applyFont="1" applyBorder="1" applyAlignment="1">
      <alignment horizontal="left"/>
    </xf>
    <xf numFmtId="9" fontId="16" fillId="0" borderId="0" xfId="1" applyFont="1" applyBorder="1"/>
    <xf numFmtId="9" fontId="8" fillId="0" borderId="0" xfId="1" applyFont="1" applyBorder="1" applyAlignment="1">
      <alignment vertical="top"/>
    </xf>
    <xf numFmtId="9" fontId="8" fillId="0" borderId="0" xfId="1" applyFont="1" applyFill="1" applyBorder="1" applyAlignment="1">
      <alignment vertical="top"/>
    </xf>
    <xf numFmtId="9" fontId="8" fillId="4" borderId="0" xfId="1" applyFont="1" applyFill="1" applyBorder="1" applyAlignment="1">
      <alignment vertical="top"/>
    </xf>
    <xf numFmtId="0" fontId="8" fillId="17" borderId="5" xfId="2" applyNumberFormat="1" applyFont="1" applyFill="1" applyBorder="1" applyAlignment="1">
      <alignment horizontal="left" vertical="center"/>
    </xf>
    <xf numFmtId="0" fontId="8" fillId="17" borderId="14" xfId="2" applyNumberFormat="1" applyFont="1" applyFill="1" applyBorder="1" applyAlignment="1">
      <alignment horizontal="left" vertical="center"/>
    </xf>
    <xf numFmtId="0" fontId="10" fillId="17" borderId="4" xfId="2" applyNumberFormat="1" applyFont="1" applyFill="1" applyBorder="1" applyAlignment="1">
      <alignment horizontal="center" vertical="center"/>
    </xf>
    <xf numFmtId="0" fontId="8" fillId="0" borderId="0" xfId="2" applyFont="1" applyBorder="1" applyAlignment="1">
      <alignment horizontal="left" vertical="center"/>
    </xf>
    <xf numFmtId="0" fontId="10" fillId="0" borderId="0" xfId="2" applyFont="1" applyFill="1" applyAlignment="1">
      <alignment horizontal="center" vertical="center"/>
    </xf>
    <xf numFmtId="0" fontId="0" fillId="0" borderId="4" xfId="0" applyBorder="1"/>
    <xf numFmtId="9" fontId="0" fillId="0" borderId="5" xfId="1" applyFont="1" applyFill="1" applyBorder="1"/>
    <xf numFmtId="0" fontId="0" fillId="0" borderId="14" xfId="1" applyNumberFormat="1" applyFont="1" applyBorder="1"/>
    <xf numFmtId="2" fontId="0" fillId="7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8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color rgb="FFFF0000"/>
      </font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https://resers-my.sharepoint.com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sers-my.sharepoint.com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1EB663-8209-469F-A374-FDA411014297}" name="Table9" displayName="Table9" ref="E2:G99" totalsRowShown="0" headerRowDxfId="85" headerRowBorderDxfId="84" tableBorderDxfId="83" totalsRowBorderDxfId="82">
  <autoFilter ref="E2:G99" xr:uid="{031EB663-8209-469F-A374-FDA411014297}"/>
  <sortState xmlns:xlrd2="http://schemas.microsoft.com/office/spreadsheetml/2017/richdata2" ref="E3:G98">
    <sortCondition ref="E2:E98"/>
  </sortState>
  <tableColumns count="3">
    <tableColumn id="1" xr3:uid="{E8F55B06-37ED-4F33-84E2-EB91B839BBDC}" name="Name " dataDxfId="81" dataCellStyle="Percent"/>
    <tableColumn id="2" xr3:uid="{CEB23E05-8AA9-4D08-9144-F16759353368}" name="Shift" dataDxfId="80" dataCellStyle="Percent"/>
    <tableColumn id="3" xr3:uid="{E8F584AB-F5F2-48E5-AD15-BEDBFAEBED1C}" name="Present " dataDxfId="7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Q8:U16" totalsRowShown="0" headerRowDxfId="78" dataDxfId="77" headerRowCellStyle="Normal 2" dataCellStyle="Normal 2">
  <autoFilter ref="Q8:U16" xr:uid="{B211F10D-8B19-4A95-B055-F73F56DAC250}"/>
  <tableColumns count="5">
    <tableColumn id="1" xr3:uid="{30DC1EDA-5C0F-4F5E-9715-3F1FBFA8739D}" name="Expected Volume" dataDxfId="76" dataCellStyle="Normal 2">
      <calculatedColumnFormula>'Staffing Forecast'!AC13/4</calculatedColumnFormula>
    </tableColumn>
    <tableColumn id="2" xr3:uid="{23A260FE-14D0-4C6B-A71D-DF73ED9D6C69}" name="Expected Completed Cases" dataDxfId="75" dataCellStyle="Normal 2">
      <calculatedColumnFormula>44*'Crew Sheet'!I3</calculatedColumnFormula>
    </tableColumn>
    <tableColumn id="3" xr3:uid="{CD0A2822-1C1B-493E-A0E0-CF853FD8B971}" name="Completion % " dataDxfId="74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73" dataCellStyle="Percent">
      <calculatedColumnFormula>IF($H9="Picking","PROTECT - PICKING BOTTLENECK",IF($P9="Understaffed","URGENT - ADD STAFF",IF(AND($P9="Overstaffed",$S9&gt;=100%),"AVAILABLE TO MOVE",IF(AND($P9="Overstaffed",$S9&lt;100%),"HIGH - DO NOT PULL","OK"))))</calculatedColumnFormula>
    </tableColumn>
    <tableColumn id="4" xr3:uid="{3690F81C-480E-48AC-AA32-8BCA323E729F}" name="Recommendation " dataDxfId="72" dataCellStyle="Normal 2">
      <calculatedColumnFormula>IF(N9&lt;0,"Need "&amp;ROUND(ABS(N9),1)&amp;" more worker(s) / "&amp;ROUND(ABS(O9),1)&amp;" labor hrs",IF(N9&gt;0,"Can move "&amp;ROUND(N9,1)&amp;" worker(s) / "&amp;ROUND(O9,1)&amp;" labor hrs","Balanced Staffing"))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N8:P16" totalsRowShown="0" headerRowDxfId="71" headerRowCellStyle="Normal 2">
  <autoFilter ref="N8:P16" xr:uid="{D699CF4E-0805-4A18-95BC-59A0CDB5ABED}"/>
  <tableColumns count="3">
    <tableColumn id="1" xr3:uid="{73B9821D-E8F2-4CA4-8937-35662A0162B1}" name="Workers Gap" dataDxfId="70" dataCellStyle="Normal 2">
      <calculatedColumnFormula>Table2[[#This Row],[Available Staff ]]-Table2[[#This Row],[Needed ]]</calculatedColumnFormula>
    </tableColumn>
    <tableColumn id="3" xr3:uid="{8226F470-62FB-460F-95CD-48B00B714660}" name="Hours Gap" dataDxfId="69" dataCellStyle="Normal 2">
      <calculatedColumnFormula>Table5[[#This Row],[Workers Gap]]*I3</calculatedColumnFormula>
    </tableColumn>
    <tableColumn id="2" xr3:uid="{178486D8-FB3F-4CAE-ADBE-7A8D77938D5C}" name="Status" dataDxfId="68" dataCellStyle="Normal 2">
      <calculatedColumnFormula>IF(N9&lt;0,"Understaffed",IF(N9=0,"Good","Overstaffed"))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H8:L17" totalsRowCount="1" headerRowDxfId="67" dataDxfId="66" headerRowCellStyle="Normal 2" dataCellStyle="Normal 2">
  <autoFilter ref="H8:L16" xr:uid="{02D3F5C5-6765-4B7E-93A3-35A7E0BFEF2C}"/>
  <tableColumns count="5">
    <tableColumn id="1" xr3:uid="{BB926FF7-849C-4906-A4BD-F7F42866B088}" name="Task" dataDxfId="65" totalsRowDxfId="64" dataCellStyle="Normal 2 2" totalsRowCellStyle="Normal 2 2"/>
    <tableColumn id="2" xr3:uid="{0A22FFD1-2FA5-450C-A4B5-595ABFB04281}" name="Available Staff " dataDxfId="63" totalsRowDxfId="62" dataCellStyle="Normal 2" totalsRowCellStyle="Normal 2">
      <calculatedColumnFormula>COUNTIF(E1:E48, "Unloading")</calculatedColumnFormula>
    </tableColumn>
    <tableColumn id="3" xr3:uid="{C9F64942-2076-4AEE-8338-AD2243C06434}" name="Column1" dataDxfId="61" totalsRowDxfId="60" dataCellStyle="Normal 2" totalsRowCellStyle="Normal 2"/>
    <tableColumn id="4" xr3:uid="{C8A70DF0-CAA5-44DB-9BCE-B278C766B8F7}" name="Inbound/Outbound" totalsRowFunction="custom" dataDxfId="59" totalsRowDxfId="58" dataCellStyle="Normal 2" totalsRowCellStyle="Normal 2">
      <totalsRowFormula>IF(L16&gt;I16,"UnderStaffed",IF(L16=I16,"Good","Overstaffed"))</totalsRowFormula>
    </tableColumn>
    <tableColumn id="5" xr3:uid="{143AE701-55E6-42BA-B5A6-36AD4CA1B96B}" name="Needed " dataDxfId="57" totalsRowDxfId="56" dataCellStyle="Normal 2" totalsRow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E100" totalsRowCount="1" headerRowDxfId="55" dataDxfId="54">
  <autoFilter ref="A1:E99" xr:uid="{09E63B43-55FB-4662-9539-B7A6CCB4934C}"/>
  <sortState xmlns:xlrd2="http://schemas.microsoft.com/office/spreadsheetml/2017/richdata2" ref="A2:E97">
    <sortCondition ref="A1:A97"/>
  </sortState>
  <tableColumns count="5">
    <tableColumn id="1" xr3:uid="{378533D2-B1FD-44C5-B565-7FA9D5600218}" name="Name " dataDxfId="53" totalsRowDxfId="8"/>
    <tableColumn id="2" xr3:uid="{EDDC7BD6-648A-46BE-9513-F98A04682A36}" name="Shift" dataDxfId="52" totalsRowDxfId="7" dataCellStyle="Normal 2"/>
    <tableColumn id="6" xr3:uid="{9D0943E1-8A10-4BC8-BCF0-9A4C12BC91ED}" name="Present" totalsRowFunction="custom" dataDxfId="51" totalsRowDxfId="6" dataCellStyle="Normal 2">
      <calculatedColumnFormula>Inputs!G3</calculatedColumnFormula>
      <totalsRowFormula array="1">COUNTIF(G2:G97,x)</totalsRowFormula>
    </tableColumn>
    <tableColumn id="5" xr3:uid="{1B40A01E-A3F7-4A62-96A5-3CBA1141A8EB}" name="Recommended Task" dataDxfId="50" totalsRowDxfId="5">
      <calculatedColumnFormula>IF($C2&lt;&gt;"x","",IFERROR(_xlfn.XLOOKUP($A2,'Staffing sheet 1ST Shift'!$A:$A,'Staffing sheet 1ST Shift'!$I:$I,""),""))</calculatedColumnFormula>
    </tableColumn>
    <tableColumn id="4" xr3:uid="{88340427-7131-40BD-B9A8-B3A216E8CCAB}" name="Today's Task" dataDxfId="49" totalsRowDxfId="4">
      <calculatedColumnFormula>Table200[[#This Row],[Recommended Task]]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2" totalsRowShown="0" headerRowDxfId="48" dataDxfId="47">
  <autoFilter ref="A1:I52" xr:uid="{3CEE3844-3856-44FC-88A0-BEEBD1D0651B}"/>
  <sortState xmlns:xlrd2="http://schemas.microsoft.com/office/spreadsheetml/2017/richdata2" ref="A2:I50">
    <sortCondition ref="F1:F50"/>
  </sortState>
  <tableColumns count="9">
    <tableColumn id="1" xr3:uid="{D01D1503-798E-4101-9EF8-FFEEB72BBF24}" name="Name " dataDxfId="46" dataCellStyle="Normal 2"/>
    <tableColumn id="7" xr3:uid="{1B9564C3-606B-44E7-9409-BBBC732828D9}" name="Shift " dataDxfId="45" dataCellStyle="Normal 2"/>
    <tableColumn id="9" xr3:uid="{52A2F257-AC52-42E7-B8AD-26B7C5CDEA18}" name="Weekday/Weekend" dataDxfId="44" dataCellStyle="Normal 2"/>
    <tableColumn id="2" xr3:uid="{4391CAFC-B806-47AE-97BA-FE4348B6BBE4}" name="Skills " dataDxfId="43"/>
    <tableColumn id="8" xr3:uid="{6F9C6788-F5C9-4125-950E-7F5BF4CAF572}" name="Forklift Certified" dataDxfId="42"/>
    <tableColumn id="3" xr3:uid="{F271F169-B8C4-4452-8F33-C7A685EAF739}" name="Best Fit" dataDxfId="41"/>
    <tableColumn id="4" xr3:uid="{CC83BD97-B371-42C0-A23B-0907A68EDCB5}" name="Classification" dataDxfId="40"/>
    <tableColumn id="6" xr3:uid="{75015F24-6915-4715-AEBE-AC40105A73DF}" name="Present" dataDxfId="39">
      <calculatedColumnFormula>IFERROR(VLOOKUP($A2,'Crew Sheet'!#REF!,2,FALSE),"")</calculatedColumnFormula>
    </tableColumn>
    <tableColumn id="12" xr3:uid="{FCA61B40-E6E6-4CAB-8923-1B26B7D7B332}" name="Recommended Task" dataDxfId="38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AEE7679-E46B-41EC-946F-0414834C3BF2}" name="Table20039" displayName="Table20039" ref="A1:I51" totalsRowShown="0" headerRowDxfId="37" dataDxfId="36">
  <autoFilter ref="A1:I51" xr:uid="{CAEE7679-E46B-41EC-946F-0414834C3BF2}"/>
  <sortState xmlns:xlrd2="http://schemas.microsoft.com/office/spreadsheetml/2017/richdata2" ref="A2:I51">
    <sortCondition ref="A1:A51"/>
  </sortState>
  <tableColumns count="9">
    <tableColumn id="1" xr3:uid="{0047C0B9-910B-411A-AA90-4049AA6B6E31}" name="Name " dataDxfId="35" dataCellStyle="Normal 2"/>
    <tableColumn id="7" xr3:uid="{9F31F817-5384-4EA3-8CCB-719BFB212D62}" name="Shift " dataDxfId="34" dataCellStyle="Normal 2"/>
    <tableColumn id="9" xr3:uid="{872D6743-106A-4EFA-A85C-0D0F0DD69C29}" name="Weekday/Weekend" dataDxfId="33" dataCellStyle="Normal 2"/>
    <tableColumn id="2" xr3:uid="{F93C46E1-679B-49EE-BF09-DB28F1CB55E4}" name="Skills " dataDxfId="32"/>
    <tableColumn id="8" xr3:uid="{D478939E-F43B-4495-957A-89D310F2057C}" name="Forklift Certified" dataDxfId="31"/>
    <tableColumn id="3" xr3:uid="{DF1EA81B-3A8F-4DC0-B1DD-5EF399424F3C}" name="Best Fit" dataDxfId="30"/>
    <tableColumn id="4" xr3:uid="{B7BE5BE4-3821-4CC8-9BD1-9C75D4BFB9E7}" name="Classification" dataDxfId="29"/>
    <tableColumn id="6" xr3:uid="{2416C68C-97B7-44FC-9013-30D70CF8C9CB}" name="Present" dataDxfId="28">
      <calculatedColumnFormula>IFERROR(VLOOKUP($A2,'Crew Sheet'!#REF!,2,FALSE),"")</calculatedColumnFormula>
    </tableColumn>
    <tableColumn id="12" xr3:uid="{3E60B2E9-94F9-4227-99CF-817F62A8E8EC}" name="Recommended Task" dataDxfId="27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26" dataDxfId="24" headerRowBorderDxfId="25" tableBorderDxfId="23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22"/>
    <tableColumn id="2" xr3:uid="{15BC200D-2A7D-42A9-816F-F61F2B352644}" name="Date" dataDxfId="21"/>
    <tableColumn id="3" xr3:uid="{6E8128F9-ADFB-4EFB-8B49-1C4E71DD7EF0}" name="1st Pallets" dataDxfId="20">
      <calculatedColumnFormula>O29*$P$27</calculatedColumnFormula>
    </tableColumn>
    <tableColumn id="4" xr3:uid="{90F78137-FFC5-41E3-A9D9-5A0EC5FE4975}" name="1st Cases" dataDxfId="19"/>
    <tableColumn id="5" xr3:uid="{8200FF7F-BCF8-48C8-B0CB-303683386417}" name="2nd Pallets" dataDxfId="18">
      <calculatedColumnFormula>R29*$P$27</calculatedColumnFormula>
    </tableColumn>
    <tableColumn id="6" xr3:uid="{02468058-7DEC-41C7-8DCB-CF982D43399D}" name="2nd Cases" dataDxfId="17"/>
    <tableColumn id="7" xr3:uid="{BBC0DD35-D943-46F1-B706-5784D7369796}" name="Total Cases" dataDxfId="16">
      <calculatedColumnFormula>SUM(C4:F4)</calculatedColumnFormula>
    </tableColumn>
    <tableColumn id="8" xr3:uid="{D9CAC310-34BD-45FD-8673-1F1D643911B2}" name="Pallets 1st" dataDxfId="15">
      <calculatedColumnFormula>IFERROR(C4/G4,0)</calculatedColumnFormula>
    </tableColumn>
    <tableColumn id="9" xr3:uid="{A5ECACF9-8EA9-40BA-8495-E5D08AA0FB8C}" name="Pallets 2nd" dataDxfId="14">
      <calculatedColumnFormula>IFERROR(E4/G4,0)</calculatedColumnFormula>
    </tableColumn>
    <tableColumn id="10" xr3:uid="{8DEA38E9-29BD-4BB9-99DC-B451FD1006E7}" name="Cases 1st" dataDxfId="13">
      <calculatedColumnFormula>IFERROR(D4/G4,0)</calculatedColumnFormula>
    </tableColumn>
    <tableColumn id="11" xr3:uid="{6945D6B2-198F-483D-A794-06650B4628CF}" name="Cases 2nd" dataDxfId="12">
      <calculatedColumnFormula>IFERROR(F4/G4,0)</calculatedColumnFormula>
    </tableColumn>
    <tableColumn id="12" xr3:uid="{F0AE8DE5-4171-4614-8CC7-F76DDB35C172}" name="Total Pallets" dataDxfId="11">
      <calculatedColumnFormula>IFERROR((C4+E4)/G4, 0)</calculatedColumnFormula>
    </tableColumn>
    <tableColumn id="13" xr3:uid="{7AFE8EA3-98E3-469A-8F81-658415A70ED8}" name="Total Case Pick" dataDxfId="10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Q99"/>
  <sheetViews>
    <sheetView tabSelected="1" topLeftCell="A18" workbookViewId="0">
      <selection activeCell="G35" sqref="G35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5.28515625" bestFit="1" customWidth="1"/>
    <col min="6" max="6" width="7.5703125" customWidth="1"/>
    <col min="7" max="7" width="10.5703125" customWidth="1"/>
    <col min="8" max="8" width="21.85546875" hidden="1" customWidth="1"/>
    <col min="9" max="9" width="11.85546875" bestFit="1" customWidth="1"/>
    <col min="10" max="10" width="11.140625" hidden="1" customWidth="1"/>
    <col min="11" max="11" width="9.140625" hidden="1" customWidth="1"/>
    <col min="12" max="12" width="14.140625" bestFit="1" customWidth="1"/>
    <col min="14" max="14" width="12" customWidth="1"/>
    <col min="15" max="15" width="26" bestFit="1" customWidth="1"/>
  </cols>
  <sheetData>
    <row r="1" spans="1:17" ht="15.75" x14ac:dyDescent="0.25">
      <c r="A1" s="90" t="s">
        <v>6</v>
      </c>
      <c r="B1" s="62"/>
      <c r="C1" s="78"/>
      <c r="D1" s="79"/>
      <c r="E1" s="93" t="s">
        <v>211</v>
      </c>
      <c r="F1" s="93"/>
      <c r="G1" s="80"/>
      <c r="H1" s="37" t="s">
        <v>129</v>
      </c>
      <c r="I1" s="76"/>
      <c r="J1" t="s">
        <v>8</v>
      </c>
      <c r="K1">
        <v>1</v>
      </c>
      <c r="L1" s="94" t="s">
        <v>218</v>
      </c>
      <c r="M1" s="88">
        <f>COUNTIF(G3:G52, "x") + COUNTIF(P3:P52, "x")</f>
        <v>0</v>
      </c>
      <c r="O1" s="97"/>
      <c r="P1" s="97"/>
      <c r="Q1" s="96"/>
    </row>
    <row r="2" spans="1:17" ht="15.75" x14ac:dyDescent="0.25">
      <c r="A2" s="90" t="s">
        <v>13</v>
      </c>
      <c r="B2" s="62"/>
      <c r="C2" s="76"/>
      <c r="D2" s="79"/>
      <c r="E2" s="127" t="s">
        <v>0</v>
      </c>
      <c r="F2" s="128" t="s">
        <v>13</v>
      </c>
      <c r="G2" s="129" t="s">
        <v>199</v>
      </c>
      <c r="H2" s="37" t="s">
        <v>210</v>
      </c>
      <c r="I2" s="76"/>
      <c r="J2" t="s">
        <v>210</v>
      </c>
      <c r="K2">
        <v>2</v>
      </c>
      <c r="O2" s="97"/>
      <c r="P2" s="130"/>
    </row>
    <row r="3" spans="1:17" ht="15.75" x14ac:dyDescent="0.25">
      <c r="A3" s="90" t="s">
        <v>20</v>
      </c>
      <c r="B3" s="62"/>
      <c r="C3" s="78"/>
      <c r="D3" s="79"/>
      <c r="E3" s="115" t="s">
        <v>276</v>
      </c>
      <c r="F3" s="81">
        <v>1</v>
      </c>
      <c r="G3" s="123"/>
      <c r="H3" s="37" t="s">
        <v>21</v>
      </c>
      <c r="I3" s="76"/>
      <c r="J3" t="s">
        <v>21</v>
      </c>
      <c r="O3" s="95"/>
      <c r="P3" s="55"/>
    </row>
    <row r="4" spans="1:17" ht="15.75" x14ac:dyDescent="0.25">
      <c r="A4" s="90" t="s">
        <v>209</v>
      </c>
      <c r="B4" s="62">
        <v>9.5</v>
      </c>
      <c r="C4" s="37"/>
      <c r="E4" s="117" t="s">
        <v>223</v>
      </c>
      <c r="F4" s="114">
        <v>2</v>
      </c>
      <c r="G4" s="124"/>
      <c r="H4" s="37" t="s">
        <v>26</v>
      </c>
      <c r="I4" s="76"/>
      <c r="O4" s="95"/>
      <c r="P4" s="55"/>
    </row>
    <row r="5" spans="1:17" ht="15.75" x14ac:dyDescent="0.25">
      <c r="A5" s="91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116" t="s">
        <v>16</v>
      </c>
      <c r="F5" s="81">
        <v>1</v>
      </c>
      <c r="G5" s="124"/>
      <c r="H5" s="37" t="s">
        <v>7</v>
      </c>
      <c r="I5" s="76"/>
      <c r="J5" t="s">
        <v>26</v>
      </c>
      <c r="O5" s="95"/>
      <c r="P5" s="55"/>
    </row>
    <row r="6" spans="1:17" ht="15.75" x14ac:dyDescent="0.25">
      <c r="A6" s="91" t="s">
        <v>208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115" t="s">
        <v>144</v>
      </c>
      <c r="F6" s="81">
        <v>1</v>
      </c>
      <c r="G6" s="123"/>
      <c r="H6" s="37" t="s">
        <v>30</v>
      </c>
      <c r="I6" s="77"/>
      <c r="J6" t="s">
        <v>7</v>
      </c>
      <c r="O6" s="95"/>
      <c r="P6" s="55"/>
    </row>
    <row r="7" spans="1:17" ht="15.75" x14ac:dyDescent="0.25">
      <c r="A7" s="92" t="s">
        <v>29</v>
      </c>
      <c r="B7" s="83">
        <f>(B3/70) / 25 *0.52</f>
        <v>0</v>
      </c>
      <c r="C7" s="43"/>
      <c r="E7" s="116" t="s">
        <v>190</v>
      </c>
      <c r="F7" s="81">
        <v>1</v>
      </c>
      <c r="G7" s="124"/>
      <c r="H7" s="37" t="s">
        <v>31</v>
      </c>
      <c r="I7" s="77"/>
      <c r="J7" t="s">
        <v>30</v>
      </c>
      <c r="O7" s="95"/>
      <c r="P7" s="55"/>
    </row>
    <row r="8" spans="1:17" ht="15.75" x14ac:dyDescent="0.25">
      <c r="A8" s="89" t="s">
        <v>82</v>
      </c>
      <c r="B8" s="84"/>
      <c r="E8" s="115" t="s">
        <v>188</v>
      </c>
      <c r="F8" s="81">
        <v>1</v>
      </c>
      <c r="G8" s="123"/>
      <c r="H8" s="37"/>
      <c r="I8" s="77"/>
      <c r="J8" t="s">
        <v>31</v>
      </c>
      <c r="O8" s="95"/>
      <c r="P8" s="55"/>
    </row>
    <row r="9" spans="1:17" ht="15.75" x14ac:dyDescent="0.25">
      <c r="A9" s="89" t="s">
        <v>86</v>
      </c>
      <c r="B9" s="84"/>
      <c r="E9" s="118" t="s">
        <v>224</v>
      </c>
      <c r="F9" s="114">
        <v>2</v>
      </c>
      <c r="G9" s="123"/>
      <c r="O9" s="95"/>
      <c r="P9" s="55"/>
    </row>
    <row r="10" spans="1:17" x14ac:dyDescent="0.25">
      <c r="A10" s="89" t="s">
        <v>87</v>
      </c>
      <c r="B10" s="84"/>
      <c r="E10" s="119" t="s">
        <v>225</v>
      </c>
      <c r="F10" s="114">
        <v>2</v>
      </c>
      <c r="G10" s="126"/>
      <c r="O10" s="95"/>
      <c r="P10" s="55"/>
    </row>
    <row r="11" spans="1:17" x14ac:dyDescent="0.25">
      <c r="E11" s="119" t="s">
        <v>226</v>
      </c>
      <c r="F11" s="114">
        <v>2</v>
      </c>
      <c r="G11" s="126"/>
      <c r="O11" s="95"/>
      <c r="P11" s="55"/>
    </row>
    <row r="12" spans="1:17" ht="15.75" x14ac:dyDescent="0.25">
      <c r="E12" s="116" t="s">
        <v>22</v>
      </c>
      <c r="F12" s="81">
        <v>1</v>
      </c>
      <c r="G12" s="124"/>
      <c r="O12" s="95"/>
      <c r="P12" s="55"/>
    </row>
    <row r="13" spans="1:17" ht="15.75" x14ac:dyDescent="0.25">
      <c r="A13" s="86" t="s">
        <v>212</v>
      </c>
      <c r="E13" s="115" t="s">
        <v>27</v>
      </c>
      <c r="F13" s="81">
        <v>1</v>
      </c>
      <c r="G13" s="123"/>
      <c r="O13" s="95"/>
      <c r="P13" s="55"/>
    </row>
    <row r="14" spans="1:17" ht="15.75" x14ac:dyDescent="0.25">
      <c r="A14" s="37" t="s">
        <v>141</v>
      </c>
      <c r="E14" s="120" t="s">
        <v>227</v>
      </c>
      <c r="F14" s="114">
        <v>2</v>
      </c>
      <c r="G14" s="126"/>
      <c r="O14" s="95"/>
      <c r="P14" s="55"/>
    </row>
    <row r="15" spans="1:17" ht="15.75" x14ac:dyDescent="0.25">
      <c r="A15" s="37" t="s">
        <v>170</v>
      </c>
      <c r="E15" s="118" t="s">
        <v>228</v>
      </c>
      <c r="F15" s="114">
        <v>2</v>
      </c>
      <c r="G15" s="126"/>
      <c r="O15" s="95"/>
      <c r="P15" s="55"/>
    </row>
    <row r="16" spans="1:17" x14ac:dyDescent="0.25">
      <c r="E16" s="136" t="s">
        <v>278</v>
      </c>
      <c r="F16" s="137">
        <v>1</v>
      </c>
      <c r="G16" s="126"/>
      <c r="O16" s="95"/>
      <c r="P16" s="55"/>
    </row>
    <row r="17" spans="3:16" x14ac:dyDescent="0.25">
      <c r="E17" s="118" t="s">
        <v>229</v>
      </c>
      <c r="F17" s="114">
        <v>2</v>
      </c>
      <c r="G17" s="126"/>
      <c r="O17" s="95"/>
      <c r="P17" s="55"/>
    </row>
    <row r="18" spans="3:16" x14ac:dyDescent="0.25">
      <c r="E18" s="118" t="s">
        <v>230</v>
      </c>
      <c r="F18" s="114">
        <v>2</v>
      </c>
      <c r="G18" s="126"/>
      <c r="O18" s="95"/>
      <c r="P18" s="55"/>
    </row>
    <row r="19" spans="3:16" x14ac:dyDescent="0.25">
      <c r="C19" s="82"/>
      <c r="E19" s="118" t="s">
        <v>231</v>
      </c>
      <c r="F19" s="114">
        <v>2</v>
      </c>
      <c r="G19" s="126"/>
      <c r="O19" s="95"/>
      <c r="P19" s="55"/>
    </row>
    <row r="20" spans="3:16" ht="15.75" x14ac:dyDescent="0.25">
      <c r="E20" s="115" t="s">
        <v>221</v>
      </c>
      <c r="F20" s="81">
        <v>1</v>
      </c>
      <c r="G20" s="124"/>
      <c r="O20" s="95"/>
      <c r="P20" s="55"/>
    </row>
    <row r="21" spans="3:16" ht="15.75" x14ac:dyDescent="0.25">
      <c r="E21" s="116" t="s">
        <v>46</v>
      </c>
      <c r="F21" s="81">
        <v>1</v>
      </c>
      <c r="G21" s="124"/>
      <c r="O21" s="95"/>
      <c r="P21" s="55"/>
    </row>
    <row r="22" spans="3:16" ht="15.75" x14ac:dyDescent="0.25">
      <c r="E22" s="115" t="s">
        <v>49</v>
      </c>
      <c r="F22" s="81">
        <v>1</v>
      </c>
      <c r="G22" s="123"/>
      <c r="O22" s="95"/>
      <c r="P22" s="55"/>
    </row>
    <row r="23" spans="3:16" ht="15.75" x14ac:dyDescent="0.25">
      <c r="E23" s="116" t="s">
        <v>51</v>
      </c>
      <c r="F23" s="81">
        <v>1</v>
      </c>
      <c r="G23" s="124"/>
      <c r="O23" s="95"/>
      <c r="P23" s="55"/>
    </row>
    <row r="24" spans="3:16" x14ac:dyDescent="0.25">
      <c r="E24" s="119" t="s">
        <v>232</v>
      </c>
      <c r="F24" s="114">
        <v>2</v>
      </c>
      <c r="G24" s="126"/>
      <c r="O24" s="95"/>
      <c r="P24" s="55"/>
    </row>
    <row r="25" spans="3:16" ht="15.75" x14ac:dyDescent="0.25">
      <c r="E25" s="115" t="s">
        <v>53</v>
      </c>
      <c r="F25" s="81">
        <v>1</v>
      </c>
      <c r="G25" s="123"/>
      <c r="O25" s="95"/>
      <c r="P25" s="55"/>
    </row>
    <row r="26" spans="3:16" ht="15.75" x14ac:dyDescent="0.25">
      <c r="E26" s="116" t="s">
        <v>55</v>
      </c>
      <c r="F26" s="81">
        <v>1</v>
      </c>
      <c r="G26" s="124"/>
      <c r="O26" s="95"/>
      <c r="P26" s="55"/>
    </row>
    <row r="27" spans="3:16" x14ac:dyDescent="0.25">
      <c r="E27" s="119" t="s">
        <v>233</v>
      </c>
      <c r="F27" s="114">
        <v>2</v>
      </c>
      <c r="G27" s="126"/>
      <c r="O27" s="95"/>
      <c r="P27" s="55"/>
    </row>
    <row r="28" spans="3:16" x14ac:dyDescent="0.25">
      <c r="E28" s="118" t="s">
        <v>234</v>
      </c>
      <c r="F28" s="114">
        <v>2</v>
      </c>
      <c r="G28" s="126"/>
      <c r="O28" s="95"/>
      <c r="P28" s="55"/>
    </row>
    <row r="29" spans="3:16" x14ac:dyDescent="0.25">
      <c r="E29" s="119" t="s">
        <v>235</v>
      </c>
      <c r="F29" s="114">
        <v>2</v>
      </c>
      <c r="G29" s="126"/>
      <c r="O29" s="95"/>
      <c r="P29" s="55"/>
    </row>
    <row r="30" spans="3:16" ht="15.75" x14ac:dyDescent="0.25">
      <c r="E30" s="115" t="s">
        <v>171</v>
      </c>
      <c r="F30" s="81">
        <v>1</v>
      </c>
      <c r="G30" s="123"/>
      <c r="O30" s="95"/>
      <c r="P30" s="55"/>
    </row>
    <row r="31" spans="3:16" ht="15.75" x14ac:dyDescent="0.25">
      <c r="E31" s="116" t="s">
        <v>56</v>
      </c>
      <c r="F31" s="81">
        <v>1</v>
      </c>
      <c r="G31" s="124"/>
      <c r="O31" s="95"/>
      <c r="P31" s="55"/>
    </row>
    <row r="32" spans="3:16" ht="15.75" x14ac:dyDescent="0.25">
      <c r="E32" s="132" t="s">
        <v>277</v>
      </c>
      <c r="F32" s="133">
        <v>1</v>
      </c>
      <c r="G32" s="123"/>
      <c r="O32" s="95"/>
      <c r="P32" s="55"/>
    </row>
    <row r="33" spans="5:16" x14ac:dyDescent="0.25">
      <c r="E33" s="119" t="s">
        <v>236</v>
      </c>
      <c r="F33" s="114">
        <v>2</v>
      </c>
      <c r="G33" s="126"/>
      <c r="O33" s="95"/>
      <c r="P33" s="55"/>
    </row>
    <row r="34" spans="5:16" x14ac:dyDescent="0.25">
      <c r="E34" s="119" t="s">
        <v>237</v>
      </c>
      <c r="F34" s="114">
        <v>2</v>
      </c>
      <c r="G34" s="126"/>
      <c r="O34" s="95"/>
      <c r="P34" s="55"/>
    </row>
    <row r="35" spans="5:16" ht="15.75" x14ac:dyDescent="0.25">
      <c r="E35" s="115" t="s">
        <v>172</v>
      </c>
      <c r="F35" s="81">
        <v>1</v>
      </c>
      <c r="G35" s="123"/>
      <c r="O35" s="95"/>
      <c r="P35" s="55"/>
    </row>
    <row r="36" spans="5:16" ht="15.75" x14ac:dyDescent="0.25">
      <c r="E36" s="116" t="s">
        <v>173</v>
      </c>
      <c r="F36" s="81">
        <v>1</v>
      </c>
      <c r="G36" s="124"/>
      <c r="O36" s="95"/>
      <c r="P36" s="55"/>
    </row>
    <row r="37" spans="5:16" ht="15.75" x14ac:dyDescent="0.25">
      <c r="E37" s="115" t="s">
        <v>180</v>
      </c>
      <c r="F37" s="81">
        <v>1</v>
      </c>
      <c r="G37" s="123"/>
      <c r="O37" s="95"/>
      <c r="P37" s="55"/>
    </row>
    <row r="38" spans="5:16" x14ac:dyDescent="0.25">
      <c r="E38" s="119" t="s">
        <v>238</v>
      </c>
      <c r="F38" s="114">
        <v>2</v>
      </c>
      <c r="G38" s="126"/>
      <c r="O38" s="95"/>
      <c r="P38" s="55"/>
    </row>
    <row r="39" spans="5:16" x14ac:dyDescent="0.25">
      <c r="E39" s="119" t="s">
        <v>239</v>
      </c>
      <c r="F39" s="114">
        <v>1</v>
      </c>
      <c r="G39" s="126"/>
      <c r="O39" s="95"/>
      <c r="P39" s="55"/>
    </row>
    <row r="40" spans="5:16" ht="15.75" x14ac:dyDescent="0.25">
      <c r="E40" s="116" t="s">
        <v>60</v>
      </c>
      <c r="F40" s="81">
        <v>1</v>
      </c>
      <c r="G40" s="124"/>
      <c r="O40" s="95"/>
      <c r="P40" s="55"/>
    </row>
    <row r="41" spans="5:16" x14ac:dyDescent="0.25">
      <c r="E41" s="119" t="s">
        <v>240</v>
      </c>
      <c r="F41" s="114">
        <v>2</v>
      </c>
      <c r="G41" s="126"/>
      <c r="O41" s="95"/>
      <c r="P41" s="55"/>
    </row>
    <row r="42" spans="5:16" ht="15.75" x14ac:dyDescent="0.25">
      <c r="E42" s="115" t="s">
        <v>61</v>
      </c>
      <c r="F42" s="81">
        <v>1</v>
      </c>
      <c r="G42" s="123"/>
      <c r="O42" s="95"/>
      <c r="P42" s="55"/>
    </row>
    <row r="43" spans="5:16" ht="15.75" x14ac:dyDescent="0.25">
      <c r="E43" s="116" t="s">
        <v>146</v>
      </c>
      <c r="F43" s="81">
        <v>1</v>
      </c>
      <c r="G43" s="124"/>
      <c r="O43" s="95"/>
      <c r="P43" s="55"/>
    </row>
    <row r="44" spans="5:16" ht="15.75" x14ac:dyDescent="0.25">
      <c r="E44" s="115" t="s">
        <v>147</v>
      </c>
      <c r="F44" s="81">
        <v>1</v>
      </c>
      <c r="G44" s="123"/>
      <c r="O44" s="95"/>
      <c r="P44" s="55"/>
    </row>
    <row r="45" spans="5:16" x14ac:dyDescent="0.25">
      <c r="E45" s="118" t="s">
        <v>241</v>
      </c>
      <c r="F45" s="114">
        <v>2</v>
      </c>
      <c r="G45" s="126"/>
      <c r="O45" s="95"/>
      <c r="P45" s="55"/>
    </row>
    <row r="46" spans="5:16" x14ac:dyDescent="0.25">
      <c r="E46" s="118" t="s">
        <v>242</v>
      </c>
      <c r="F46" s="114">
        <v>2</v>
      </c>
      <c r="G46" s="126"/>
      <c r="O46" s="95"/>
      <c r="P46" s="55"/>
    </row>
    <row r="47" spans="5:16" x14ac:dyDescent="0.25">
      <c r="E47" s="119" t="s">
        <v>243</v>
      </c>
      <c r="F47" s="114">
        <v>2</v>
      </c>
      <c r="G47" s="126"/>
      <c r="O47" s="95"/>
      <c r="P47" s="55"/>
    </row>
    <row r="48" spans="5:16" x14ac:dyDescent="0.25">
      <c r="E48" s="118" t="s">
        <v>244</v>
      </c>
      <c r="F48" s="114">
        <v>2</v>
      </c>
      <c r="G48" s="126"/>
      <c r="O48" s="95"/>
      <c r="P48" s="55"/>
    </row>
    <row r="49" spans="5:16" ht="15.75" x14ac:dyDescent="0.25">
      <c r="E49" s="116" t="s">
        <v>203</v>
      </c>
      <c r="F49" s="81">
        <v>1</v>
      </c>
      <c r="G49" s="124"/>
      <c r="O49" s="95"/>
      <c r="P49" s="55"/>
    </row>
    <row r="50" spans="5:16" x14ac:dyDescent="0.25">
      <c r="E50" s="118" t="s">
        <v>245</v>
      </c>
      <c r="F50" s="114">
        <v>2</v>
      </c>
      <c r="G50" s="126"/>
      <c r="O50" s="95"/>
      <c r="P50" s="55"/>
    </row>
    <row r="51" spans="5:16" x14ac:dyDescent="0.25">
      <c r="E51" s="118" t="s">
        <v>246</v>
      </c>
      <c r="F51" s="114">
        <v>2</v>
      </c>
      <c r="G51" s="126"/>
      <c r="O51" s="95"/>
      <c r="P51" s="55"/>
    </row>
    <row r="52" spans="5:16" x14ac:dyDescent="0.25">
      <c r="E52" s="118" t="s">
        <v>247</v>
      </c>
      <c r="F52" s="114">
        <v>2</v>
      </c>
      <c r="G52" s="126"/>
      <c r="O52" s="95"/>
      <c r="P52" s="95"/>
    </row>
    <row r="53" spans="5:16" ht="15.75" x14ac:dyDescent="0.25">
      <c r="E53" s="115" t="s">
        <v>66</v>
      </c>
      <c r="F53" s="81">
        <v>1</v>
      </c>
      <c r="G53" s="123"/>
    </row>
    <row r="54" spans="5:16" ht="15.75" x14ac:dyDescent="0.25">
      <c r="E54" s="116" t="s">
        <v>222</v>
      </c>
      <c r="F54" s="81">
        <v>1</v>
      </c>
      <c r="G54" s="123"/>
    </row>
    <row r="55" spans="5:16" x14ac:dyDescent="0.25">
      <c r="E55" s="119" t="s">
        <v>248</v>
      </c>
      <c r="F55" s="114">
        <v>2</v>
      </c>
      <c r="G55" s="126"/>
    </row>
    <row r="56" spans="5:16" x14ac:dyDescent="0.25">
      <c r="E56" s="117" t="s">
        <v>249</v>
      </c>
      <c r="F56" s="114">
        <v>2</v>
      </c>
      <c r="G56" s="126"/>
    </row>
    <row r="57" spans="5:16" ht="15.75" x14ac:dyDescent="0.25">
      <c r="E57" s="116" t="s">
        <v>174</v>
      </c>
      <c r="F57" s="81">
        <v>1</v>
      </c>
      <c r="G57" s="124"/>
    </row>
    <row r="58" spans="5:16" ht="15.75" x14ac:dyDescent="0.25">
      <c r="E58" s="115" t="s">
        <v>183</v>
      </c>
      <c r="F58" s="81">
        <v>1</v>
      </c>
      <c r="G58" s="123"/>
    </row>
    <row r="59" spans="5:16" ht="15.75" x14ac:dyDescent="0.25">
      <c r="E59" s="116" t="s">
        <v>202</v>
      </c>
      <c r="F59" s="81">
        <v>1</v>
      </c>
      <c r="G59" s="124"/>
    </row>
    <row r="60" spans="5:16" x14ac:dyDescent="0.25">
      <c r="E60" s="117" t="s">
        <v>250</v>
      </c>
      <c r="F60" s="114">
        <v>2</v>
      </c>
      <c r="G60" s="126"/>
    </row>
    <row r="61" spans="5:16" x14ac:dyDescent="0.25">
      <c r="E61" s="119" t="s">
        <v>251</v>
      </c>
      <c r="F61" s="114">
        <v>2</v>
      </c>
      <c r="G61" s="126"/>
    </row>
    <row r="62" spans="5:16" x14ac:dyDescent="0.25">
      <c r="E62" s="118" t="s">
        <v>252</v>
      </c>
      <c r="F62" s="114">
        <v>2</v>
      </c>
      <c r="G62" s="126"/>
    </row>
    <row r="63" spans="5:16" ht="15.75" x14ac:dyDescent="0.25">
      <c r="E63" s="115" t="s">
        <v>181</v>
      </c>
      <c r="F63" s="81">
        <v>1</v>
      </c>
      <c r="G63" s="123"/>
    </row>
    <row r="64" spans="5:16" x14ac:dyDescent="0.25">
      <c r="E64" s="119" t="s">
        <v>253</v>
      </c>
      <c r="F64" s="114">
        <v>2</v>
      </c>
      <c r="G64" s="126"/>
    </row>
    <row r="65" spans="5:7" x14ac:dyDescent="0.25">
      <c r="E65" s="119" t="s">
        <v>254</v>
      </c>
      <c r="F65" s="114">
        <v>2</v>
      </c>
      <c r="G65" s="126"/>
    </row>
    <row r="66" spans="5:7" ht="15.75" x14ac:dyDescent="0.25">
      <c r="E66" s="116" t="s">
        <v>145</v>
      </c>
      <c r="F66" s="81">
        <v>1</v>
      </c>
      <c r="G66" s="124"/>
    </row>
    <row r="67" spans="5:7" x14ac:dyDescent="0.25">
      <c r="E67" s="119" t="s">
        <v>255</v>
      </c>
      <c r="F67" s="114">
        <v>2</v>
      </c>
      <c r="G67" s="126"/>
    </row>
    <row r="68" spans="5:7" x14ac:dyDescent="0.25">
      <c r="E68" s="119" t="s">
        <v>256</v>
      </c>
      <c r="F68" s="114">
        <v>2</v>
      </c>
      <c r="G68" s="126"/>
    </row>
    <row r="69" spans="5:7" x14ac:dyDescent="0.25">
      <c r="E69" s="119" t="s">
        <v>257</v>
      </c>
      <c r="F69" s="114">
        <v>2</v>
      </c>
      <c r="G69" s="126"/>
    </row>
    <row r="70" spans="5:7" ht="15.75" x14ac:dyDescent="0.25">
      <c r="E70" s="115" t="s">
        <v>163</v>
      </c>
      <c r="F70" s="81">
        <v>1</v>
      </c>
      <c r="G70" s="123"/>
    </row>
    <row r="71" spans="5:7" ht="15.75" x14ac:dyDescent="0.25">
      <c r="E71" s="116" t="s">
        <v>67</v>
      </c>
      <c r="F71" s="81">
        <v>1</v>
      </c>
      <c r="G71" s="124"/>
    </row>
    <row r="72" spans="5:7" ht="15.75" x14ac:dyDescent="0.25">
      <c r="E72" s="115" t="s">
        <v>69</v>
      </c>
      <c r="F72" s="81">
        <v>1</v>
      </c>
      <c r="G72" s="123"/>
    </row>
    <row r="73" spans="5:7" ht="15.75" x14ac:dyDescent="0.25">
      <c r="E73" s="116" t="s">
        <v>70</v>
      </c>
      <c r="F73" s="81">
        <v>1</v>
      </c>
      <c r="G73" s="124"/>
    </row>
    <row r="74" spans="5:7" ht="15.75" x14ac:dyDescent="0.25">
      <c r="E74" s="115" t="s">
        <v>71</v>
      </c>
      <c r="F74" s="81">
        <v>1</v>
      </c>
      <c r="G74" s="123"/>
    </row>
    <row r="75" spans="5:7" ht="15.75" x14ac:dyDescent="0.25">
      <c r="E75" s="116" t="s">
        <v>72</v>
      </c>
      <c r="F75" s="81">
        <v>1</v>
      </c>
      <c r="G75" s="124"/>
    </row>
    <row r="76" spans="5:7" ht="15.75" x14ac:dyDescent="0.25">
      <c r="E76" s="115" t="s">
        <v>219</v>
      </c>
      <c r="F76" s="81">
        <v>1</v>
      </c>
      <c r="G76" s="125"/>
    </row>
    <row r="77" spans="5:7" ht="15.75" x14ac:dyDescent="0.25">
      <c r="E77" s="115" t="s">
        <v>143</v>
      </c>
      <c r="F77" s="81">
        <v>1</v>
      </c>
      <c r="G77" s="123"/>
    </row>
    <row r="78" spans="5:7" x14ac:dyDescent="0.25">
      <c r="E78" s="121" t="s">
        <v>258</v>
      </c>
      <c r="F78" s="114">
        <v>2</v>
      </c>
      <c r="G78" s="126"/>
    </row>
    <row r="79" spans="5:7" ht="15.75" x14ac:dyDescent="0.25">
      <c r="E79" s="116" t="s">
        <v>142</v>
      </c>
      <c r="F79" s="81">
        <v>1</v>
      </c>
      <c r="G79" s="124"/>
    </row>
    <row r="80" spans="5:7" x14ac:dyDescent="0.25">
      <c r="E80" s="121" t="s">
        <v>259</v>
      </c>
      <c r="F80" s="114">
        <v>2</v>
      </c>
      <c r="G80" s="126"/>
    </row>
    <row r="81" spans="5:7" x14ac:dyDescent="0.25">
      <c r="E81" s="119" t="s">
        <v>260</v>
      </c>
      <c r="F81" s="114">
        <v>2</v>
      </c>
      <c r="G81" s="126"/>
    </row>
    <row r="82" spans="5:7" ht="15.75" x14ac:dyDescent="0.25">
      <c r="E82" s="115" t="s">
        <v>176</v>
      </c>
      <c r="F82" s="81">
        <v>1</v>
      </c>
      <c r="G82" s="123"/>
    </row>
    <row r="83" spans="5:7" ht="15.75" x14ac:dyDescent="0.25">
      <c r="E83" s="116" t="s">
        <v>177</v>
      </c>
      <c r="F83" s="81">
        <v>1</v>
      </c>
      <c r="G83" s="124"/>
    </row>
    <row r="84" spans="5:7" ht="15.75" x14ac:dyDescent="0.25">
      <c r="E84" s="115" t="s">
        <v>73</v>
      </c>
      <c r="F84" s="81">
        <v>1</v>
      </c>
      <c r="G84" s="123"/>
    </row>
    <row r="85" spans="5:7" x14ac:dyDescent="0.25">
      <c r="E85" s="117" t="s">
        <v>261</v>
      </c>
      <c r="F85" s="114">
        <v>2</v>
      </c>
      <c r="G85" s="126"/>
    </row>
    <row r="86" spans="5:7" ht="15.75" x14ac:dyDescent="0.25">
      <c r="E86" s="116" t="s">
        <v>178</v>
      </c>
      <c r="F86" s="81">
        <v>1</v>
      </c>
      <c r="G86" s="124"/>
    </row>
    <row r="87" spans="5:7" x14ac:dyDescent="0.25">
      <c r="E87" s="117" t="s">
        <v>262</v>
      </c>
      <c r="F87" s="114">
        <v>2</v>
      </c>
      <c r="G87" s="126"/>
    </row>
    <row r="88" spans="5:7" x14ac:dyDescent="0.25">
      <c r="E88" s="121" t="s">
        <v>263</v>
      </c>
      <c r="F88" s="114">
        <v>2</v>
      </c>
      <c r="G88" s="126"/>
    </row>
    <row r="89" spans="5:7" x14ac:dyDescent="0.25">
      <c r="E89" s="117" t="s">
        <v>264</v>
      </c>
      <c r="F89" s="114">
        <v>2</v>
      </c>
      <c r="G89" s="126"/>
    </row>
    <row r="90" spans="5:7" x14ac:dyDescent="0.25">
      <c r="E90" s="121" t="s">
        <v>265</v>
      </c>
      <c r="F90" s="114">
        <v>2</v>
      </c>
      <c r="G90" s="126"/>
    </row>
    <row r="91" spans="5:7" x14ac:dyDescent="0.25">
      <c r="E91" s="121" t="s">
        <v>266</v>
      </c>
      <c r="F91" s="114">
        <v>2</v>
      </c>
      <c r="G91" s="126"/>
    </row>
    <row r="92" spans="5:7" x14ac:dyDescent="0.25">
      <c r="E92" s="121" t="s">
        <v>267</v>
      </c>
      <c r="F92" s="114">
        <v>2</v>
      </c>
      <c r="G92" s="126"/>
    </row>
    <row r="93" spans="5:7" ht="15.75" x14ac:dyDescent="0.25">
      <c r="E93" s="115" t="s">
        <v>74</v>
      </c>
      <c r="F93" s="81">
        <v>1</v>
      </c>
      <c r="G93" s="123"/>
    </row>
    <row r="94" spans="5:7" x14ac:dyDescent="0.25">
      <c r="E94" s="122" t="s">
        <v>268</v>
      </c>
      <c r="F94" s="114">
        <v>2</v>
      </c>
      <c r="G94" s="126"/>
    </row>
    <row r="95" spans="5:7" x14ac:dyDescent="0.25">
      <c r="E95" s="121" t="s">
        <v>269</v>
      </c>
      <c r="F95" s="114">
        <v>2</v>
      </c>
      <c r="G95" s="126"/>
    </row>
    <row r="96" spans="5:7" ht="15.75" x14ac:dyDescent="0.25">
      <c r="E96" s="116" t="s">
        <v>179</v>
      </c>
      <c r="F96" s="81">
        <v>1</v>
      </c>
      <c r="G96" s="124"/>
    </row>
    <row r="97" spans="5:7" ht="15.75" x14ac:dyDescent="0.25">
      <c r="E97" s="131" t="s">
        <v>220</v>
      </c>
      <c r="F97" s="143">
        <v>1</v>
      </c>
      <c r="G97" s="144"/>
    </row>
    <row r="98" spans="5:7" ht="15.75" x14ac:dyDescent="0.25">
      <c r="E98" s="142" t="s">
        <v>205</v>
      </c>
      <c r="F98" s="143">
        <v>1</v>
      </c>
      <c r="G98" s="144"/>
    </row>
    <row r="99" spans="5:7" x14ac:dyDescent="0.25">
      <c r="E99" s="148" t="s">
        <v>279</v>
      </c>
      <c r="F99" s="149">
        <v>1</v>
      </c>
      <c r="G99" s="147"/>
    </row>
  </sheetData>
  <dataValidations count="3">
    <dataValidation type="list" allowBlank="1" showInputMessage="1" showErrorMessage="1" sqref="I1" xr:uid="{B4653624-4885-4E91-915C-57ECB404D619}">
      <formula1>$J$1:$J$8</formula1>
    </dataValidation>
    <dataValidation type="list" allowBlank="1" showInputMessage="1" showErrorMessage="1" sqref="I2 B2" xr:uid="{E00B6CBC-98A2-4722-9A38-29B1620F9E44}">
      <formula1>$K$1:$K$2</formula1>
    </dataValidation>
    <dataValidation type="list" allowBlank="1" showInputMessage="1" showErrorMessage="1" sqref="B1" xr:uid="{E89A674E-24A6-48AC-A1B4-69D06394EA28}">
      <formula1>$H$1:$H$7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C150"/>
  <sheetViews>
    <sheetView topLeftCell="A34" zoomScale="80" zoomScaleNormal="80" workbookViewId="0">
      <selection activeCell="C38" sqref="C38"/>
    </sheetView>
  </sheetViews>
  <sheetFormatPr defaultRowHeight="15.75" x14ac:dyDescent="0.2"/>
  <cols>
    <col min="1" max="3" width="21.42578125" style="37" customWidth="1"/>
    <col min="4" max="4" width="28.42578125" style="37" bestFit="1" customWidth="1"/>
    <col min="5" max="5" width="28.42578125" style="44" bestFit="1" customWidth="1"/>
    <col min="6" max="6" width="21.42578125" style="37" hidden="1" customWidth="1"/>
    <col min="7" max="7" width="21.42578125" style="37" customWidth="1"/>
    <col min="8" max="8" width="27.7109375" style="37" bestFit="1" customWidth="1"/>
    <col min="9" max="9" width="21.42578125" style="37" customWidth="1"/>
    <col min="10" max="10" width="21.42578125" style="37" hidden="1" customWidth="1"/>
    <col min="11" max="11" width="25.28515625" style="37" bestFit="1" customWidth="1"/>
    <col min="12" max="12" width="25.5703125" style="37" bestFit="1" customWidth="1"/>
    <col min="13" max="13" width="21.42578125" style="37" hidden="1" customWidth="1"/>
    <col min="14" max="14" width="17" style="37" customWidth="1"/>
    <col min="15" max="15" width="38.140625" style="37" bestFit="1" customWidth="1"/>
    <col min="16" max="17" width="21.42578125" style="37" customWidth="1"/>
    <col min="18" max="18" width="28.85546875" style="37" customWidth="1"/>
    <col min="19" max="19" width="21.42578125" style="37" customWidth="1"/>
    <col min="20" max="20" width="21.42578125" style="37" hidden="1" customWidth="1"/>
    <col min="21" max="21" width="39.5703125" style="37" bestFit="1" customWidth="1"/>
    <col min="22" max="55" width="21.42578125" style="37" customWidth="1"/>
    <col min="56" max="258" width="9.140625" style="38"/>
    <col min="259" max="259" width="21.42578125" style="38" customWidth="1"/>
    <col min="260" max="262" width="0" style="38" hidden="1" customWidth="1"/>
    <col min="263" max="311" width="21.42578125" style="38" customWidth="1"/>
    <col min="312" max="514" width="9.140625" style="38"/>
    <col min="515" max="515" width="21.42578125" style="38" customWidth="1"/>
    <col min="516" max="518" width="0" style="38" hidden="1" customWidth="1"/>
    <col min="519" max="567" width="21.42578125" style="38" customWidth="1"/>
    <col min="568" max="770" width="9.140625" style="38"/>
    <col min="771" max="771" width="21.42578125" style="38" customWidth="1"/>
    <col min="772" max="774" width="0" style="38" hidden="1" customWidth="1"/>
    <col min="775" max="823" width="21.42578125" style="38" customWidth="1"/>
    <col min="824" max="1026" width="9.140625" style="38"/>
    <col min="1027" max="1027" width="21.42578125" style="38" customWidth="1"/>
    <col min="1028" max="1030" width="0" style="38" hidden="1" customWidth="1"/>
    <col min="1031" max="1079" width="21.42578125" style="38" customWidth="1"/>
    <col min="1080" max="1282" width="9.140625" style="38"/>
    <col min="1283" max="1283" width="21.42578125" style="38" customWidth="1"/>
    <col min="1284" max="1286" width="0" style="38" hidden="1" customWidth="1"/>
    <col min="1287" max="1335" width="21.42578125" style="38" customWidth="1"/>
    <col min="1336" max="1538" width="9.140625" style="38"/>
    <col min="1539" max="1539" width="21.42578125" style="38" customWidth="1"/>
    <col min="1540" max="1542" width="0" style="38" hidden="1" customWidth="1"/>
    <col min="1543" max="1591" width="21.42578125" style="38" customWidth="1"/>
    <col min="1592" max="1794" width="9.140625" style="38"/>
    <col min="1795" max="1795" width="21.42578125" style="38" customWidth="1"/>
    <col min="1796" max="1798" width="0" style="38" hidden="1" customWidth="1"/>
    <col min="1799" max="1847" width="21.42578125" style="38" customWidth="1"/>
    <col min="1848" max="2050" width="9.140625" style="38"/>
    <col min="2051" max="2051" width="21.42578125" style="38" customWidth="1"/>
    <col min="2052" max="2054" width="0" style="38" hidden="1" customWidth="1"/>
    <col min="2055" max="2103" width="21.42578125" style="38" customWidth="1"/>
    <col min="2104" max="2306" width="9.140625" style="38"/>
    <col min="2307" max="2307" width="21.42578125" style="38" customWidth="1"/>
    <col min="2308" max="2310" width="0" style="38" hidden="1" customWidth="1"/>
    <col min="2311" max="2359" width="21.42578125" style="38" customWidth="1"/>
    <col min="2360" max="2562" width="9.140625" style="38"/>
    <col min="2563" max="2563" width="21.42578125" style="38" customWidth="1"/>
    <col min="2564" max="2566" width="0" style="38" hidden="1" customWidth="1"/>
    <col min="2567" max="2615" width="21.42578125" style="38" customWidth="1"/>
    <col min="2616" max="2818" width="9.140625" style="38"/>
    <col min="2819" max="2819" width="21.42578125" style="38" customWidth="1"/>
    <col min="2820" max="2822" width="0" style="38" hidden="1" customWidth="1"/>
    <col min="2823" max="2871" width="21.42578125" style="38" customWidth="1"/>
    <col min="2872" max="3074" width="9.140625" style="38"/>
    <col min="3075" max="3075" width="21.42578125" style="38" customWidth="1"/>
    <col min="3076" max="3078" width="0" style="38" hidden="1" customWidth="1"/>
    <col min="3079" max="3127" width="21.42578125" style="38" customWidth="1"/>
    <col min="3128" max="3330" width="9.140625" style="38"/>
    <col min="3331" max="3331" width="21.42578125" style="38" customWidth="1"/>
    <col min="3332" max="3334" width="0" style="38" hidden="1" customWidth="1"/>
    <col min="3335" max="3383" width="21.42578125" style="38" customWidth="1"/>
    <col min="3384" max="3586" width="9.140625" style="38"/>
    <col min="3587" max="3587" width="21.42578125" style="38" customWidth="1"/>
    <col min="3588" max="3590" width="0" style="38" hidden="1" customWidth="1"/>
    <col min="3591" max="3639" width="21.42578125" style="38" customWidth="1"/>
    <col min="3640" max="3842" width="9.140625" style="38"/>
    <col min="3843" max="3843" width="21.42578125" style="38" customWidth="1"/>
    <col min="3844" max="3846" width="0" style="38" hidden="1" customWidth="1"/>
    <col min="3847" max="3895" width="21.42578125" style="38" customWidth="1"/>
    <col min="3896" max="4098" width="9.140625" style="38"/>
    <col min="4099" max="4099" width="21.42578125" style="38" customWidth="1"/>
    <col min="4100" max="4102" width="0" style="38" hidden="1" customWidth="1"/>
    <col min="4103" max="4151" width="21.42578125" style="38" customWidth="1"/>
    <col min="4152" max="4354" width="9.140625" style="38"/>
    <col min="4355" max="4355" width="21.42578125" style="38" customWidth="1"/>
    <col min="4356" max="4358" width="0" style="38" hidden="1" customWidth="1"/>
    <col min="4359" max="4407" width="21.42578125" style="38" customWidth="1"/>
    <col min="4408" max="4610" width="9.140625" style="38"/>
    <col min="4611" max="4611" width="21.42578125" style="38" customWidth="1"/>
    <col min="4612" max="4614" width="0" style="38" hidden="1" customWidth="1"/>
    <col min="4615" max="4663" width="21.42578125" style="38" customWidth="1"/>
    <col min="4664" max="4866" width="9.140625" style="38"/>
    <col min="4867" max="4867" width="21.42578125" style="38" customWidth="1"/>
    <col min="4868" max="4870" width="0" style="38" hidden="1" customWidth="1"/>
    <col min="4871" max="4919" width="21.42578125" style="38" customWidth="1"/>
    <col min="4920" max="5122" width="9.140625" style="38"/>
    <col min="5123" max="5123" width="21.42578125" style="38" customWidth="1"/>
    <col min="5124" max="5126" width="0" style="38" hidden="1" customWidth="1"/>
    <col min="5127" max="5175" width="21.42578125" style="38" customWidth="1"/>
    <col min="5176" max="5378" width="9.140625" style="38"/>
    <col min="5379" max="5379" width="21.42578125" style="38" customWidth="1"/>
    <col min="5380" max="5382" width="0" style="38" hidden="1" customWidth="1"/>
    <col min="5383" max="5431" width="21.42578125" style="38" customWidth="1"/>
    <col min="5432" max="5634" width="9.140625" style="38"/>
    <col min="5635" max="5635" width="21.42578125" style="38" customWidth="1"/>
    <col min="5636" max="5638" width="0" style="38" hidden="1" customWidth="1"/>
    <col min="5639" max="5687" width="21.42578125" style="38" customWidth="1"/>
    <col min="5688" max="5890" width="9.140625" style="38"/>
    <col min="5891" max="5891" width="21.42578125" style="38" customWidth="1"/>
    <col min="5892" max="5894" width="0" style="38" hidden="1" customWidth="1"/>
    <col min="5895" max="5943" width="21.42578125" style="38" customWidth="1"/>
    <col min="5944" max="6146" width="9.140625" style="38"/>
    <col min="6147" max="6147" width="21.42578125" style="38" customWidth="1"/>
    <col min="6148" max="6150" width="0" style="38" hidden="1" customWidth="1"/>
    <col min="6151" max="6199" width="21.42578125" style="38" customWidth="1"/>
    <col min="6200" max="6402" width="9.140625" style="38"/>
    <col min="6403" max="6403" width="21.42578125" style="38" customWidth="1"/>
    <col min="6404" max="6406" width="0" style="38" hidden="1" customWidth="1"/>
    <col min="6407" max="6455" width="21.42578125" style="38" customWidth="1"/>
    <col min="6456" max="6658" width="9.140625" style="38"/>
    <col min="6659" max="6659" width="21.42578125" style="38" customWidth="1"/>
    <col min="6660" max="6662" width="0" style="38" hidden="1" customWidth="1"/>
    <col min="6663" max="6711" width="21.42578125" style="38" customWidth="1"/>
    <col min="6712" max="6914" width="9.140625" style="38"/>
    <col min="6915" max="6915" width="21.42578125" style="38" customWidth="1"/>
    <col min="6916" max="6918" width="0" style="38" hidden="1" customWidth="1"/>
    <col min="6919" max="6967" width="21.42578125" style="38" customWidth="1"/>
    <col min="6968" max="7170" width="9.140625" style="38"/>
    <col min="7171" max="7171" width="21.42578125" style="38" customWidth="1"/>
    <col min="7172" max="7174" width="0" style="38" hidden="1" customWidth="1"/>
    <col min="7175" max="7223" width="21.42578125" style="38" customWidth="1"/>
    <col min="7224" max="7426" width="9.140625" style="38"/>
    <col min="7427" max="7427" width="21.42578125" style="38" customWidth="1"/>
    <col min="7428" max="7430" width="0" style="38" hidden="1" customWidth="1"/>
    <col min="7431" max="7479" width="21.42578125" style="38" customWidth="1"/>
    <col min="7480" max="7682" width="9.140625" style="38"/>
    <col min="7683" max="7683" width="21.42578125" style="38" customWidth="1"/>
    <col min="7684" max="7686" width="0" style="38" hidden="1" customWidth="1"/>
    <col min="7687" max="7735" width="21.42578125" style="38" customWidth="1"/>
    <col min="7736" max="7938" width="9.140625" style="38"/>
    <col min="7939" max="7939" width="21.42578125" style="38" customWidth="1"/>
    <col min="7940" max="7942" width="0" style="38" hidden="1" customWidth="1"/>
    <col min="7943" max="7991" width="21.42578125" style="38" customWidth="1"/>
    <col min="7992" max="8194" width="9.140625" style="38"/>
    <col min="8195" max="8195" width="21.42578125" style="38" customWidth="1"/>
    <col min="8196" max="8198" width="0" style="38" hidden="1" customWidth="1"/>
    <col min="8199" max="8247" width="21.42578125" style="38" customWidth="1"/>
    <col min="8248" max="8450" width="9.140625" style="38"/>
    <col min="8451" max="8451" width="21.42578125" style="38" customWidth="1"/>
    <col min="8452" max="8454" width="0" style="38" hidden="1" customWidth="1"/>
    <col min="8455" max="8503" width="21.42578125" style="38" customWidth="1"/>
    <col min="8504" max="8706" width="9.140625" style="38"/>
    <col min="8707" max="8707" width="21.42578125" style="38" customWidth="1"/>
    <col min="8708" max="8710" width="0" style="38" hidden="1" customWidth="1"/>
    <col min="8711" max="8759" width="21.42578125" style="38" customWidth="1"/>
    <col min="8760" max="8962" width="9.140625" style="38"/>
    <col min="8963" max="8963" width="21.42578125" style="38" customWidth="1"/>
    <col min="8964" max="8966" width="0" style="38" hidden="1" customWidth="1"/>
    <col min="8967" max="9015" width="21.42578125" style="38" customWidth="1"/>
    <col min="9016" max="9218" width="9.140625" style="38"/>
    <col min="9219" max="9219" width="21.42578125" style="38" customWidth="1"/>
    <col min="9220" max="9222" width="0" style="38" hidden="1" customWidth="1"/>
    <col min="9223" max="9271" width="21.42578125" style="38" customWidth="1"/>
    <col min="9272" max="9474" width="9.140625" style="38"/>
    <col min="9475" max="9475" width="21.42578125" style="38" customWidth="1"/>
    <col min="9476" max="9478" width="0" style="38" hidden="1" customWidth="1"/>
    <col min="9479" max="9527" width="21.42578125" style="38" customWidth="1"/>
    <col min="9528" max="9730" width="9.140625" style="38"/>
    <col min="9731" max="9731" width="21.42578125" style="38" customWidth="1"/>
    <col min="9732" max="9734" width="0" style="38" hidden="1" customWidth="1"/>
    <col min="9735" max="9783" width="21.42578125" style="38" customWidth="1"/>
    <col min="9784" max="9986" width="9.140625" style="38"/>
    <col min="9987" max="9987" width="21.42578125" style="38" customWidth="1"/>
    <col min="9988" max="9990" width="0" style="38" hidden="1" customWidth="1"/>
    <col min="9991" max="10039" width="21.42578125" style="38" customWidth="1"/>
    <col min="10040" max="10242" width="9.140625" style="38"/>
    <col min="10243" max="10243" width="21.42578125" style="38" customWidth="1"/>
    <col min="10244" max="10246" width="0" style="38" hidden="1" customWidth="1"/>
    <col min="10247" max="10295" width="21.42578125" style="38" customWidth="1"/>
    <col min="10296" max="10498" width="9.140625" style="38"/>
    <col min="10499" max="10499" width="21.42578125" style="38" customWidth="1"/>
    <col min="10500" max="10502" width="0" style="38" hidden="1" customWidth="1"/>
    <col min="10503" max="10551" width="21.42578125" style="38" customWidth="1"/>
    <col min="10552" max="10754" width="9.140625" style="38"/>
    <col min="10755" max="10755" width="21.42578125" style="38" customWidth="1"/>
    <col min="10756" max="10758" width="0" style="38" hidden="1" customWidth="1"/>
    <col min="10759" max="10807" width="21.42578125" style="38" customWidth="1"/>
    <col min="10808" max="11010" width="9.140625" style="38"/>
    <col min="11011" max="11011" width="21.42578125" style="38" customWidth="1"/>
    <col min="11012" max="11014" width="0" style="38" hidden="1" customWidth="1"/>
    <col min="11015" max="11063" width="21.42578125" style="38" customWidth="1"/>
    <col min="11064" max="11266" width="9.140625" style="38"/>
    <col min="11267" max="11267" width="21.42578125" style="38" customWidth="1"/>
    <col min="11268" max="11270" width="0" style="38" hidden="1" customWidth="1"/>
    <col min="11271" max="11319" width="21.42578125" style="38" customWidth="1"/>
    <col min="11320" max="11522" width="9.140625" style="38"/>
    <col min="11523" max="11523" width="21.42578125" style="38" customWidth="1"/>
    <col min="11524" max="11526" width="0" style="38" hidden="1" customWidth="1"/>
    <col min="11527" max="11575" width="21.42578125" style="38" customWidth="1"/>
    <col min="11576" max="11778" width="9.140625" style="38"/>
    <col min="11779" max="11779" width="21.42578125" style="38" customWidth="1"/>
    <col min="11780" max="11782" width="0" style="38" hidden="1" customWidth="1"/>
    <col min="11783" max="11831" width="21.42578125" style="38" customWidth="1"/>
    <col min="11832" max="12034" width="9.140625" style="38"/>
    <col min="12035" max="12035" width="21.42578125" style="38" customWidth="1"/>
    <col min="12036" max="12038" width="0" style="38" hidden="1" customWidth="1"/>
    <col min="12039" max="12087" width="21.42578125" style="38" customWidth="1"/>
    <col min="12088" max="12290" width="9.140625" style="38"/>
    <col min="12291" max="12291" width="21.42578125" style="38" customWidth="1"/>
    <col min="12292" max="12294" width="0" style="38" hidden="1" customWidth="1"/>
    <col min="12295" max="12343" width="21.42578125" style="38" customWidth="1"/>
    <col min="12344" max="12546" width="9.140625" style="38"/>
    <col min="12547" max="12547" width="21.42578125" style="38" customWidth="1"/>
    <col min="12548" max="12550" width="0" style="38" hidden="1" customWidth="1"/>
    <col min="12551" max="12599" width="21.42578125" style="38" customWidth="1"/>
    <col min="12600" max="12802" width="9.140625" style="38"/>
    <col min="12803" max="12803" width="21.42578125" style="38" customWidth="1"/>
    <col min="12804" max="12806" width="0" style="38" hidden="1" customWidth="1"/>
    <col min="12807" max="12855" width="21.42578125" style="38" customWidth="1"/>
    <col min="12856" max="13058" width="9.140625" style="38"/>
    <col min="13059" max="13059" width="21.42578125" style="38" customWidth="1"/>
    <col min="13060" max="13062" width="0" style="38" hidden="1" customWidth="1"/>
    <col min="13063" max="13111" width="21.42578125" style="38" customWidth="1"/>
    <col min="13112" max="13314" width="9.140625" style="38"/>
    <col min="13315" max="13315" width="21.42578125" style="38" customWidth="1"/>
    <col min="13316" max="13318" width="0" style="38" hidden="1" customWidth="1"/>
    <col min="13319" max="13367" width="21.42578125" style="38" customWidth="1"/>
    <col min="13368" max="13570" width="9.140625" style="38"/>
    <col min="13571" max="13571" width="21.42578125" style="38" customWidth="1"/>
    <col min="13572" max="13574" width="0" style="38" hidden="1" customWidth="1"/>
    <col min="13575" max="13623" width="21.42578125" style="38" customWidth="1"/>
    <col min="13624" max="13826" width="9.140625" style="38"/>
    <col min="13827" max="13827" width="21.42578125" style="38" customWidth="1"/>
    <col min="13828" max="13830" width="0" style="38" hidden="1" customWidth="1"/>
    <col min="13831" max="13879" width="21.42578125" style="38" customWidth="1"/>
    <col min="13880" max="14082" width="9.140625" style="38"/>
    <col min="14083" max="14083" width="21.42578125" style="38" customWidth="1"/>
    <col min="14084" max="14086" width="0" style="38" hidden="1" customWidth="1"/>
    <col min="14087" max="14135" width="21.42578125" style="38" customWidth="1"/>
    <col min="14136" max="14338" width="9.140625" style="38"/>
    <col min="14339" max="14339" width="21.42578125" style="38" customWidth="1"/>
    <col min="14340" max="14342" width="0" style="38" hidden="1" customWidth="1"/>
    <col min="14343" max="14391" width="21.42578125" style="38" customWidth="1"/>
    <col min="14392" max="14594" width="9.140625" style="38"/>
    <col min="14595" max="14595" width="21.42578125" style="38" customWidth="1"/>
    <col min="14596" max="14598" width="0" style="38" hidden="1" customWidth="1"/>
    <col min="14599" max="14647" width="21.42578125" style="38" customWidth="1"/>
    <col min="14648" max="14850" width="9.140625" style="38"/>
    <col min="14851" max="14851" width="21.42578125" style="38" customWidth="1"/>
    <col min="14852" max="14854" width="0" style="38" hidden="1" customWidth="1"/>
    <col min="14855" max="14903" width="21.42578125" style="38" customWidth="1"/>
    <col min="14904" max="15106" width="9.140625" style="38"/>
    <col min="15107" max="15107" width="21.42578125" style="38" customWidth="1"/>
    <col min="15108" max="15110" width="0" style="38" hidden="1" customWidth="1"/>
    <col min="15111" max="15159" width="21.42578125" style="38" customWidth="1"/>
    <col min="15160" max="15362" width="9.140625" style="38"/>
    <col min="15363" max="15363" width="21.42578125" style="38" customWidth="1"/>
    <col min="15364" max="15366" width="0" style="38" hidden="1" customWidth="1"/>
    <col min="15367" max="15415" width="21.42578125" style="38" customWidth="1"/>
    <col min="15416" max="15618" width="9.140625" style="38"/>
    <col min="15619" max="15619" width="21.42578125" style="38" customWidth="1"/>
    <col min="15620" max="15622" width="0" style="38" hidden="1" customWidth="1"/>
    <col min="15623" max="15671" width="21.42578125" style="38" customWidth="1"/>
    <col min="15672" max="15874" width="9.140625" style="38"/>
    <col min="15875" max="15875" width="21.42578125" style="38" customWidth="1"/>
    <col min="15876" max="15878" width="0" style="38" hidden="1" customWidth="1"/>
    <col min="15879" max="15927" width="21.42578125" style="38" customWidth="1"/>
    <col min="15928" max="16130" width="9.140625" style="38"/>
    <col min="16131" max="16131" width="21.42578125" style="38" customWidth="1"/>
    <col min="16132" max="16134" width="0" style="38" hidden="1" customWidth="1"/>
    <col min="16135" max="16183" width="21.42578125" style="38" customWidth="1"/>
    <col min="16184" max="16384" width="9.140625" style="38"/>
  </cols>
  <sheetData>
    <row r="1" spans="1:23" x14ac:dyDescent="0.2">
      <c r="A1" s="37" t="s">
        <v>0</v>
      </c>
      <c r="B1" s="37" t="s">
        <v>13</v>
      </c>
      <c r="C1" s="37" t="s">
        <v>1</v>
      </c>
      <c r="D1" s="37" t="s">
        <v>166</v>
      </c>
      <c r="E1" s="37" t="s">
        <v>2</v>
      </c>
      <c r="F1" s="37" t="s">
        <v>5</v>
      </c>
      <c r="H1" s="45" t="s">
        <v>213</v>
      </c>
      <c r="I1" s="76">
        <f>I12</f>
        <v>0</v>
      </c>
      <c r="J1" s="37" t="s">
        <v>8</v>
      </c>
      <c r="M1" s="37" t="s">
        <v>9</v>
      </c>
      <c r="T1" s="37" t="s">
        <v>18</v>
      </c>
      <c r="V1" s="43"/>
      <c r="W1" s="37" t="s">
        <v>68</v>
      </c>
    </row>
    <row r="2" spans="1:23" x14ac:dyDescent="0.2">
      <c r="A2" s="39" t="s">
        <v>276</v>
      </c>
      <c r="B2" s="39">
        <v>1</v>
      </c>
      <c r="C2" s="44">
        <f>Inputs!G3</f>
        <v>0</v>
      </c>
      <c r="D2" s="39"/>
      <c r="E2" s="39">
        <f>Table200[[#This Row],[Recommended Task]]</f>
        <v>0</v>
      </c>
      <c r="F2" s="37" t="s">
        <v>12</v>
      </c>
      <c r="H2" s="45" t="s">
        <v>214</v>
      </c>
      <c r="I2" s="76">
        <f>COUNTIF(E2:E48,"*Tasking*")+COUNTIF(E2:E48,"*Replenishment*")+COUNTIF(E2:E48,"*Putaways*")+COUNTIF(E2:E48,"* Full Pallet*")</f>
        <v>0</v>
      </c>
      <c r="J2" s="47" t="s">
        <v>14</v>
      </c>
      <c r="K2" s="78"/>
      <c r="M2" s="37" t="s">
        <v>15</v>
      </c>
      <c r="T2" s="37" t="s">
        <v>28</v>
      </c>
      <c r="V2" s="43"/>
      <c r="W2" s="37" t="s">
        <v>32</v>
      </c>
    </row>
    <row r="3" spans="1:23" ht="15.75" customHeight="1" x14ac:dyDescent="0.25">
      <c r="A3" s="138" t="s">
        <v>223</v>
      </c>
      <c r="B3" s="39">
        <v>2</v>
      </c>
      <c r="C3" s="44">
        <f>Inputs!G4</f>
        <v>0</v>
      </c>
      <c r="D3" s="39" t="str">
        <f>IF($C3&lt;&gt;"x","",IFERROR(_xlfn.XLOOKUP($A3,'Staffing Sheet 2nd Shift'!$A:$A,'Staffing Sheet 2nd Shift'!$I:$I,""),""))</f>
        <v/>
      </c>
      <c r="E3" s="39" t="str">
        <f>Table200[[#This Row],[Recommended Task]]</f>
        <v/>
      </c>
      <c r="H3" s="45" t="s">
        <v>215</v>
      </c>
      <c r="I3" s="76">
        <f>I10</f>
        <v>0</v>
      </c>
      <c r="J3" s="47"/>
      <c r="K3" s="76"/>
      <c r="T3" s="37" t="s">
        <v>23</v>
      </c>
      <c r="V3" s="43"/>
      <c r="W3" s="37" t="s">
        <v>208</v>
      </c>
    </row>
    <row r="4" spans="1:23" x14ac:dyDescent="0.2">
      <c r="A4" s="39" t="s">
        <v>16</v>
      </c>
      <c r="B4" s="39">
        <v>1</v>
      </c>
      <c r="C4" s="44">
        <f>Inputs!G5</f>
        <v>0</v>
      </c>
      <c r="D4" s="39"/>
      <c r="E4" s="39"/>
      <c r="H4" s="45" t="s">
        <v>216</v>
      </c>
      <c r="I4" s="76">
        <f>I9</f>
        <v>0</v>
      </c>
      <c r="J4" s="48" t="s">
        <v>21</v>
      </c>
      <c r="K4" s="78"/>
      <c r="T4" s="37" t="s">
        <v>68</v>
      </c>
      <c r="V4" s="43"/>
      <c r="W4" s="37" t="s">
        <v>23</v>
      </c>
    </row>
    <row r="5" spans="1:23" x14ac:dyDescent="0.2">
      <c r="A5" s="39" t="s">
        <v>144</v>
      </c>
      <c r="B5" s="39">
        <v>1</v>
      </c>
      <c r="C5" s="44">
        <f>Inputs!G6</f>
        <v>0</v>
      </c>
      <c r="D5" s="39" t="str">
        <f>IF($C5&lt;&gt;"x","",IFERROR(_xlfn.XLOOKUP($A5,'Staffing sheet 1ST Shift'!$A:$A,'Staffing sheet 1ST Shift'!$I:$I,""),""))</f>
        <v/>
      </c>
      <c r="E5" s="39" t="str">
        <f>Table200[[#This Row],[Recommended Task]]</f>
        <v/>
      </c>
      <c r="H5" s="45" t="s">
        <v>217</v>
      </c>
      <c r="I5" s="77">
        <f>I15</f>
        <v>0</v>
      </c>
      <c r="J5" s="49" t="s">
        <v>26</v>
      </c>
      <c r="T5" s="37" t="s">
        <v>17</v>
      </c>
      <c r="W5" s="37" t="s">
        <v>207</v>
      </c>
    </row>
    <row r="6" spans="1:23" x14ac:dyDescent="0.2">
      <c r="A6" s="39" t="s">
        <v>190</v>
      </c>
      <c r="B6" s="39">
        <v>1</v>
      </c>
      <c r="C6" s="44">
        <f>Inputs!G7</f>
        <v>0</v>
      </c>
      <c r="D6" s="39" t="str">
        <f>IF($C6&lt;&gt;"x","",IFERROR(_xlfn.XLOOKUP($A6,'Staffing sheet 1ST Shift'!$A:$A,'Staffing sheet 1ST Shift'!$I:$I,""),""))</f>
        <v/>
      </c>
      <c r="E6" s="39" t="str">
        <f>Table200[[#This Row],[Recommended Task]]</f>
        <v/>
      </c>
      <c r="H6" s="45"/>
      <c r="I6" s="77"/>
      <c r="J6" s="48" t="s">
        <v>7</v>
      </c>
      <c r="T6" s="37" t="s">
        <v>32</v>
      </c>
      <c r="W6" s="37" t="s">
        <v>18</v>
      </c>
    </row>
    <row r="7" spans="1:23" x14ac:dyDescent="0.2">
      <c r="A7" s="39" t="s">
        <v>188</v>
      </c>
      <c r="B7" s="39">
        <v>1</v>
      </c>
      <c r="C7" s="44">
        <f>Inputs!G8</f>
        <v>0</v>
      </c>
      <c r="D7" s="39" t="str">
        <f>IF($C7&lt;&gt;"x","",IFERROR(_xlfn.XLOOKUP($A7,'Staffing sheet 1ST Shift'!$A:$A,'Staffing sheet 1ST Shift'!$I:$I,""),""))</f>
        <v/>
      </c>
      <c r="E7" s="39" t="str">
        <f>Table200[[#This Row],[Recommended Task]]</f>
        <v/>
      </c>
      <c r="H7" s="44"/>
      <c r="I7" s="77"/>
      <c r="J7" s="49" t="s">
        <v>30</v>
      </c>
      <c r="W7" s="37" t="s">
        <v>28</v>
      </c>
    </row>
    <row r="8" spans="1:23" x14ac:dyDescent="0.2">
      <c r="A8" s="140" t="s">
        <v>224</v>
      </c>
      <c r="B8" s="39">
        <v>2</v>
      </c>
      <c r="C8" s="44">
        <f>Inputs!G9</f>
        <v>0</v>
      </c>
      <c r="D8" s="39" t="str">
        <f>IF($C8&lt;&gt;"x","",IFERROR(_xlfn.XLOOKUP($A8,'Staffing Sheet 2nd Shift'!$A:$A,'Staffing Sheet 2nd Shift'!$I:$I,""),""))</f>
        <v/>
      </c>
      <c r="E8" s="39" t="str">
        <f>Table200[[#This Row],[Recommended Task]]</f>
        <v/>
      </c>
      <c r="H8" s="37" t="s">
        <v>33</v>
      </c>
      <c r="I8" s="37" t="s">
        <v>34</v>
      </c>
      <c r="J8" s="37" t="s">
        <v>35</v>
      </c>
      <c r="K8" s="37" t="s">
        <v>36</v>
      </c>
      <c r="L8" s="37" t="s">
        <v>37</v>
      </c>
      <c r="N8" s="37" t="s">
        <v>38</v>
      </c>
      <c r="O8" s="37" t="s">
        <v>39</v>
      </c>
      <c r="P8" s="37" t="s">
        <v>40</v>
      </c>
      <c r="Q8" s="37" t="s">
        <v>41</v>
      </c>
      <c r="R8" s="37" t="s">
        <v>42</v>
      </c>
      <c r="S8" s="37" t="s">
        <v>43</v>
      </c>
      <c r="T8" s="37" t="s">
        <v>44</v>
      </c>
      <c r="U8" s="37" t="s">
        <v>45</v>
      </c>
      <c r="W8" s="37" t="s">
        <v>206</v>
      </c>
    </row>
    <row r="9" spans="1:23" x14ac:dyDescent="0.25">
      <c r="A9" s="139" t="s">
        <v>225</v>
      </c>
      <c r="B9" s="39">
        <v>2</v>
      </c>
      <c r="C9" s="44">
        <f>Inputs!G10</f>
        <v>0</v>
      </c>
      <c r="D9" s="39" t="str">
        <f>IF($C9&lt;&gt;"x","",IFERROR(_xlfn.XLOOKUP($A9,'Staffing Sheet 2nd Shift'!$A:$A,'Staffing Sheet 2nd Shift'!$I:$I,""),""))</f>
        <v/>
      </c>
      <c r="E9" s="39" t="str">
        <f>Table200[[#This Row],[Recommended Task]]</f>
        <v/>
      </c>
      <c r="H9" s="40" t="s">
        <v>47</v>
      </c>
      <c r="I9" s="37">
        <f>COUNTIF(E1:E48, "Unloading")</f>
        <v>0</v>
      </c>
      <c r="K9" s="37" t="s">
        <v>48</v>
      </c>
      <c r="L9" s="42">
        <f>2</f>
        <v>2</v>
      </c>
      <c r="N9" s="42">
        <f>Table2[[#This Row],[Available Staff ]]-Table2[[#This Row],[Needed ]]</f>
        <v>-2</v>
      </c>
      <c r="O9" s="42">
        <f>Table5[[#This Row],[Workers Gap]]*I3</f>
        <v>0</v>
      </c>
      <c r="P9" s="37" t="str">
        <f t="shared" ref="P9:P15" si="0">IF(N9&lt;0,"Understaffed",IF(N9=0,"Good","Overstaffed"))</f>
        <v>Understaffed</v>
      </c>
      <c r="Q9" s="43">
        <f>ROUNDUP(Q11/2,0)</f>
        <v>0</v>
      </c>
      <c r="R9" s="37">
        <f>44*'Crew Sheet'!I3*Table2[[#This Row],[Available Staff ]]</f>
        <v>0</v>
      </c>
      <c r="S9" s="50" t="e">
        <f>Table4[[#This Row],[Expected Completed Cases]]/Table4[[#This Row],[Expected Volume]]</f>
        <v>#DIV/0!</v>
      </c>
      <c r="T9" s="50" t="str">
        <f t="shared" ref="T9:T15" si="1">IF($H9="Picking","PROTECT - PICKING BOTTLENECK",IF($P9="Understaffed","URGENT - ADD STAFF",IF(AND($P9="Overstaffed",$S9&gt;=100%),"AVAILABLE TO MOVE",IF(AND($P9="Overstaffed",$S9&lt;100%),"HIGH - DO NOT PULL","OK"))))</f>
        <v>URGENT - ADD STAFF</v>
      </c>
      <c r="U9" s="37" t="str">
        <f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10" spans="1:23" x14ac:dyDescent="0.25">
      <c r="A10" s="139" t="s">
        <v>226</v>
      </c>
      <c r="B10" s="39">
        <v>2</v>
      </c>
      <c r="C10" s="44">
        <f>Inputs!G11</f>
        <v>0</v>
      </c>
      <c r="D10" s="39" t="str">
        <f>IF($C10&lt;&gt;"x","",IFERROR(_xlfn.XLOOKUP($A10,'Staffing Sheet 2nd Shift'!$A:$A,'Staffing Sheet 2nd Shift'!$I:$I,""),""))</f>
        <v/>
      </c>
      <c r="E10" s="39" t="str">
        <f>Table200[[#This Row],[Recommended Task]]</f>
        <v/>
      </c>
      <c r="H10" s="40" t="s">
        <v>50</v>
      </c>
      <c r="I10" s="37">
        <f>COUNTIF(E2:E48, "Receiving")</f>
        <v>0</v>
      </c>
      <c r="K10" s="37" t="s">
        <v>48</v>
      </c>
      <c r="L10" s="42">
        <v>2</v>
      </c>
      <c r="N10" s="42">
        <f>Table2[[#This Row],[Available Staff ]]-Table2[[#This Row],[Needed ]]</f>
        <v>-2</v>
      </c>
      <c r="O10" s="42">
        <f>Table5[[#This Row],[Workers Gap]]*$I$3</f>
        <v>0</v>
      </c>
      <c r="P10" s="37" t="str">
        <f t="shared" si="0"/>
        <v>Understaffed</v>
      </c>
      <c r="Q10" s="43">
        <f>ROUNDUP(Q11/2,0)</f>
        <v>0</v>
      </c>
      <c r="R10" s="37">
        <f>44*I3*Table2[[#This Row],[Available Staff ]]</f>
        <v>0</v>
      </c>
      <c r="S10" s="50" t="e">
        <f>Table4[[#This Row],[Expected Completed Cases]]/Table4[[#This Row],[Expected Volume]]</f>
        <v>#DIV/0!</v>
      </c>
      <c r="T10" s="50" t="str">
        <f t="shared" si="1"/>
        <v>URGENT - ADD STAFF</v>
      </c>
      <c r="U10" s="37" t="str">
        <f t="shared" ref="U10:U15" si="2">IF(N10&lt;0,"Need "&amp;ROUND(ABS(N10),1)&amp;" more workers / "&amp;ROUND(ABS(O10),1)&amp;" labor hrs",IF(N10&gt;0,"Can move "&amp;ROUND(N10,1)&amp;" workers / "&amp;ROUND(O10,1)&amp;" labor hrs","Balanced Staffing"))</f>
        <v>Need 2 more workers / 0 labor hrs</v>
      </c>
    </row>
    <row r="11" spans="1:23" x14ac:dyDescent="0.25">
      <c r="A11" s="39" t="s">
        <v>22</v>
      </c>
      <c r="B11" s="39">
        <v>1</v>
      </c>
      <c r="C11" s="44">
        <f>Inputs!G12</f>
        <v>0</v>
      </c>
      <c r="D11" s="39" t="str">
        <f>IF($C11&lt;&gt;"x","",IFERROR(_xlfn.XLOOKUP($A11,'Staffing sheet 1ST Shift'!$A:$A,'Staffing sheet 1ST Shift'!$I:$I,""),""))</f>
        <v/>
      </c>
      <c r="E11" s="39" t="str">
        <f>Table200[[#This Row],[Recommended Task]]</f>
        <v/>
      </c>
      <c r="H11" s="40" t="s">
        <v>52</v>
      </c>
      <c r="I11" s="37">
        <f>COUNTIF(E2:E48, "Putaways")</f>
        <v>0</v>
      </c>
      <c r="K11" s="37" t="s">
        <v>48</v>
      </c>
      <c r="L11" s="42">
        <f>('Staffing Forecast'!AB13/2)/(25*Inputs!B4)</f>
        <v>0</v>
      </c>
      <c r="N11" s="42">
        <f>Table2[[#This Row],[Available Staff ]]-Table2[[#This Row],[Needed ]]</f>
        <v>0</v>
      </c>
      <c r="O11" s="42">
        <f>Table5[[#This Row],[Workers Gap]]*$I$3</f>
        <v>0</v>
      </c>
      <c r="P11" s="37" t="str">
        <f t="shared" si="0"/>
        <v>Good</v>
      </c>
      <c r="Q11" s="43">
        <f>IF(I2="1st",'Staffing Forecast'!AB13*0.52, 'Staffing Forecast'!AB13*0.48)</f>
        <v>0</v>
      </c>
      <c r="R11" s="42">
        <f>25*I3*Table2[[#This Row],[Available Staff ]]</f>
        <v>0</v>
      </c>
      <c r="S11" s="50" t="e">
        <f>Table4[[#This Row],[Expected Completed Cases]]/Table4[[#This Row],[Expected Volume]]</f>
        <v>#DIV/0!</v>
      </c>
      <c r="T11" s="50" t="e">
        <f t="shared" si="1"/>
        <v>#DIV/0!</v>
      </c>
      <c r="U11" s="37" t="str">
        <f t="shared" si="2"/>
        <v>Balanced Staffing</v>
      </c>
    </row>
    <row r="12" spans="1:23" x14ac:dyDescent="0.25">
      <c r="A12" s="39" t="s">
        <v>27</v>
      </c>
      <c r="B12" s="39">
        <v>1</v>
      </c>
      <c r="C12" s="44">
        <f>Inputs!G13</f>
        <v>0</v>
      </c>
      <c r="D12" s="39" t="str">
        <f>IF($C12&lt;&gt;"x","",IFERROR(_xlfn.XLOOKUP($A12,'Staffing sheet 1ST Shift'!$A:$A,'Staffing sheet 1ST Shift'!$I:$I,""),""))</f>
        <v/>
      </c>
      <c r="E12" s="39" t="str">
        <f>Table200[[#This Row],[Recommended Task]]</f>
        <v/>
      </c>
      <c r="H12" s="40" t="s">
        <v>10</v>
      </c>
      <c r="I12" s="37">
        <f>COUNTIF(E2:E51, "Picking")</f>
        <v>0</v>
      </c>
      <c r="K12" s="37" t="s">
        <v>54</v>
      </c>
      <c r="L12" s="42">
        <f>(Inputs!B5/(185*Inputs!B4))</f>
        <v>0</v>
      </c>
      <c r="N12" s="42">
        <f>Table2[[#This Row],[Available Staff ]]-Table2[[#This Row],[Needed ]]</f>
        <v>0</v>
      </c>
      <c r="O12" s="42">
        <f>Table5[[#This Row],[Workers Gap]]*$I$3</f>
        <v>0</v>
      </c>
      <c r="P12" s="37" t="str">
        <f t="shared" si="0"/>
        <v>Good</v>
      </c>
      <c r="Q12" s="43">
        <f>I5</f>
        <v>0</v>
      </c>
      <c r="R12" s="43">
        <f>185*'Crew Sheet'!I3*Table2[[#This Row],[Available Staff ]]</f>
        <v>0</v>
      </c>
      <c r="S12" s="50" t="e">
        <f>Table4[[#This Row],[Expected Completed Cases]]/Table4[[#This Row],[Expected Volume]]</f>
        <v>#DIV/0!</v>
      </c>
      <c r="T12" s="50" t="e">
        <f t="shared" si="1"/>
        <v>#DIV/0!</v>
      </c>
      <c r="U12" s="37" t="str">
        <f t="shared" si="2"/>
        <v>Balanced Staffing</v>
      </c>
    </row>
    <row r="13" spans="1:23" x14ac:dyDescent="0.25">
      <c r="A13" s="141" t="s">
        <v>227</v>
      </c>
      <c r="B13" s="39">
        <v>2</v>
      </c>
      <c r="C13" s="44">
        <f>Inputs!G14</f>
        <v>0</v>
      </c>
      <c r="D13" s="39" t="str">
        <f>IF($C13&lt;&gt;"x","",IFERROR(_xlfn.XLOOKUP($A13,'Staffing Sheet 2nd Shift'!$A:$A,'Staffing Sheet 2nd Shift'!$I:$I,""),""))</f>
        <v/>
      </c>
      <c r="E13" s="39" t="str">
        <f>Table200[[#This Row],[Recommended Task]]</f>
        <v/>
      </c>
      <c r="H13" s="40" t="s">
        <v>32</v>
      </c>
      <c r="I13" s="37">
        <f>COUNTIF(E2:E52, "Replenishment")</f>
        <v>0</v>
      </c>
      <c r="K13" s="37" t="s">
        <v>54</v>
      </c>
      <c r="L13" s="42">
        <f>(Inputs!B5/70)/(25*8.5)</f>
        <v>0</v>
      </c>
      <c r="N13" s="42">
        <f>Table2[[#This Row],[Available Staff ]]-Table2[[#This Row],[Needed ]]</f>
        <v>0</v>
      </c>
      <c r="O13" s="42">
        <f>Table5[[#This Row],[Workers Gap]]*$I$3</f>
        <v>0</v>
      </c>
      <c r="P13" s="37" t="str">
        <f t="shared" si="0"/>
        <v>Good</v>
      </c>
      <c r="Q13" s="43">
        <f>I5/70</f>
        <v>0</v>
      </c>
      <c r="R13" s="43">
        <f>25*I3*Table2[[#This Row],[Available Staff ]]</f>
        <v>0</v>
      </c>
      <c r="S13" s="50" t="e">
        <f>Table4[[#This Row],[Expected Completed Cases]]/Table4[[#This Row],[Expected Volume]]</f>
        <v>#DIV/0!</v>
      </c>
      <c r="T13" s="50" t="e">
        <f t="shared" si="1"/>
        <v>#DIV/0!</v>
      </c>
      <c r="U13" s="37" t="str">
        <f t="shared" si="2"/>
        <v>Balanced Staffing</v>
      </c>
    </row>
    <row r="14" spans="1:23" x14ac:dyDescent="0.25">
      <c r="A14" s="140" t="s">
        <v>228</v>
      </c>
      <c r="B14" s="39">
        <v>2</v>
      </c>
      <c r="C14" s="44">
        <f>Inputs!G15</f>
        <v>0</v>
      </c>
      <c r="D14" s="39" t="str">
        <f>IF($C14&lt;&gt;"x","",IFERROR(_xlfn.XLOOKUP($A14,'Staffing Sheet 2nd Shift'!$A:$A,'Staffing Sheet 2nd Shift'!$I:$I,""),""))</f>
        <v/>
      </c>
      <c r="E14" s="39" t="str">
        <f>Table200[[#This Row],[Recommended Task]]</f>
        <v/>
      </c>
      <c r="H14" s="40" t="s">
        <v>57</v>
      </c>
      <c r="I14" s="37">
        <f>COUNTIF(E2:E53, "Full Pallets")</f>
        <v>0</v>
      </c>
      <c r="K14" s="37" t="s">
        <v>54</v>
      </c>
      <c r="L14" s="42">
        <f>(Inputs!B6/(25*Inputs!B4))</f>
        <v>0</v>
      </c>
      <c r="N14" s="42">
        <f>Table2[[#This Row],[Available Staff ]]-Table2[[#This Row],[Needed ]]</f>
        <v>0</v>
      </c>
      <c r="O14" s="42">
        <f>Table5[[#This Row],[Workers Gap]]*$I$3</f>
        <v>0</v>
      </c>
      <c r="P14" s="37" t="str">
        <f t="shared" si="0"/>
        <v>Good</v>
      </c>
      <c r="Q14" s="43">
        <f>I6</f>
        <v>0</v>
      </c>
      <c r="R14" s="43">
        <f>25*I3*Table2[[#This Row],[Available Staff ]]</f>
        <v>0</v>
      </c>
      <c r="S14" s="50" t="e">
        <f>Table4[[#This Row],[Expected Completed Cases]]/Table4[[#This Row],[Expected Volume]]</f>
        <v>#DIV/0!</v>
      </c>
      <c r="T14" s="50" t="e">
        <f t="shared" si="1"/>
        <v>#DIV/0!</v>
      </c>
      <c r="U14" s="37" t="str">
        <f t="shared" si="2"/>
        <v>Balanced Staffing</v>
      </c>
    </row>
    <row r="15" spans="1:23" x14ac:dyDescent="0.25">
      <c r="A15" s="39" t="s">
        <v>278</v>
      </c>
      <c r="B15" s="67">
        <v>1</v>
      </c>
      <c r="C15" s="44">
        <f>Inputs!G16</f>
        <v>0</v>
      </c>
      <c r="D15" s="134" t="str">
        <f>IF($C15&lt;&gt;"x","",IFERROR(_xlfn.XLOOKUP($A15,'Staffing sheet 1ST Shift'!$A:$A,'Staffing sheet 1ST Shift'!$I:$I,""),""))</f>
        <v/>
      </c>
      <c r="E15" s="135" t="str">
        <f>Table200[[#This Row],[Recommended Task]]</f>
        <v/>
      </c>
      <c r="H15" s="40" t="s">
        <v>58</v>
      </c>
      <c r="I15" s="37">
        <f>COUNTIF(E2:E54, "Loading")</f>
        <v>0</v>
      </c>
      <c r="K15" s="37" t="s">
        <v>54</v>
      </c>
      <c r="L15" s="42">
        <f>'Staffing Forecast'!P13</f>
        <v>0</v>
      </c>
      <c r="N15" s="42">
        <f>Table2[[#This Row],[Available Staff ]]-Table2[[#This Row],[Needed ]]</f>
        <v>0</v>
      </c>
      <c r="O15" s="42">
        <f>Table5[[#This Row],[Workers Gap]]*$I$3</f>
        <v>0</v>
      </c>
      <c r="P15" s="37" t="str">
        <f t="shared" si="0"/>
        <v>Good</v>
      </c>
      <c r="Q15" s="43">
        <f>V4</f>
        <v>0</v>
      </c>
      <c r="R15" s="43">
        <f>1*I3*Table2[[#This Row],[Available Staff ]]</f>
        <v>0</v>
      </c>
      <c r="S15" s="50" t="e">
        <f>Table4[[#This Row],[Expected Completed Cases]]/Table4[[#This Row],[Expected Volume]]</f>
        <v>#DIV/0!</v>
      </c>
      <c r="T15" s="50" t="e">
        <f t="shared" si="1"/>
        <v>#DIV/0!</v>
      </c>
      <c r="U15" s="37" t="str">
        <f t="shared" si="2"/>
        <v>Balanced Staffing</v>
      </c>
    </row>
    <row r="16" spans="1:23" x14ac:dyDescent="0.2">
      <c r="A16" s="140" t="s">
        <v>229</v>
      </c>
      <c r="B16" s="39">
        <v>2</v>
      </c>
      <c r="C16" s="44">
        <f>Inputs!G17</f>
        <v>0</v>
      </c>
      <c r="D16" s="39" t="str">
        <f>IF($C16&lt;&gt;"x","",IFERROR(_xlfn.XLOOKUP($A16,'Staffing Sheet 2nd Shift'!$A:$A,'Staffing Sheet 2nd Shift'!$I:$I,""),""))</f>
        <v/>
      </c>
      <c r="E16" s="39" t="str">
        <f>Table200[[#This Row],[Recommended Task]]</f>
        <v/>
      </c>
      <c r="H16" s="37" t="s">
        <v>59</v>
      </c>
      <c r="I16" s="37">
        <f>SUM(I9:I15)</f>
        <v>0</v>
      </c>
      <c r="L16" s="42">
        <f>ROUND(SUM(L9:L15),0)</f>
        <v>4</v>
      </c>
      <c r="N16" s="42">
        <f>SUM(N9:N15)</f>
        <v>-4</v>
      </c>
      <c r="O16" s="42">
        <f>SUM(O9:O15)</f>
        <v>0</v>
      </c>
      <c r="T16" s="53"/>
    </row>
    <row r="17" spans="1:15" x14ac:dyDescent="0.25">
      <c r="A17" s="140" t="s">
        <v>230</v>
      </c>
      <c r="B17" s="39">
        <v>2</v>
      </c>
      <c r="C17" s="44">
        <f>Inputs!G18</f>
        <v>0</v>
      </c>
      <c r="D17" s="39" t="str">
        <f>IF($C17&lt;&gt;"x","",IFERROR(_xlfn.XLOOKUP($A17,'Staffing Sheet 2nd Shift'!$A:$A,'Staffing Sheet 2nd Shift'!$I:$I,""),""))</f>
        <v/>
      </c>
      <c r="E17" s="39" t="str">
        <f>Table200[[#This Row],[Recommended Task]]</f>
        <v/>
      </c>
      <c r="H17" s="46"/>
      <c r="K17" s="37" t="str">
        <f>IF(L16&gt;I16,"UnderStaffed",IF(L16=I16,"Good","Overstaffed"))</f>
        <v>UnderStaffed</v>
      </c>
    </row>
    <row r="18" spans="1:15" x14ac:dyDescent="0.2">
      <c r="A18" s="140" t="s">
        <v>231</v>
      </c>
      <c r="B18" s="39">
        <v>2</v>
      </c>
      <c r="C18" s="44">
        <f>Inputs!G19</f>
        <v>0</v>
      </c>
      <c r="D18" s="39" t="str">
        <f>IF($C18&lt;&gt;"x","",IFERROR(_xlfn.XLOOKUP($A18,'Staffing Sheet 2nd Shift'!$A:$A,'Staffing Sheet 2nd Shift'!$I:$I,""),""))</f>
        <v/>
      </c>
      <c r="E18" s="39" t="str">
        <f>Table200[[#This Row],[Recommended Task]]</f>
        <v/>
      </c>
    </row>
    <row r="19" spans="1:15" x14ac:dyDescent="0.2">
      <c r="A19" s="39" t="s">
        <v>221</v>
      </c>
      <c r="B19" s="39">
        <v>1</v>
      </c>
      <c r="C19" s="44">
        <f>Inputs!G20</f>
        <v>0</v>
      </c>
      <c r="D19" s="39" t="str">
        <f>IF($C19&lt;&gt;"x","",IFERROR(_xlfn.XLOOKUP($A19,'Staffing sheet 1ST Shift'!$A:$A,'Staffing sheet 1ST Shift'!$I:$I,""),""))</f>
        <v/>
      </c>
      <c r="E19" s="39" t="str">
        <f>Table200[[#This Row],[Recommended Task]]</f>
        <v/>
      </c>
    </row>
    <row r="20" spans="1:15" x14ac:dyDescent="0.2">
      <c r="A20" s="39" t="s">
        <v>46</v>
      </c>
      <c r="B20" s="39">
        <v>1</v>
      </c>
      <c r="C20" s="44">
        <f>Inputs!G21</f>
        <v>0</v>
      </c>
      <c r="D20" s="39"/>
      <c r="E20" s="39">
        <f>Table200[[#This Row],[Recommended Task]]</f>
        <v>0</v>
      </c>
    </row>
    <row r="21" spans="1:15" x14ac:dyDescent="0.2">
      <c r="A21" s="39" t="s">
        <v>49</v>
      </c>
      <c r="B21" s="39">
        <v>1</v>
      </c>
      <c r="C21" s="44">
        <f>Inputs!G22</f>
        <v>0</v>
      </c>
      <c r="D21" s="39" t="str">
        <f>IF($C21&lt;&gt;"x","",IFERROR(_xlfn.XLOOKUP($A21,'Staffing sheet 1ST Shift'!$A:$A,'Staffing sheet 1ST Shift'!$I:$I,""),""))</f>
        <v/>
      </c>
      <c r="E21" s="39" t="str">
        <f>Table200[[#This Row],[Recommended Task]]</f>
        <v/>
      </c>
    </row>
    <row r="22" spans="1:15" x14ac:dyDescent="0.2">
      <c r="A22" s="39" t="s">
        <v>51</v>
      </c>
      <c r="B22" s="39">
        <v>1</v>
      </c>
      <c r="C22" s="44">
        <f>Inputs!G23</f>
        <v>0</v>
      </c>
      <c r="D22" s="39" t="str">
        <f>IF($C22&lt;&gt;"x","",IFERROR(_xlfn.XLOOKUP($A22,'Staffing sheet 1ST Shift'!$A:$A,'Staffing sheet 1ST Shift'!$I:$I,""),""))</f>
        <v/>
      </c>
      <c r="E22" s="39" t="str">
        <f>Table200[[#This Row],[Recommended Task]]</f>
        <v/>
      </c>
    </row>
    <row r="23" spans="1:15" x14ac:dyDescent="0.2">
      <c r="A23" s="139" t="s">
        <v>232</v>
      </c>
      <c r="B23" s="39">
        <v>2</v>
      </c>
      <c r="C23" s="44">
        <f>Inputs!G24</f>
        <v>0</v>
      </c>
      <c r="D23" s="39" t="str">
        <f>IF($C23&lt;&gt;"x","",IFERROR(_xlfn.XLOOKUP($A23,'Staffing Sheet 2nd Shift'!$A:$A,'Staffing Sheet 2nd Shift'!$I:$I,""),""))</f>
        <v/>
      </c>
      <c r="E23" s="39" t="str">
        <f>Table200[[#This Row],[Recommended Task]]</f>
        <v/>
      </c>
      <c r="H23" s="37" t="s">
        <v>62</v>
      </c>
      <c r="K23" s="43"/>
    </row>
    <row r="24" spans="1:15" x14ac:dyDescent="0.2">
      <c r="A24" s="39" t="s">
        <v>53</v>
      </c>
      <c r="B24" s="39">
        <v>1</v>
      </c>
      <c r="C24" s="44">
        <f>Inputs!G25</f>
        <v>0</v>
      </c>
      <c r="D24" s="39" t="str">
        <f>IF($C24&lt;&gt;"x","",IFERROR(_xlfn.XLOOKUP($A24,'Staffing sheet 1ST Shift'!$A:$A,'Staffing sheet 1ST Shift'!$I:$I,""),""))</f>
        <v/>
      </c>
      <c r="E24" s="39" t="str">
        <f>Table200[[#This Row],[Recommended Task]]</f>
        <v/>
      </c>
      <c r="H24" s="37" t="s">
        <v>63</v>
      </c>
      <c r="I24" s="37" t="s">
        <v>33</v>
      </c>
      <c r="K24" s="37" t="s">
        <v>40</v>
      </c>
      <c r="L24" s="37" t="s">
        <v>64</v>
      </c>
      <c r="N24" s="37" t="s">
        <v>39</v>
      </c>
      <c r="O24" s="37" t="s">
        <v>65</v>
      </c>
    </row>
    <row r="25" spans="1:15" x14ac:dyDescent="0.2">
      <c r="A25" s="39" t="s">
        <v>55</v>
      </c>
      <c r="B25" s="39">
        <v>1</v>
      </c>
      <c r="C25" s="44">
        <f>Inputs!G26</f>
        <v>0</v>
      </c>
      <c r="D25" s="39" t="str">
        <f>IF($C25&lt;&gt;"x","",IFERROR(_xlfn.XLOOKUP($A25,'Staffing sheet 1ST Shift'!$A:$A,'Staffing sheet 1ST Shift'!$I:$I,""),""))</f>
        <v/>
      </c>
      <c r="E25" s="39" t="str">
        <f>Table200[[#This Row],[Recommended Task]]</f>
        <v/>
      </c>
      <c r="H25" s="37">
        <f>IF(L25&lt;0,RANK(N25,$N$25:$N$31,1),"")</f>
        <v>1</v>
      </c>
      <c r="I25" s="37" t="s">
        <v>47</v>
      </c>
      <c r="K25" s="37" t="str">
        <f>_xlfn.XLOOKUP(I25,$H$9:$H$15,$P$9:$P$15,"")</f>
        <v>Understaffed</v>
      </c>
      <c r="L25" s="42">
        <f>_xlfn.XLOOKUP(I25,$H$9:$H$15,$N$9:$N$15,"")</f>
        <v>-2</v>
      </c>
      <c r="N25" s="42">
        <f>_xlfn.XLOOKUP(I25,$H$9:$H$15,$O$9:$O$15,"")</f>
        <v>0</v>
      </c>
      <c r="O25" s="37" t="str">
        <f t="shared" ref="O25:O31" si="3"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26" spans="1:15" x14ac:dyDescent="0.2">
      <c r="A26" s="139" t="s">
        <v>233</v>
      </c>
      <c r="B26" s="39">
        <v>2</v>
      </c>
      <c r="C26" s="44">
        <f>Inputs!G27</f>
        <v>0</v>
      </c>
      <c r="D26" s="39" t="str">
        <f>IF($C26&lt;&gt;"x","",IFERROR(_xlfn.XLOOKUP($A26,'Staffing Sheet 2nd Shift'!$A:$A,'Staffing Sheet 2nd Shift'!$I:$I,""),""))</f>
        <v/>
      </c>
      <c r="E26" s="39" t="str">
        <f>Table200[[#This Row],[Recommended Task]]</f>
        <v/>
      </c>
      <c r="H26" s="37">
        <f t="shared" ref="H26:H31" si="4">IF(L26&lt;0,RANK(N26,$N$25:$N$31,1),"")</f>
        <v>1</v>
      </c>
      <c r="I26" s="37" t="s">
        <v>50</v>
      </c>
      <c r="K26" s="37" t="str">
        <f t="shared" ref="K26:K31" si="5">_xlfn.XLOOKUP(I26,$H$9:$H$15,$P$9:$P$15,"")</f>
        <v>Understaffed</v>
      </c>
      <c r="L26" s="42">
        <f t="shared" ref="L26" si="6">_xlfn.XLOOKUP(I26,$H$9:$H$15,$N$9:$N$15,"")</f>
        <v>-2</v>
      </c>
      <c r="N26" s="42">
        <f t="shared" ref="N26" si="7">_xlfn.XLOOKUP(I26,$H$9:$H$15,$O$9:$O$15,"")</f>
        <v>0</v>
      </c>
      <c r="O26" s="37" t="str">
        <f t="shared" si="3"/>
        <v>Need 2 more workers / 0 labor hrs</v>
      </c>
    </row>
    <row r="27" spans="1:15" x14ac:dyDescent="0.2">
      <c r="A27" s="140" t="s">
        <v>234</v>
      </c>
      <c r="B27" s="39">
        <v>2</v>
      </c>
      <c r="C27" s="44">
        <f>Inputs!G28</f>
        <v>0</v>
      </c>
      <c r="D27" s="39" t="str">
        <f>IF($C27&lt;&gt;"x","",IFERROR(_xlfn.XLOOKUP($A27,'Staffing Sheet 2nd Shift'!$A:$A,'Staffing Sheet 2nd Shift'!$I:$I,""),""))</f>
        <v/>
      </c>
      <c r="E27" s="39" t="str">
        <f>Table200[[#This Row],[Recommended Task]]</f>
        <v/>
      </c>
      <c r="H27" s="37" t="str">
        <f t="shared" si="4"/>
        <v/>
      </c>
      <c r="I27" s="37" t="s">
        <v>52</v>
      </c>
      <c r="K27" s="37" t="str">
        <f t="shared" si="5"/>
        <v>Good</v>
      </c>
      <c r="L27" s="42">
        <f>_xlfn.XLOOKUP(I27,$H$9:$H$15,$N$9:$N$15,"")</f>
        <v>0</v>
      </c>
      <c r="N27" s="42">
        <f>_xlfn.XLOOKUP(I27,$H$9:$H$15,$O$9:$O$15,"")</f>
        <v>0</v>
      </c>
      <c r="O27" s="37" t="str">
        <f t="shared" si="3"/>
        <v>Balanced Staffing</v>
      </c>
    </row>
    <row r="28" spans="1:15" x14ac:dyDescent="0.2">
      <c r="A28" s="139" t="s">
        <v>235</v>
      </c>
      <c r="B28" s="39">
        <v>2</v>
      </c>
      <c r="C28" s="44">
        <f>Inputs!G29</f>
        <v>0</v>
      </c>
      <c r="D28" s="39" t="str">
        <f>IF($C28&lt;&gt;"x","",IFERROR(_xlfn.XLOOKUP($A28,'Staffing Sheet 2nd Shift'!$A:$A,'Staffing Sheet 2nd Shift'!$I:$I,""),""))</f>
        <v/>
      </c>
      <c r="E28" s="39" t="str">
        <f>Table200[[#This Row],[Recommended Task]]</f>
        <v/>
      </c>
      <c r="H28" s="37" t="str">
        <f t="shared" si="4"/>
        <v/>
      </c>
      <c r="I28" s="37" t="s">
        <v>68</v>
      </c>
      <c r="K28" s="37" t="str">
        <f>P12</f>
        <v>Good</v>
      </c>
      <c r="L28" s="42">
        <f>N12</f>
        <v>0</v>
      </c>
      <c r="N28" s="42">
        <f>O12</f>
        <v>0</v>
      </c>
      <c r="O28" s="37" t="str">
        <f t="shared" si="3"/>
        <v>Balanced Staffing</v>
      </c>
    </row>
    <row r="29" spans="1:15" x14ac:dyDescent="0.2">
      <c r="A29" s="39" t="s">
        <v>171</v>
      </c>
      <c r="B29" s="39">
        <v>1</v>
      </c>
      <c r="C29" s="44">
        <f>Inputs!G30</f>
        <v>0</v>
      </c>
      <c r="D29" s="39" t="str">
        <f>IF($C29&lt;&gt;"x","",IFERROR(_xlfn.XLOOKUP($A29,'Staffing sheet 1ST Shift'!$A:$A,'Staffing sheet 1ST Shift'!$I:$I,""),""))</f>
        <v/>
      </c>
      <c r="E29" s="39" t="str">
        <f>Table200[[#This Row],[Recommended Task]]</f>
        <v/>
      </c>
      <c r="H29" s="37" t="str">
        <f t="shared" si="4"/>
        <v/>
      </c>
      <c r="I29" s="37" t="s">
        <v>32</v>
      </c>
      <c r="K29" s="37" t="str">
        <f t="shared" si="5"/>
        <v>Good</v>
      </c>
      <c r="L29" s="42">
        <f>_xlfn.XLOOKUP(I29,$H$9:$H$15,$N$9:$N$15,"")</f>
        <v>0</v>
      </c>
      <c r="N29" s="42">
        <f>_xlfn.XLOOKUP(I29,$H$9:$H$15,$O$9:$O$15,"")</f>
        <v>0</v>
      </c>
      <c r="O29" s="37" t="str">
        <f t="shared" si="3"/>
        <v>Balanced Staffing</v>
      </c>
    </row>
    <row r="30" spans="1:15" x14ac:dyDescent="0.2">
      <c r="A30" s="39" t="s">
        <v>56</v>
      </c>
      <c r="B30" s="39">
        <v>1</v>
      </c>
      <c r="C30" s="44">
        <f>Inputs!G31</f>
        <v>0</v>
      </c>
      <c r="D30" s="39" t="str">
        <f>IF($C30&lt;&gt;"x","",IFERROR(_xlfn.XLOOKUP($A30,'Staffing sheet 1ST Shift'!$A:$A,'Staffing sheet 1ST Shift'!$I:$I,""),""))</f>
        <v/>
      </c>
      <c r="E30" s="39" t="str">
        <f>Table200[[#This Row],[Recommended Task]]</f>
        <v/>
      </c>
      <c r="H30" s="37" t="str">
        <f t="shared" si="4"/>
        <v/>
      </c>
      <c r="I30" s="37" t="s">
        <v>57</v>
      </c>
      <c r="K30" s="37" t="str">
        <f t="shared" si="5"/>
        <v>Good</v>
      </c>
      <c r="L30" s="42">
        <f>_xlfn.XLOOKUP(I30,$H$9:$H$15,$N$9:$N$15,"")</f>
        <v>0</v>
      </c>
      <c r="N30" s="42">
        <f>_xlfn.XLOOKUP(I30,$H$9:$H$15,$O$9:$O$15,"")</f>
        <v>0</v>
      </c>
      <c r="O30" s="37" t="str">
        <f t="shared" si="3"/>
        <v>Balanced Staffing</v>
      </c>
    </row>
    <row r="31" spans="1:15" x14ac:dyDescent="0.2">
      <c r="A31" s="39" t="s">
        <v>277</v>
      </c>
      <c r="B31" s="67">
        <v>1</v>
      </c>
      <c r="C31" s="44">
        <f>Inputs!G32</f>
        <v>0</v>
      </c>
      <c r="D31" s="134" t="str">
        <f>IF($C31&lt;&gt;"x","",IFERROR(_xlfn.XLOOKUP($A31,'Staffing sheet 1ST Shift'!$A:$A,'Staffing sheet 1ST Shift'!$I:$I,""),""))</f>
        <v/>
      </c>
      <c r="E31" s="135" t="str">
        <f>Table200[[#This Row],[Recommended Task]]</f>
        <v/>
      </c>
      <c r="H31" s="37" t="str">
        <f t="shared" si="4"/>
        <v/>
      </c>
      <c r="I31" s="37" t="s">
        <v>58</v>
      </c>
      <c r="K31" s="37" t="str">
        <f t="shared" si="5"/>
        <v>Good</v>
      </c>
      <c r="L31" s="42">
        <f>_xlfn.XLOOKUP(I31,$H$9:$H$15,$N$9:$N$15,"")</f>
        <v>0</v>
      </c>
      <c r="N31" s="42">
        <f>_xlfn.XLOOKUP(I31,$H$9:$H$15,$O$9:$O$15,"")</f>
        <v>0</v>
      </c>
      <c r="O31" s="37" t="str">
        <f t="shared" si="3"/>
        <v>Balanced Staffing</v>
      </c>
    </row>
    <row r="32" spans="1:15" x14ac:dyDescent="0.2">
      <c r="A32" s="139" t="s">
        <v>236</v>
      </c>
      <c r="B32" s="39">
        <v>2</v>
      </c>
      <c r="C32" s="44">
        <f>Inputs!G33</f>
        <v>0</v>
      </c>
      <c r="D32" s="39" t="str">
        <f>IF($C32&lt;&gt;"x","",IFERROR(_xlfn.XLOOKUP($A32,'Staffing Sheet 2nd Shift'!$A:$A,'Staffing Sheet 2nd Shift'!$I:$I,""),""))</f>
        <v/>
      </c>
      <c r="E32" s="39" t="str">
        <f>Table200[[#This Row],[Recommended Task]]</f>
        <v/>
      </c>
      <c r="I32" s="38"/>
      <c r="J32" s="38"/>
      <c r="K32" s="38"/>
      <c r="L32" s="38"/>
      <c r="M32" s="38"/>
      <c r="N32" s="38"/>
      <c r="O32" s="38"/>
    </row>
    <row r="33" spans="1:5" x14ac:dyDescent="0.2">
      <c r="A33" s="139" t="s">
        <v>237</v>
      </c>
      <c r="B33" s="39">
        <v>2</v>
      </c>
      <c r="C33" s="44">
        <f>Inputs!G34</f>
        <v>0</v>
      </c>
      <c r="D33" s="39" t="str">
        <f>IF($C33&lt;&gt;"x","",IFERROR(_xlfn.XLOOKUP($A33,'Staffing Sheet 2nd Shift'!$A:$A,'Staffing Sheet 2nd Shift'!$I:$I,""),""))</f>
        <v/>
      </c>
      <c r="E33" s="39" t="str">
        <f>Table200[[#This Row],[Recommended Task]]</f>
        <v/>
      </c>
    </row>
    <row r="34" spans="1:5" x14ac:dyDescent="0.2">
      <c r="A34" s="39" t="s">
        <v>172</v>
      </c>
      <c r="B34" s="39">
        <v>1</v>
      </c>
      <c r="C34" s="44">
        <f>Inputs!G35</f>
        <v>0</v>
      </c>
      <c r="D34" s="39" t="str">
        <f>IF($C34&lt;&gt;"x","",IFERROR(_xlfn.XLOOKUP($A34,'Staffing sheet 1ST Shift'!$A:$A,'Staffing sheet 1ST Shift'!$I:$I,""),""))</f>
        <v/>
      </c>
      <c r="E34" s="39" t="str">
        <f>Table200[[#This Row],[Recommended Task]]</f>
        <v/>
      </c>
    </row>
    <row r="35" spans="1:5" x14ac:dyDescent="0.2">
      <c r="A35" s="39" t="s">
        <v>173</v>
      </c>
      <c r="B35" s="39">
        <v>1</v>
      </c>
      <c r="C35" s="44">
        <f>Inputs!G36</f>
        <v>0</v>
      </c>
      <c r="D35" s="39" t="str">
        <f>IF($C35&lt;&gt;"x","",IFERROR(_xlfn.XLOOKUP($A35,'Staffing sheet 1ST Shift'!$A:$A,'Staffing sheet 1ST Shift'!$I:$I,""),""))</f>
        <v/>
      </c>
      <c r="E35" s="39" t="str">
        <f>Table200[[#This Row],[Recommended Task]]</f>
        <v/>
      </c>
    </row>
    <row r="36" spans="1:5" x14ac:dyDescent="0.2">
      <c r="A36" s="39" t="s">
        <v>180</v>
      </c>
      <c r="B36" s="39">
        <v>1</v>
      </c>
      <c r="C36" s="44">
        <f>Inputs!G37</f>
        <v>0</v>
      </c>
      <c r="D36" s="39" t="str">
        <f>IF($C36&lt;&gt;"x","",IFERROR(_xlfn.XLOOKUP($A36,'Staffing sheet 1ST Shift'!$A:$A,'Staffing sheet 1ST Shift'!$I:$I,""),""))</f>
        <v/>
      </c>
      <c r="E36" s="39" t="str">
        <f>Table200[[#This Row],[Recommended Task]]</f>
        <v/>
      </c>
    </row>
    <row r="37" spans="1:5" x14ac:dyDescent="0.2">
      <c r="A37" s="139" t="s">
        <v>238</v>
      </c>
      <c r="B37" s="39">
        <v>2</v>
      </c>
      <c r="C37" s="44">
        <f>Inputs!G38</f>
        <v>0</v>
      </c>
      <c r="D37" s="39" t="str">
        <f>IF($C37&lt;&gt;"x","",IFERROR(_xlfn.XLOOKUP($A37,'Staffing Sheet 2nd Shift'!$A:$A,'Staffing Sheet 2nd Shift'!$I:$I,""),""))</f>
        <v/>
      </c>
      <c r="E37" s="39" t="str">
        <f>Table200[[#This Row],[Recommended Task]]</f>
        <v/>
      </c>
    </row>
    <row r="38" spans="1:5" x14ac:dyDescent="0.2">
      <c r="A38" s="139" t="s">
        <v>239</v>
      </c>
      <c r="B38" s="39">
        <v>1</v>
      </c>
      <c r="C38" s="44">
        <f>Inputs!G39</f>
        <v>0</v>
      </c>
      <c r="D38" s="39" t="str">
        <f>IF($C38&lt;&gt;"x","",IFERROR(_xlfn.XLOOKUP($A38,'Staffing Sheet 2nd Shift'!$A:$A,'Staffing Sheet 2nd Shift'!$I:$I,""),""))</f>
        <v/>
      </c>
      <c r="E38" s="39" t="str">
        <f>Table200[[#This Row],[Recommended Task]]</f>
        <v/>
      </c>
    </row>
    <row r="39" spans="1:5" x14ac:dyDescent="0.2">
      <c r="A39" s="39" t="s">
        <v>60</v>
      </c>
      <c r="B39" s="39">
        <v>1</v>
      </c>
      <c r="C39" s="44">
        <f>Inputs!G40</f>
        <v>0</v>
      </c>
      <c r="D39" s="39" t="str">
        <f>IF($C39&lt;&gt;"x","",IFERROR(_xlfn.XLOOKUP($A39,'Staffing sheet 1ST Shift'!$A:$A,'Staffing sheet 1ST Shift'!$I:$I,""),""))</f>
        <v/>
      </c>
      <c r="E39" s="39" t="str">
        <f>Table200[[#This Row],[Recommended Task]]</f>
        <v/>
      </c>
    </row>
    <row r="40" spans="1:5" x14ac:dyDescent="0.2">
      <c r="A40" s="139" t="s">
        <v>240</v>
      </c>
      <c r="B40" s="39">
        <v>2</v>
      </c>
      <c r="C40" s="44">
        <f>Inputs!G41</f>
        <v>0</v>
      </c>
      <c r="D40" s="39" t="str">
        <f>IF($C40&lt;&gt;"x","",IFERROR(_xlfn.XLOOKUP($A40,'Staffing Sheet 2nd Shift'!$A:$A,'Staffing Sheet 2nd Shift'!$I:$I,""),""))</f>
        <v/>
      </c>
      <c r="E40" s="39" t="str">
        <f>Table200[[#This Row],[Recommended Task]]</f>
        <v/>
      </c>
    </row>
    <row r="41" spans="1:5" x14ac:dyDescent="0.2">
      <c r="A41" s="39" t="s">
        <v>61</v>
      </c>
      <c r="B41" s="39">
        <v>1</v>
      </c>
      <c r="C41" s="44">
        <f>Inputs!G42</f>
        <v>0</v>
      </c>
      <c r="D41" s="39" t="str">
        <f>IF($C41&lt;&gt;"x","",IFERROR(_xlfn.XLOOKUP($A41,'Staffing sheet 1ST Shift'!$A:$A,'Staffing sheet 1ST Shift'!$I:$I,""),""))</f>
        <v/>
      </c>
      <c r="E41" s="39" t="str">
        <f>Table200[[#This Row],[Recommended Task]]</f>
        <v/>
      </c>
    </row>
    <row r="42" spans="1:5" x14ac:dyDescent="0.2">
      <c r="A42" s="39" t="s">
        <v>146</v>
      </c>
      <c r="B42" s="39">
        <v>1</v>
      </c>
      <c r="C42" s="44">
        <f>Inputs!G43</f>
        <v>0</v>
      </c>
      <c r="D42" s="39" t="str">
        <f>IF($C42&lt;&gt;"x","",IFERROR(_xlfn.XLOOKUP($A42,'Staffing sheet 1ST Shift'!$A:$A,'Staffing sheet 1ST Shift'!$I:$I,""),""))</f>
        <v/>
      </c>
      <c r="E42" s="39" t="str">
        <f>Table200[[#This Row],[Recommended Task]]</f>
        <v/>
      </c>
    </row>
    <row r="43" spans="1:5" x14ac:dyDescent="0.2">
      <c r="A43" s="39" t="s">
        <v>147</v>
      </c>
      <c r="B43" s="39">
        <v>1</v>
      </c>
      <c r="C43" s="44">
        <f>Inputs!G44</f>
        <v>0</v>
      </c>
      <c r="D43" s="39" t="str">
        <f>IF($C43&lt;&gt;"x","",IFERROR(_xlfn.XLOOKUP($A43,'Staffing sheet 1ST Shift'!$A:$A,'Staffing sheet 1ST Shift'!$I:$I,""),""))</f>
        <v/>
      </c>
      <c r="E43" s="39" t="str">
        <f>Table200[[#This Row],[Recommended Task]]</f>
        <v/>
      </c>
    </row>
    <row r="44" spans="1:5" x14ac:dyDescent="0.2">
      <c r="A44" s="140" t="s">
        <v>241</v>
      </c>
      <c r="B44" s="39">
        <v>2</v>
      </c>
      <c r="C44" s="44">
        <f>Inputs!G45</f>
        <v>0</v>
      </c>
      <c r="D44" s="39" t="str">
        <f>IF($C44&lt;&gt;"x","",IFERROR(_xlfn.XLOOKUP($A44,'Staffing Sheet 2nd Shift'!$A:$A,'Staffing Sheet 2nd Shift'!$I:$I,""),""))</f>
        <v/>
      </c>
      <c r="E44" s="39" t="str">
        <f>Table200[[#This Row],[Recommended Task]]</f>
        <v/>
      </c>
    </row>
    <row r="45" spans="1:5" x14ac:dyDescent="0.2">
      <c r="A45" s="140" t="s">
        <v>242</v>
      </c>
      <c r="B45" s="39">
        <v>2</v>
      </c>
      <c r="C45" s="44">
        <f>Inputs!G46</f>
        <v>0</v>
      </c>
      <c r="D45" s="39" t="str">
        <f>IF($C45&lt;&gt;"x","",IFERROR(_xlfn.XLOOKUP($A45,'Staffing Sheet 2nd Shift'!$A:$A,'Staffing Sheet 2nd Shift'!$I:$I,""),""))</f>
        <v/>
      </c>
      <c r="E45" s="39" t="str">
        <f>Table200[[#This Row],[Recommended Task]]</f>
        <v/>
      </c>
    </row>
    <row r="46" spans="1:5" x14ac:dyDescent="0.2">
      <c r="A46" s="139" t="s">
        <v>243</v>
      </c>
      <c r="B46" s="39">
        <v>2</v>
      </c>
      <c r="C46" s="44">
        <f>Inputs!G47</f>
        <v>0</v>
      </c>
      <c r="D46" s="39" t="str">
        <f>IF($C46&lt;&gt;"x","",IFERROR(_xlfn.XLOOKUP($A46,'Staffing Sheet 2nd Shift'!$A:$A,'Staffing Sheet 2nd Shift'!$I:$I,""),""))</f>
        <v/>
      </c>
      <c r="E46" s="39" t="str">
        <f>Table200[[#This Row],[Recommended Task]]</f>
        <v/>
      </c>
    </row>
    <row r="47" spans="1:5" x14ac:dyDescent="0.2">
      <c r="A47" s="140" t="s">
        <v>244</v>
      </c>
      <c r="B47" s="39">
        <v>2</v>
      </c>
      <c r="C47" s="44">
        <f>Inputs!G48</f>
        <v>0</v>
      </c>
      <c r="D47" s="39" t="str">
        <f>IF($C47&lt;&gt;"x","",IFERROR(_xlfn.XLOOKUP($A47,'Staffing Sheet 2nd Shift'!$A:$A,'Staffing Sheet 2nd Shift'!$I:$I,""),""))</f>
        <v/>
      </c>
      <c r="E47" s="39" t="str">
        <f>Table200[[#This Row],[Recommended Task]]</f>
        <v/>
      </c>
    </row>
    <row r="48" spans="1:5" x14ac:dyDescent="0.2">
      <c r="A48" s="39" t="s">
        <v>203</v>
      </c>
      <c r="B48" s="39">
        <v>1</v>
      </c>
      <c r="C48" s="44">
        <f>Inputs!G49</f>
        <v>0</v>
      </c>
      <c r="D48" s="39" t="str">
        <f>IF($C48&lt;&gt;"x","",IFERROR(_xlfn.XLOOKUP($A48,'Staffing sheet 1ST Shift'!$A:$A,'Staffing sheet 1ST Shift'!$I:$I,""),""))</f>
        <v/>
      </c>
      <c r="E48" s="39" t="str">
        <f>Table200[[#This Row],[Recommended Task]]</f>
        <v/>
      </c>
    </row>
    <row r="49" spans="1:5" x14ac:dyDescent="0.2">
      <c r="A49" s="140" t="s">
        <v>245</v>
      </c>
      <c r="B49" s="39">
        <v>2</v>
      </c>
      <c r="C49" s="44">
        <f>Inputs!G50</f>
        <v>0</v>
      </c>
      <c r="D49" s="39" t="str">
        <f>IF($C49&lt;&gt;"x","",IFERROR(_xlfn.XLOOKUP($A49,'Staffing Sheet 2nd Shift'!$A:$A,'Staffing Sheet 2nd Shift'!$I:$I,""),""))</f>
        <v/>
      </c>
      <c r="E49" s="39" t="str">
        <f>Table200[[#This Row],[Recommended Task]]</f>
        <v/>
      </c>
    </row>
    <row r="50" spans="1:5" x14ac:dyDescent="0.2">
      <c r="A50" s="140" t="s">
        <v>246</v>
      </c>
      <c r="B50" s="39">
        <v>2</v>
      </c>
      <c r="C50" s="44">
        <f>Inputs!G51</f>
        <v>0</v>
      </c>
      <c r="D50" s="39" t="str">
        <f>IF($C50&lt;&gt;"x","",IFERROR(_xlfn.XLOOKUP($A50,'Staffing Sheet 2nd Shift'!$A:$A,'Staffing Sheet 2nd Shift'!$I:$I,""),""))</f>
        <v/>
      </c>
      <c r="E50" s="39" t="str">
        <f>Table200[[#This Row],[Recommended Task]]</f>
        <v/>
      </c>
    </row>
    <row r="51" spans="1:5" ht="15.75" customHeight="1" x14ac:dyDescent="0.2">
      <c r="A51" s="110" t="s">
        <v>247</v>
      </c>
      <c r="B51" s="39">
        <v>2</v>
      </c>
      <c r="C51" s="44">
        <f>Inputs!G52</f>
        <v>0</v>
      </c>
      <c r="D51" s="39" t="str">
        <f>IF($C51&lt;&gt;"x","",IFERROR(_xlfn.XLOOKUP($A51,'Staffing Sheet 2nd Shift'!$A:$A,'Staffing Sheet 2nd Shift'!$I:$I,""),""))</f>
        <v/>
      </c>
      <c r="E51" s="39" t="str">
        <f>Table200[[#This Row],[Recommended Task]]</f>
        <v/>
      </c>
    </row>
    <row r="52" spans="1:5" x14ac:dyDescent="0.2">
      <c r="A52" s="107" t="s">
        <v>66</v>
      </c>
      <c r="B52" s="39">
        <v>1</v>
      </c>
      <c r="C52" s="44">
        <f>Inputs!G53</f>
        <v>0</v>
      </c>
      <c r="D52" s="39" t="str">
        <f>IF($C52&lt;&gt;"x","",IFERROR(_xlfn.XLOOKUP($A52,'Staffing sheet 1ST Shift'!$A:$A,'Staffing sheet 1ST Shift'!$I:$I,""),""))</f>
        <v/>
      </c>
      <c r="E52" s="39" t="str">
        <f>Table200[[#This Row],[Recommended Task]]</f>
        <v/>
      </c>
    </row>
    <row r="53" spans="1:5" x14ac:dyDescent="0.2">
      <c r="A53" s="107" t="s">
        <v>222</v>
      </c>
      <c r="B53" s="39">
        <v>1</v>
      </c>
      <c r="C53" s="44">
        <f>Inputs!G54</f>
        <v>0</v>
      </c>
      <c r="D53" s="39" t="str">
        <f>IF($C53&lt;&gt;"x","",IFERROR(_xlfn.XLOOKUP($A53,'Staffing sheet 1ST Shift'!$A:$A,'Staffing sheet 1ST Shift'!$I:$I,""),""))</f>
        <v/>
      </c>
      <c r="E53" s="39" t="str">
        <f>Table200[[#This Row],[Recommended Task]]</f>
        <v/>
      </c>
    </row>
    <row r="54" spans="1:5" x14ac:dyDescent="0.2">
      <c r="A54" s="111" t="s">
        <v>248</v>
      </c>
      <c r="B54" s="39">
        <v>2</v>
      </c>
      <c r="C54" s="44">
        <f>Inputs!G55</f>
        <v>0</v>
      </c>
      <c r="D54" s="39" t="str">
        <f>IF($C54&lt;&gt;"x","",IFERROR(_xlfn.XLOOKUP($A54,'Staffing Sheet 2nd Shift'!$A:$A,'Staffing Sheet 2nd Shift'!$I:$I,""),""))</f>
        <v/>
      </c>
      <c r="E54" s="39" t="str">
        <f>Table200[[#This Row],[Recommended Task]]</f>
        <v/>
      </c>
    </row>
    <row r="55" spans="1:5" ht="15.75" customHeight="1" x14ac:dyDescent="0.25">
      <c r="A55" s="109" t="s">
        <v>249</v>
      </c>
      <c r="B55" s="39">
        <v>2</v>
      </c>
      <c r="C55" s="44">
        <f>Inputs!G56</f>
        <v>0</v>
      </c>
      <c r="D55" s="39" t="str">
        <f>IF($C55&lt;&gt;"x","",IFERROR(_xlfn.XLOOKUP($A55,'Staffing Sheet 2nd Shift'!$A:$A,'Staffing Sheet 2nd Shift'!$I:$I,""),""))</f>
        <v/>
      </c>
      <c r="E55" s="39" t="str">
        <f>Table200[[#This Row],[Recommended Task]]</f>
        <v/>
      </c>
    </row>
    <row r="56" spans="1:5" x14ac:dyDescent="0.2">
      <c r="A56" s="107" t="s">
        <v>174</v>
      </c>
      <c r="B56" s="39">
        <v>1</v>
      </c>
      <c r="C56" s="44">
        <f>Inputs!G57</f>
        <v>0</v>
      </c>
      <c r="D56" s="39" t="str">
        <f>IF($C56&lt;&gt;"x","",IFERROR(_xlfn.XLOOKUP($A56,'Staffing sheet 1ST Shift'!$A:$A,'Staffing sheet 1ST Shift'!$I:$I,""),""))</f>
        <v/>
      </c>
      <c r="E56" s="39" t="str">
        <f>Table200[[#This Row],[Recommended Task]]</f>
        <v/>
      </c>
    </row>
    <row r="57" spans="1:5" x14ac:dyDescent="0.2">
      <c r="A57" s="107" t="s">
        <v>183</v>
      </c>
      <c r="B57" s="39">
        <v>1</v>
      </c>
      <c r="C57" s="44">
        <f>Inputs!G58</f>
        <v>0</v>
      </c>
      <c r="D57" s="39" t="str">
        <f>IF($C57&lt;&gt;"x","",IFERROR(_xlfn.XLOOKUP($A57,'Staffing sheet 1ST Shift'!$A:$A,'Staffing sheet 1ST Shift'!$I:$I,""),""))</f>
        <v/>
      </c>
      <c r="E57" s="39" t="str">
        <f>Table200[[#This Row],[Recommended Task]]</f>
        <v/>
      </c>
    </row>
    <row r="58" spans="1:5" x14ac:dyDescent="0.2">
      <c r="A58" s="107" t="s">
        <v>202</v>
      </c>
      <c r="B58" s="39">
        <v>1</v>
      </c>
      <c r="C58" s="44">
        <f>Inputs!G59</f>
        <v>0</v>
      </c>
      <c r="D58" s="39" t="str">
        <f>IF($C58&lt;&gt;"x","",IFERROR(_xlfn.XLOOKUP($A58,'Staffing sheet 1ST Shift'!$A:$A,'Staffing sheet 1ST Shift'!$I:$I,""),""))</f>
        <v/>
      </c>
      <c r="E58" s="39" t="str">
        <f>Table200[[#This Row],[Recommended Task]]</f>
        <v/>
      </c>
    </row>
    <row r="59" spans="1:5" ht="15.75" customHeight="1" x14ac:dyDescent="0.25">
      <c r="A59" s="109" t="s">
        <v>250</v>
      </c>
      <c r="B59" s="39">
        <v>2</v>
      </c>
      <c r="C59" s="44">
        <f>Inputs!G60</f>
        <v>0</v>
      </c>
      <c r="D59" s="39" t="str">
        <f>IF($C59&lt;&gt;"x","",IFERROR(_xlfn.XLOOKUP($A59,'Staffing Sheet 2nd Shift'!$A:$A,'Staffing Sheet 2nd Shift'!$I:$I,""),""))</f>
        <v/>
      </c>
      <c r="E59" s="39" t="str">
        <f>Table200[[#This Row],[Recommended Task]]</f>
        <v/>
      </c>
    </row>
    <row r="60" spans="1:5" x14ac:dyDescent="0.2">
      <c r="A60" s="111" t="s">
        <v>251</v>
      </c>
      <c r="B60" s="39">
        <v>2</v>
      </c>
      <c r="C60" s="44">
        <f>Inputs!G61</f>
        <v>0</v>
      </c>
      <c r="D60" s="39" t="str">
        <f>IF($C60&lt;&gt;"x","",IFERROR(_xlfn.XLOOKUP($A60,'Staffing Sheet 2nd Shift'!$A:$A,'Staffing Sheet 2nd Shift'!$I:$I,""),""))</f>
        <v/>
      </c>
      <c r="E60" s="39" t="str">
        <f>Table200[[#This Row],[Recommended Task]]</f>
        <v/>
      </c>
    </row>
    <row r="61" spans="1:5" x14ac:dyDescent="0.2">
      <c r="A61" s="110" t="s">
        <v>252</v>
      </c>
      <c r="B61" s="39">
        <v>2</v>
      </c>
      <c r="C61" s="44">
        <f>Inputs!G62</f>
        <v>0</v>
      </c>
      <c r="D61" s="39" t="str">
        <f>IF($C61&lt;&gt;"x","",IFERROR(_xlfn.XLOOKUP($A61,'Staffing Sheet 2nd Shift'!$A:$A,'Staffing Sheet 2nd Shift'!$I:$I,""),""))</f>
        <v/>
      </c>
      <c r="E61" s="39" t="str">
        <f>Table200[[#This Row],[Recommended Task]]</f>
        <v/>
      </c>
    </row>
    <row r="62" spans="1:5" x14ac:dyDescent="0.2">
      <c r="A62" s="107" t="s">
        <v>181</v>
      </c>
      <c r="B62" s="39">
        <v>1</v>
      </c>
      <c r="C62" s="44">
        <f>Inputs!G63</f>
        <v>0</v>
      </c>
      <c r="D62" s="39" t="str">
        <f>IF($C62&lt;&gt;"x","",IFERROR(_xlfn.XLOOKUP($A62,'Staffing sheet 1ST Shift'!$A:$A,'Staffing sheet 1ST Shift'!$I:$I,""),""))</f>
        <v/>
      </c>
      <c r="E62" s="39" t="str">
        <f>Table200[[#This Row],[Recommended Task]]</f>
        <v/>
      </c>
    </row>
    <row r="63" spans="1:5" x14ac:dyDescent="0.2">
      <c r="A63" s="111" t="s">
        <v>253</v>
      </c>
      <c r="B63" s="39">
        <v>2</v>
      </c>
      <c r="C63" s="44">
        <f>Inputs!G64</f>
        <v>0</v>
      </c>
      <c r="D63" s="39" t="str">
        <f>IF($C63&lt;&gt;"x","",IFERROR(_xlfn.XLOOKUP($A63,'Staffing Sheet 2nd Shift'!$A:$A,'Staffing Sheet 2nd Shift'!$I:$I,""),""))</f>
        <v/>
      </c>
      <c r="E63" s="39" t="str">
        <f>Table200[[#This Row],[Recommended Task]]</f>
        <v/>
      </c>
    </row>
    <row r="64" spans="1:5" x14ac:dyDescent="0.2">
      <c r="A64" s="111" t="s">
        <v>254</v>
      </c>
      <c r="B64" s="39">
        <v>2</v>
      </c>
      <c r="C64" s="44">
        <f>Inputs!G65</f>
        <v>0</v>
      </c>
      <c r="D64" s="39" t="str">
        <f>IF($C64&lt;&gt;"x","",IFERROR(_xlfn.XLOOKUP($A64,'Staffing Sheet 2nd Shift'!$A:$A,'Staffing Sheet 2nd Shift'!$I:$I,""),""))</f>
        <v/>
      </c>
      <c r="E64" s="39" t="str">
        <f>Table200[[#This Row],[Recommended Task]]</f>
        <v/>
      </c>
    </row>
    <row r="65" spans="1:5" x14ac:dyDescent="0.2">
      <c r="A65" s="107" t="s">
        <v>145</v>
      </c>
      <c r="B65" s="39">
        <v>1</v>
      </c>
      <c r="C65" s="44">
        <f>Inputs!G66</f>
        <v>0</v>
      </c>
      <c r="D65" s="39" t="str">
        <f>IF($C65&lt;&gt;"x","",IFERROR(_xlfn.XLOOKUP($A65,'Staffing sheet 1ST Shift'!$A:$A,'Staffing sheet 1ST Shift'!$I:$I,""),""))</f>
        <v/>
      </c>
      <c r="E65" s="39" t="str">
        <f>Table200[[#This Row],[Recommended Task]]</f>
        <v/>
      </c>
    </row>
    <row r="66" spans="1:5" x14ac:dyDescent="0.2">
      <c r="A66" s="111" t="s">
        <v>255</v>
      </c>
      <c r="B66" s="39">
        <v>2</v>
      </c>
      <c r="C66" s="44">
        <f>Inputs!G67</f>
        <v>0</v>
      </c>
      <c r="D66" s="39" t="str">
        <f>IF($C66&lt;&gt;"x","",IFERROR(_xlfn.XLOOKUP($A66,'Staffing Sheet 2nd Shift'!$A:$A,'Staffing Sheet 2nd Shift'!$I:$I,""),""))</f>
        <v/>
      </c>
      <c r="E66" s="39" t="str">
        <f>Table200[[#This Row],[Recommended Task]]</f>
        <v/>
      </c>
    </row>
    <row r="67" spans="1:5" x14ac:dyDescent="0.2">
      <c r="A67" s="111" t="s">
        <v>256</v>
      </c>
      <c r="B67" s="39">
        <v>2</v>
      </c>
      <c r="C67" s="44">
        <f>Inputs!G68</f>
        <v>0</v>
      </c>
      <c r="D67" s="39" t="str">
        <f>IF($C67&lt;&gt;"x","",IFERROR(_xlfn.XLOOKUP($A67,'Staffing Sheet 2nd Shift'!$A:$A,'Staffing Sheet 2nd Shift'!$I:$I,""),""))</f>
        <v/>
      </c>
      <c r="E67" s="39" t="str">
        <f>Table200[[#This Row],[Recommended Task]]</f>
        <v/>
      </c>
    </row>
    <row r="68" spans="1:5" x14ac:dyDescent="0.2">
      <c r="A68" s="111" t="s">
        <v>257</v>
      </c>
      <c r="B68" s="39">
        <v>2</v>
      </c>
      <c r="C68" s="44">
        <f>Inputs!G69</f>
        <v>0</v>
      </c>
      <c r="D68" s="39" t="str">
        <f>IF($C68&lt;&gt;"x","",IFERROR(_xlfn.XLOOKUP($A68,'Staffing Sheet 2nd Shift'!$A:$A,'Staffing Sheet 2nd Shift'!$I:$I,""),""))</f>
        <v/>
      </c>
      <c r="E68" s="39" t="str">
        <f>Table200[[#This Row],[Recommended Task]]</f>
        <v/>
      </c>
    </row>
    <row r="69" spans="1:5" x14ac:dyDescent="0.2">
      <c r="A69" s="107" t="s">
        <v>163</v>
      </c>
      <c r="B69" s="39">
        <v>1</v>
      </c>
      <c r="C69" s="44">
        <f>Inputs!G70</f>
        <v>0</v>
      </c>
      <c r="D69" s="39" t="str">
        <f>IF($C69&lt;&gt;"x","",IFERROR(_xlfn.XLOOKUP($A69,'Staffing sheet 1ST Shift'!$A:$A,'Staffing sheet 1ST Shift'!$I:$I,""),""))</f>
        <v/>
      </c>
      <c r="E69" s="39" t="str">
        <f>Table200[[#This Row],[Recommended Task]]</f>
        <v/>
      </c>
    </row>
    <row r="70" spans="1:5" x14ac:dyDescent="0.2">
      <c r="A70" s="107" t="s">
        <v>67</v>
      </c>
      <c r="B70" s="39">
        <v>1</v>
      </c>
      <c r="C70" s="44">
        <f>Inputs!G71</f>
        <v>0</v>
      </c>
      <c r="D70" s="39" t="str">
        <f>IF($C70&lt;&gt;"x","",IFERROR(_xlfn.XLOOKUP($A70,'Staffing sheet 1ST Shift'!$A:$A,'Staffing sheet 1ST Shift'!$I:$I,""),""))</f>
        <v/>
      </c>
      <c r="E70" s="39" t="str">
        <f>Table200[[#This Row],[Recommended Task]]</f>
        <v/>
      </c>
    </row>
    <row r="71" spans="1:5" x14ac:dyDescent="0.2">
      <c r="A71" s="107" t="s">
        <v>69</v>
      </c>
      <c r="B71" s="39">
        <v>1</v>
      </c>
      <c r="C71" s="44">
        <f>Inputs!G72</f>
        <v>0</v>
      </c>
      <c r="D71" s="39" t="str">
        <f>IF($C71&lt;&gt;"x","",IFERROR(_xlfn.XLOOKUP($A71,'Staffing sheet 1ST Shift'!$A:$A,'Staffing sheet 1ST Shift'!$I:$I,""),""))</f>
        <v/>
      </c>
      <c r="E71" s="39" t="str">
        <f>Table200[[#This Row],[Recommended Task]]</f>
        <v/>
      </c>
    </row>
    <row r="72" spans="1:5" x14ac:dyDescent="0.2">
      <c r="A72" s="107" t="s">
        <v>70</v>
      </c>
      <c r="B72" s="39">
        <v>1</v>
      </c>
      <c r="C72" s="44">
        <f>Inputs!G73</f>
        <v>0</v>
      </c>
      <c r="D72" s="39" t="str">
        <f>IF($C72&lt;&gt;"x","",IFERROR(_xlfn.XLOOKUP($A72,'Staffing sheet 1ST Shift'!$A:$A,'Staffing sheet 1ST Shift'!$I:$I,""),""))</f>
        <v/>
      </c>
      <c r="E72" s="39" t="str">
        <f>Table200[[#This Row],[Recommended Task]]</f>
        <v/>
      </c>
    </row>
    <row r="73" spans="1:5" x14ac:dyDescent="0.2">
      <c r="A73" s="107" t="s">
        <v>71</v>
      </c>
      <c r="B73" s="39">
        <v>1</v>
      </c>
      <c r="C73" s="44">
        <f>Inputs!G74</f>
        <v>0</v>
      </c>
      <c r="D73" s="39" t="str">
        <f>IF($C73&lt;&gt;"x","",IFERROR(_xlfn.XLOOKUP($A73,'Staffing sheet 1ST Shift'!$A:$A,'Staffing sheet 1ST Shift'!$I:$I,""),""))</f>
        <v/>
      </c>
      <c r="E73" s="39" t="str">
        <f>Table200[[#This Row],[Recommended Task]]</f>
        <v/>
      </c>
    </row>
    <row r="74" spans="1:5" x14ac:dyDescent="0.2">
      <c r="A74" s="107" t="s">
        <v>72</v>
      </c>
      <c r="B74" s="39">
        <v>1</v>
      </c>
      <c r="C74" s="44">
        <f>Inputs!G75</f>
        <v>0</v>
      </c>
      <c r="D74" s="39" t="str">
        <f>IF($C74&lt;&gt;"x","",IFERROR(_xlfn.XLOOKUP($A74,'Staffing sheet 1ST Shift'!$A:$A,'Staffing sheet 1ST Shift'!$I:$I,""),""))</f>
        <v/>
      </c>
      <c r="E74" s="39" t="str">
        <f>Table200[[#This Row],[Recommended Task]]</f>
        <v/>
      </c>
    </row>
    <row r="75" spans="1:5" x14ac:dyDescent="0.2">
      <c r="A75" s="107" t="s">
        <v>219</v>
      </c>
      <c r="B75" s="39">
        <v>1</v>
      </c>
      <c r="C75" s="44">
        <f>Inputs!G76</f>
        <v>0</v>
      </c>
      <c r="D75" s="39" t="str">
        <f>IF($C75&lt;&gt;"x","",IFERROR(_xlfn.XLOOKUP($A75,'Staffing sheet 1ST Shift'!$A:$A,'Staffing sheet 1ST Shift'!$I:$I,""),""))</f>
        <v/>
      </c>
      <c r="E75" s="39" t="str">
        <f>Table200[[#This Row],[Recommended Task]]</f>
        <v/>
      </c>
    </row>
    <row r="76" spans="1:5" x14ac:dyDescent="0.2">
      <c r="A76" s="107" t="s">
        <v>143</v>
      </c>
      <c r="B76" s="39">
        <v>1</v>
      </c>
      <c r="C76" s="44">
        <f>Inputs!G77</f>
        <v>0</v>
      </c>
      <c r="D76" s="39" t="str">
        <f>IF($C76&lt;&gt;"x","",IFERROR(_xlfn.XLOOKUP($A76,'Staffing sheet 1ST Shift'!$A:$A,'Staffing sheet 1ST Shift'!$I:$I,""),""))</f>
        <v/>
      </c>
      <c r="E76" s="39" t="str">
        <f>Table200[[#This Row],[Recommended Task]]</f>
        <v/>
      </c>
    </row>
    <row r="77" spans="1:5" x14ac:dyDescent="0.25">
      <c r="A77" s="112" t="s">
        <v>258</v>
      </c>
      <c r="B77" s="39">
        <v>2</v>
      </c>
      <c r="C77" s="44">
        <f>Inputs!G78</f>
        <v>0</v>
      </c>
      <c r="D77" s="39" t="str">
        <f>IF($C77&lt;&gt;"x","",IFERROR(_xlfn.XLOOKUP($A77,'Staffing Sheet 2nd Shift'!$A:$A,'Staffing Sheet 2nd Shift'!$I:$I,""),""))</f>
        <v/>
      </c>
      <c r="E77" s="39" t="str">
        <f>Table200[[#This Row],[Recommended Task]]</f>
        <v/>
      </c>
    </row>
    <row r="78" spans="1:5" ht="15.75" customHeight="1" x14ac:dyDescent="0.2">
      <c r="A78" s="107" t="s">
        <v>142</v>
      </c>
      <c r="B78" s="39">
        <v>1</v>
      </c>
      <c r="C78" s="44">
        <f>Inputs!G79</f>
        <v>0</v>
      </c>
      <c r="D78" s="39" t="str">
        <f>IF($C78&lt;&gt;"x","",IFERROR(_xlfn.XLOOKUP($A78,'Staffing sheet 1ST Shift'!$A:$A,'Staffing sheet 1ST Shift'!$I:$I,""),""))</f>
        <v/>
      </c>
      <c r="E78" s="39" t="str">
        <f>Table200[[#This Row],[Recommended Task]]</f>
        <v/>
      </c>
    </row>
    <row r="79" spans="1:5" ht="15.75" customHeight="1" x14ac:dyDescent="0.25">
      <c r="A79" s="112" t="s">
        <v>259</v>
      </c>
      <c r="B79" s="39">
        <v>2</v>
      </c>
      <c r="C79" s="44">
        <f>Inputs!G80</f>
        <v>0</v>
      </c>
      <c r="D79" s="39" t="str">
        <f>IF($C79&lt;&gt;"x","",IFERROR(_xlfn.XLOOKUP($A79,'Staffing Sheet 2nd Shift'!$A:$A,'Staffing Sheet 2nd Shift'!$I:$I,""),""))</f>
        <v/>
      </c>
      <c r="E79" s="39" t="str">
        <f>Table200[[#This Row],[Recommended Task]]</f>
        <v/>
      </c>
    </row>
    <row r="80" spans="1:5" x14ac:dyDescent="0.2">
      <c r="A80" s="111" t="s">
        <v>260</v>
      </c>
      <c r="B80" s="39">
        <v>2</v>
      </c>
      <c r="C80" s="44">
        <f>Inputs!G81</f>
        <v>0</v>
      </c>
      <c r="D80" s="39" t="str">
        <f>IF($C80&lt;&gt;"x","",IFERROR(_xlfn.XLOOKUP($A80,'Staffing Sheet 2nd Shift'!$A:$A,'Staffing Sheet 2nd Shift'!$I:$I,""),""))</f>
        <v/>
      </c>
      <c r="E80" s="39" t="str">
        <f>Table200[[#This Row],[Recommended Task]]</f>
        <v/>
      </c>
    </row>
    <row r="81" spans="1:5" x14ac:dyDescent="0.2">
      <c r="A81" s="107" t="s">
        <v>176</v>
      </c>
      <c r="B81" s="39">
        <v>1</v>
      </c>
      <c r="C81" s="44">
        <f>Inputs!G82</f>
        <v>0</v>
      </c>
      <c r="D81" s="39" t="str">
        <f>IF($C81&lt;&gt;"x","",IFERROR(_xlfn.XLOOKUP($A81,'Staffing sheet 1ST Shift'!$A:$A,'Staffing sheet 1ST Shift'!$I:$I,""),""))</f>
        <v/>
      </c>
      <c r="E81" s="39" t="str">
        <f>Table200[[#This Row],[Recommended Task]]</f>
        <v/>
      </c>
    </row>
    <row r="82" spans="1:5" x14ac:dyDescent="0.2">
      <c r="A82" s="107" t="s">
        <v>177</v>
      </c>
      <c r="B82" s="39">
        <v>1</v>
      </c>
      <c r="C82" s="44">
        <f>Inputs!G83</f>
        <v>0</v>
      </c>
      <c r="D82" s="39" t="str">
        <f>IF($C82&lt;&gt;"x","",IFERROR(_xlfn.XLOOKUP($A82,'Staffing sheet 1ST Shift'!$A:$A,'Staffing sheet 1ST Shift'!$I:$I,""),""))</f>
        <v/>
      </c>
      <c r="E82" s="39" t="str">
        <f>Table200[[#This Row],[Recommended Task]]</f>
        <v/>
      </c>
    </row>
    <row r="83" spans="1:5" x14ac:dyDescent="0.2">
      <c r="A83" s="107" t="s">
        <v>73</v>
      </c>
      <c r="B83" s="39">
        <v>1</v>
      </c>
      <c r="C83" s="44">
        <f>Inputs!G84</f>
        <v>0</v>
      </c>
      <c r="D83" s="39" t="str">
        <f>IF($C83&lt;&gt;"x","",IFERROR(_xlfn.XLOOKUP($A83,'Staffing sheet 1ST Shift'!$A:$A,'Staffing sheet 1ST Shift'!$I:$I,""),""))</f>
        <v/>
      </c>
      <c r="E83" s="39" t="str">
        <f>Table200[[#This Row],[Recommended Task]]</f>
        <v/>
      </c>
    </row>
    <row r="84" spans="1:5" ht="15.75" customHeight="1" x14ac:dyDescent="0.25">
      <c r="A84" s="109" t="s">
        <v>261</v>
      </c>
      <c r="B84" s="39">
        <v>2</v>
      </c>
      <c r="C84" s="44">
        <f>Inputs!G85</f>
        <v>0</v>
      </c>
      <c r="D84" s="39" t="str">
        <f>IF($C84&lt;&gt;"x","",IFERROR(_xlfn.XLOOKUP($A84,'Staffing Sheet 2nd Shift'!$A:$A,'Staffing Sheet 2nd Shift'!$I:$I,""),""))</f>
        <v/>
      </c>
      <c r="E84" s="39" t="str">
        <f>Table200[[#This Row],[Recommended Task]]</f>
        <v/>
      </c>
    </row>
    <row r="85" spans="1:5" x14ac:dyDescent="0.2">
      <c r="A85" s="107" t="s">
        <v>178</v>
      </c>
      <c r="B85" s="39">
        <v>1</v>
      </c>
      <c r="C85" s="44">
        <f>Inputs!G86</f>
        <v>0</v>
      </c>
      <c r="D85" s="39" t="str">
        <f>IF($C85&lt;&gt;"x","",IFERROR(_xlfn.XLOOKUP($A85,'Staffing sheet 1ST Shift'!$A:$A,'Staffing sheet 1ST Shift'!$I:$I,""),""))</f>
        <v/>
      </c>
      <c r="E85" s="39" t="str">
        <f>Table200[[#This Row],[Recommended Task]]</f>
        <v/>
      </c>
    </row>
    <row r="86" spans="1:5" x14ac:dyDescent="0.25">
      <c r="A86" s="109" t="s">
        <v>262</v>
      </c>
      <c r="B86" s="39">
        <v>2</v>
      </c>
      <c r="C86" s="44">
        <f>Inputs!G87</f>
        <v>0</v>
      </c>
      <c r="D86" s="39" t="str">
        <f>IF($C86&lt;&gt;"x","",IFERROR(_xlfn.XLOOKUP($A86,'Staffing Sheet 2nd Shift'!$A:$A,'Staffing Sheet 2nd Shift'!$I:$I,""),""))</f>
        <v/>
      </c>
      <c r="E86" s="39" t="str">
        <f>Table200[[#This Row],[Recommended Task]]</f>
        <v/>
      </c>
    </row>
    <row r="87" spans="1:5" x14ac:dyDescent="0.25">
      <c r="A87" s="112" t="s">
        <v>263</v>
      </c>
      <c r="B87" s="39">
        <v>2</v>
      </c>
      <c r="C87" s="44">
        <f>Inputs!G88</f>
        <v>0</v>
      </c>
      <c r="D87" s="39" t="str">
        <f>IF($C87&lt;&gt;"x","",IFERROR(_xlfn.XLOOKUP($A87,'Staffing Sheet 2nd Shift'!$A:$A,'Staffing Sheet 2nd Shift'!$I:$I,""),""))</f>
        <v/>
      </c>
      <c r="E87" s="39" t="str">
        <f>Table200[[#This Row],[Recommended Task]]</f>
        <v/>
      </c>
    </row>
    <row r="88" spans="1:5" ht="15.75" customHeight="1" x14ac:dyDescent="0.25">
      <c r="A88" s="109" t="s">
        <v>264</v>
      </c>
      <c r="B88" s="39">
        <v>2</v>
      </c>
      <c r="C88" s="44">
        <f>Inputs!G89</f>
        <v>0</v>
      </c>
      <c r="D88" s="39" t="str">
        <f>IF($C88&lt;&gt;"x","",IFERROR(_xlfn.XLOOKUP($A88,'Staffing Sheet 2nd Shift'!$A:$A,'Staffing Sheet 2nd Shift'!$I:$I,""),""))</f>
        <v/>
      </c>
      <c r="E88" s="39" t="str">
        <f>Table200[[#This Row],[Recommended Task]]</f>
        <v/>
      </c>
    </row>
    <row r="89" spans="1:5" x14ac:dyDescent="0.25">
      <c r="A89" s="112" t="s">
        <v>265</v>
      </c>
      <c r="B89" s="39">
        <v>2</v>
      </c>
      <c r="C89" s="44">
        <f>Inputs!G90</f>
        <v>0</v>
      </c>
      <c r="D89" s="39" t="str">
        <f>IF($C89&lt;&gt;"x","",IFERROR(_xlfn.XLOOKUP($A89,'Staffing Sheet 2nd Shift'!$A:$A,'Staffing Sheet 2nd Shift'!$I:$I,""),""))</f>
        <v/>
      </c>
      <c r="E89" s="39" t="str">
        <f>Table200[[#This Row],[Recommended Task]]</f>
        <v/>
      </c>
    </row>
    <row r="90" spans="1:5" x14ac:dyDescent="0.25">
      <c r="A90" s="112" t="s">
        <v>266</v>
      </c>
      <c r="B90" s="39">
        <v>2</v>
      </c>
      <c r="C90" s="44">
        <f>Inputs!G91</f>
        <v>0</v>
      </c>
      <c r="D90" s="39" t="str">
        <f>IF($C90&lt;&gt;"x","",IFERROR(_xlfn.XLOOKUP($A90,'Staffing Sheet 2nd Shift'!$A:$A,'Staffing Sheet 2nd Shift'!$I:$I,""),""))</f>
        <v/>
      </c>
      <c r="E90" s="39" t="str">
        <f>Table200[[#This Row],[Recommended Task]]</f>
        <v/>
      </c>
    </row>
    <row r="91" spans="1:5" x14ac:dyDescent="0.25">
      <c r="A91" s="112" t="s">
        <v>267</v>
      </c>
      <c r="B91" s="39">
        <v>2</v>
      </c>
      <c r="C91" s="44">
        <f>Inputs!G92</f>
        <v>0</v>
      </c>
      <c r="D91" s="39" t="str">
        <f>IF($C91&lt;&gt;"x","",IFERROR(_xlfn.XLOOKUP($A91,'Staffing Sheet 2nd Shift'!$A:$A,'Staffing Sheet 2nd Shift'!$I:$I,""),""))</f>
        <v/>
      </c>
      <c r="E91" s="39" t="str">
        <f>Table200[[#This Row],[Recommended Task]]</f>
        <v/>
      </c>
    </row>
    <row r="92" spans="1:5" ht="15.75" customHeight="1" x14ac:dyDescent="0.2">
      <c r="A92" s="107" t="s">
        <v>74</v>
      </c>
      <c r="B92" s="39">
        <v>1</v>
      </c>
      <c r="C92" s="44">
        <f>Inputs!G93</f>
        <v>0</v>
      </c>
      <c r="D92" s="39" t="str">
        <f>IF($C92&lt;&gt;"x","",IFERROR(_xlfn.XLOOKUP($A92,'Staffing sheet 1ST Shift'!$A:$A,'Staffing sheet 1ST Shift'!$I:$I,""),""))</f>
        <v/>
      </c>
      <c r="E92" s="39" t="str">
        <f>Table200[[#This Row],[Recommended Task]]</f>
        <v/>
      </c>
    </row>
    <row r="93" spans="1:5" x14ac:dyDescent="0.25">
      <c r="A93" s="113" t="s">
        <v>268</v>
      </c>
      <c r="B93" s="39">
        <v>2</v>
      </c>
      <c r="C93" s="44">
        <f>Inputs!G94</f>
        <v>0</v>
      </c>
      <c r="D93" s="39" t="str">
        <f>IF($C93&lt;&gt;"x","",IFERROR(_xlfn.XLOOKUP($A93,'Staffing Sheet 2nd Shift'!$A:$A,'Staffing Sheet 2nd Shift'!$I:$I,""),""))</f>
        <v/>
      </c>
      <c r="E93" s="39" t="str">
        <f>Table200[[#This Row],[Recommended Task]]</f>
        <v/>
      </c>
    </row>
    <row r="94" spans="1:5" x14ac:dyDescent="0.25">
      <c r="A94" s="112" t="s">
        <v>269</v>
      </c>
      <c r="B94" s="39">
        <v>2</v>
      </c>
      <c r="C94" s="44">
        <f>Inputs!G95</f>
        <v>0</v>
      </c>
      <c r="D94" s="39" t="str">
        <f>IF($C94&lt;&gt;"x","",IFERROR(_xlfn.XLOOKUP($A94,'Staffing Sheet 2nd Shift'!$A:$A,'Staffing Sheet 2nd Shift'!$I:$I,""),""))</f>
        <v/>
      </c>
      <c r="E94" s="39" t="str">
        <f>Table200[[#This Row],[Recommended Task]]</f>
        <v/>
      </c>
    </row>
    <row r="95" spans="1:5" ht="15.75" customHeight="1" x14ac:dyDescent="0.2">
      <c r="A95" s="107" t="s">
        <v>179</v>
      </c>
      <c r="B95" s="39">
        <v>1</v>
      </c>
      <c r="C95" s="44">
        <f>Inputs!G96</f>
        <v>0</v>
      </c>
      <c r="D95" s="39" t="str">
        <f>IF($C95&lt;&gt;"x","",IFERROR(_xlfn.XLOOKUP($A95,'Staffing sheet 1ST Shift'!$A:$A,'Staffing sheet 1ST Shift'!$I:$I,""),""))</f>
        <v/>
      </c>
      <c r="E95" s="39" t="str">
        <f>Table200[[#This Row],[Recommended Task]]</f>
        <v/>
      </c>
    </row>
    <row r="96" spans="1:5" ht="15.75" customHeight="1" x14ac:dyDescent="0.2">
      <c r="A96" s="107" t="s">
        <v>220</v>
      </c>
      <c r="B96" s="39">
        <v>1</v>
      </c>
      <c r="C96" s="44">
        <f>Inputs!G97</f>
        <v>0</v>
      </c>
      <c r="D96" s="39" t="str">
        <f>IF($C96&lt;&gt;"x","",IFERROR(_xlfn.XLOOKUP($A96,'Staffing sheet 1ST Shift'!$A:$A,'Staffing sheet 1ST Shift'!$I:$I,""),""))</f>
        <v/>
      </c>
      <c r="E96" s="39" t="str">
        <f>Table200[[#This Row],[Recommended Task]]</f>
        <v/>
      </c>
    </row>
    <row r="97" spans="1:5" ht="15.75" customHeight="1" x14ac:dyDescent="0.2">
      <c r="A97" s="107" t="s">
        <v>205</v>
      </c>
      <c r="B97" s="39">
        <v>1</v>
      </c>
      <c r="C97" s="44">
        <f>Inputs!G98</f>
        <v>0</v>
      </c>
      <c r="D97" s="39" t="str">
        <f>IF($C97&lt;&gt;"x","",IFERROR(_xlfn.XLOOKUP($A97,'Staffing sheet 1ST Shift'!$A:$A,'Staffing sheet 1ST Shift'!$I:$I,""),""))</f>
        <v/>
      </c>
      <c r="E97" s="39" t="str">
        <f>Table200[[#This Row],[Recommended Task]]</f>
        <v/>
      </c>
    </row>
    <row r="98" spans="1:5" ht="15.75" customHeight="1" x14ac:dyDescent="0.2">
      <c r="A98" s="145" t="s">
        <v>279</v>
      </c>
      <c r="B98" s="67">
        <v>1</v>
      </c>
      <c r="C98" s="146">
        <f>Inputs!G99</f>
        <v>0</v>
      </c>
      <c r="D98" s="134" t="str">
        <f>IF($C98&lt;&gt;"x","",IFERROR(_xlfn.XLOOKUP($A98,'Staffing sheet 1ST Shift'!$A:$A,'Staffing sheet 1ST Shift'!$I:$I,""),""))</f>
        <v/>
      </c>
      <c r="E98" s="135" t="str">
        <f>Table200[[#This Row],[Recommended Task]]</f>
        <v/>
      </c>
    </row>
    <row r="99" spans="1:5" ht="15.75" customHeight="1" x14ac:dyDescent="0.2">
      <c r="A99" s="145"/>
      <c r="B99" s="67"/>
      <c r="C99" s="146">
        <f>Inputs!G100</f>
        <v>0</v>
      </c>
      <c r="D99" s="134" t="str">
        <f>IF($C99&lt;&gt;"x","",IFERROR(_xlfn.XLOOKUP($A99,'Staffing sheet 1ST Shift'!$A:$A,'Staffing sheet 1ST Shift'!$I:$I,""),""))</f>
        <v/>
      </c>
      <c r="E99" s="135" t="str">
        <f>Table200[[#This Row],[Recommended Task]]</f>
        <v/>
      </c>
    </row>
    <row r="100" spans="1:5" x14ac:dyDescent="0.25">
      <c r="A100" s="73"/>
      <c r="B100" s="73"/>
      <c r="C100" s="75" cm="1">
        <f t="array" ref="C100">COUNTIF(G2:G97,x)</f>
        <v>0</v>
      </c>
      <c r="D100" s="74"/>
      <c r="E100" s="11"/>
    </row>
    <row r="150" spans="3:3" x14ac:dyDescent="0.2">
      <c r="C150" s="37">
        <f>COUNTIF(C2:C48,"X")</f>
        <v>0</v>
      </c>
    </row>
  </sheetData>
  <conditionalFormatting sqref="E2:E99">
    <cfRule type="cellIs" dxfId="3" priority="1" operator="equal">
      <formula>"Tasking"</formula>
    </cfRule>
  </conditionalFormatting>
  <conditionalFormatting sqref="K17">
    <cfRule type="containsText" dxfId="2" priority="2" operator="containsText" text="Overstaffed">
      <formula>NOT(ISERROR(SEARCH("Overstaffed",K17)))</formula>
    </cfRule>
    <cfRule type="containsText" dxfId="1" priority="3" operator="containsText" text="Good">
      <formula>NOT(ISERROR(SEARCH("Good",K17)))</formula>
    </cfRule>
    <cfRule type="containsText" dxfId="0" priority="4" operator="containsText" text="Understaffed">
      <formula>NOT(ISERROR(SEARCH("Understaffed",K17)))</formula>
    </cfRule>
  </conditionalFormatting>
  <dataValidations count="4">
    <dataValidation type="list" allowBlank="1" showInputMessage="1" showErrorMessage="1" sqref="WVO983065:WVO983092 JC65561:JC65588 SY65561:SY65588 ACU65561:ACU65588 AMQ65561:AMQ65588 AWM65561:AWM65588 BGI65561:BGI65588 BQE65561:BQE65588 CAA65561:CAA65588 CJW65561:CJW65588 CTS65561:CTS65588 DDO65561:DDO65588 DNK65561:DNK65588 DXG65561:DXG65588 EHC65561:EHC65588 EQY65561:EQY65588 FAU65561:FAU65588 FKQ65561:FKQ65588 FUM65561:FUM65588 GEI65561:GEI65588 GOE65561:GOE65588 GYA65561:GYA65588 HHW65561:HHW65588 HRS65561:HRS65588 IBO65561:IBO65588 ILK65561:ILK65588 IVG65561:IVG65588 JFC65561:JFC65588 JOY65561:JOY65588 JYU65561:JYU65588 KIQ65561:KIQ65588 KSM65561:KSM65588 LCI65561:LCI65588 LME65561:LME65588 LWA65561:LWA65588 MFW65561:MFW65588 MPS65561:MPS65588 MZO65561:MZO65588 NJK65561:NJK65588 NTG65561:NTG65588 ODC65561:ODC65588 OMY65561:OMY65588 OWU65561:OWU65588 PGQ65561:PGQ65588 PQM65561:PQM65588 QAI65561:QAI65588 QKE65561:QKE65588 QUA65561:QUA65588 RDW65561:RDW65588 RNS65561:RNS65588 RXO65561:RXO65588 SHK65561:SHK65588 SRG65561:SRG65588 TBC65561:TBC65588 TKY65561:TKY65588 TUU65561:TUU65588 UEQ65561:UEQ65588 UOM65561:UOM65588 UYI65561:UYI65588 VIE65561:VIE65588 VSA65561:VSA65588 WBW65561:WBW65588 WLS65561:WLS65588 WVO65561:WVO65588 JC131097:JC131124 SY131097:SY131124 ACU131097:ACU131124 AMQ131097:AMQ131124 AWM131097:AWM131124 BGI131097:BGI131124 BQE131097:BQE131124 CAA131097:CAA131124 CJW131097:CJW131124 CTS131097:CTS131124 DDO131097:DDO131124 DNK131097:DNK131124 DXG131097:DXG131124 EHC131097:EHC131124 EQY131097:EQY131124 FAU131097:FAU131124 FKQ131097:FKQ131124 FUM131097:FUM131124 GEI131097:GEI131124 GOE131097:GOE131124 GYA131097:GYA131124 HHW131097:HHW131124 HRS131097:HRS131124 IBO131097:IBO131124 ILK131097:ILK131124 IVG131097:IVG131124 JFC131097:JFC131124 JOY131097:JOY131124 JYU131097:JYU131124 KIQ131097:KIQ131124 KSM131097:KSM131124 LCI131097:LCI131124 LME131097:LME131124 LWA131097:LWA131124 MFW131097:MFW131124 MPS131097:MPS131124 MZO131097:MZO131124 NJK131097:NJK131124 NTG131097:NTG131124 ODC131097:ODC131124 OMY131097:OMY131124 OWU131097:OWU131124 PGQ131097:PGQ131124 PQM131097:PQM131124 QAI131097:QAI131124 QKE131097:QKE131124 QUA131097:QUA131124 RDW131097:RDW131124 RNS131097:RNS131124 RXO131097:RXO131124 SHK131097:SHK131124 SRG131097:SRG131124 TBC131097:TBC131124 TKY131097:TKY131124 TUU131097:TUU131124 UEQ131097:UEQ131124 UOM131097:UOM131124 UYI131097:UYI131124 VIE131097:VIE131124 VSA131097:VSA131124 WBW131097:WBW131124 WLS131097:WLS131124 WVO131097:WVO131124 JC196633:JC196660 SY196633:SY196660 ACU196633:ACU196660 AMQ196633:AMQ196660 AWM196633:AWM196660 BGI196633:BGI196660 BQE196633:BQE196660 CAA196633:CAA196660 CJW196633:CJW196660 CTS196633:CTS196660 DDO196633:DDO196660 DNK196633:DNK196660 DXG196633:DXG196660 EHC196633:EHC196660 EQY196633:EQY196660 FAU196633:FAU196660 FKQ196633:FKQ196660 FUM196633:FUM196660 GEI196633:GEI196660 GOE196633:GOE196660 GYA196633:GYA196660 HHW196633:HHW196660 HRS196633:HRS196660 IBO196633:IBO196660 ILK196633:ILK196660 IVG196633:IVG196660 JFC196633:JFC196660 JOY196633:JOY196660 JYU196633:JYU196660 KIQ196633:KIQ196660 KSM196633:KSM196660 LCI196633:LCI196660 LME196633:LME196660 LWA196633:LWA196660 MFW196633:MFW196660 MPS196633:MPS196660 MZO196633:MZO196660 NJK196633:NJK196660 NTG196633:NTG196660 ODC196633:ODC196660 OMY196633:OMY196660 OWU196633:OWU196660 PGQ196633:PGQ196660 PQM196633:PQM196660 QAI196633:QAI196660 QKE196633:QKE196660 QUA196633:QUA196660 RDW196633:RDW196660 RNS196633:RNS196660 RXO196633:RXO196660 SHK196633:SHK196660 SRG196633:SRG196660 TBC196633:TBC196660 TKY196633:TKY196660 TUU196633:TUU196660 UEQ196633:UEQ196660 UOM196633:UOM196660 UYI196633:UYI196660 VIE196633:VIE196660 VSA196633:VSA196660 WBW196633:WBW196660 WLS196633:WLS196660 WVO196633:WVO196660 JC262169:JC262196 SY262169:SY262196 ACU262169:ACU262196 AMQ262169:AMQ262196 AWM262169:AWM262196 BGI262169:BGI262196 BQE262169:BQE262196 CAA262169:CAA262196 CJW262169:CJW262196 CTS262169:CTS262196 DDO262169:DDO262196 DNK262169:DNK262196 DXG262169:DXG262196 EHC262169:EHC262196 EQY262169:EQY262196 FAU262169:FAU262196 FKQ262169:FKQ262196 FUM262169:FUM262196 GEI262169:GEI262196 GOE262169:GOE262196 GYA262169:GYA262196 HHW262169:HHW262196 HRS262169:HRS262196 IBO262169:IBO262196 ILK262169:ILK262196 IVG262169:IVG262196 JFC262169:JFC262196 JOY262169:JOY262196 JYU262169:JYU262196 KIQ262169:KIQ262196 KSM262169:KSM262196 LCI262169:LCI262196 LME262169:LME262196 LWA262169:LWA262196 MFW262169:MFW262196 MPS262169:MPS262196 MZO262169:MZO262196 NJK262169:NJK262196 NTG262169:NTG262196 ODC262169:ODC262196 OMY262169:OMY262196 OWU262169:OWU262196 PGQ262169:PGQ262196 PQM262169:PQM262196 QAI262169:QAI262196 QKE262169:QKE262196 QUA262169:QUA262196 RDW262169:RDW262196 RNS262169:RNS262196 RXO262169:RXO262196 SHK262169:SHK262196 SRG262169:SRG262196 TBC262169:TBC262196 TKY262169:TKY262196 TUU262169:TUU262196 UEQ262169:UEQ262196 UOM262169:UOM262196 UYI262169:UYI262196 VIE262169:VIE262196 VSA262169:VSA262196 WBW262169:WBW262196 WLS262169:WLS262196 WVO262169:WVO262196 JC327705:JC327732 SY327705:SY327732 ACU327705:ACU327732 AMQ327705:AMQ327732 AWM327705:AWM327732 BGI327705:BGI327732 BQE327705:BQE327732 CAA327705:CAA327732 CJW327705:CJW327732 CTS327705:CTS327732 DDO327705:DDO327732 DNK327705:DNK327732 DXG327705:DXG327732 EHC327705:EHC327732 EQY327705:EQY327732 FAU327705:FAU327732 FKQ327705:FKQ327732 FUM327705:FUM327732 GEI327705:GEI327732 GOE327705:GOE327732 GYA327705:GYA327732 HHW327705:HHW327732 HRS327705:HRS327732 IBO327705:IBO327732 ILK327705:ILK327732 IVG327705:IVG327732 JFC327705:JFC327732 JOY327705:JOY327732 JYU327705:JYU327732 KIQ327705:KIQ327732 KSM327705:KSM327732 LCI327705:LCI327732 LME327705:LME327732 LWA327705:LWA327732 MFW327705:MFW327732 MPS327705:MPS327732 MZO327705:MZO327732 NJK327705:NJK327732 NTG327705:NTG327732 ODC327705:ODC327732 OMY327705:OMY327732 OWU327705:OWU327732 PGQ327705:PGQ327732 PQM327705:PQM327732 QAI327705:QAI327732 QKE327705:QKE327732 QUA327705:QUA327732 RDW327705:RDW327732 RNS327705:RNS327732 RXO327705:RXO327732 SHK327705:SHK327732 SRG327705:SRG327732 TBC327705:TBC327732 TKY327705:TKY327732 TUU327705:TUU327732 UEQ327705:UEQ327732 UOM327705:UOM327732 UYI327705:UYI327732 VIE327705:VIE327732 VSA327705:VSA327732 WBW327705:WBW327732 WLS327705:WLS327732 WVO327705:WVO327732 JC393241:JC393268 SY393241:SY393268 ACU393241:ACU393268 AMQ393241:AMQ393268 AWM393241:AWM393268 BGI393241:BGI393268 BQE393241:BQE393268 CAA393241:CAA393268 CJW393241:CJW393268 CTS393241:CTS393268 DDO393241:DDO393268 DNK393241:DNK393268 DXG393241:DXG393268 EHC393241:EHC393268 EQY393241:EQY393268 FAU393241:FAU393268 FKQ393241:FKQ393268 FUM393241:FUM393268 GEI393241:GEI393268 GOE393241:GOE393268 GYA393241:GYA393268 HHW393241:HHW393268 HRS393241:HRS393268 IBO393241:IBO393268 ILK393241:ILK393268 IVG393241:IVG393268 JFC393241:JFC393268 JOY393241:JOY393268 JYU393241:JYU393268 KIQ393241:KIQ393268 KSM393241:KSM393268 LCI393241:LCI393268 LME393241:LME393268 LWA393241:LWA393268 MFW393241:MFW393268 MPS393241:MPS393268 MZO393241:MZO393268 NJK393241:NJK393268 NTG393241:NTG393268 ODC393241:ODC393268 OMY393241:OMY393268 OWU393241:OWU393268 PGQ393241:PGQ393268 PQM393241:PQM393268 QAI393241:QAI393268 QKE393241:QKE393268 QUA393241:QUA393268 RDW393241:RDW393268 RNS393241:RNS393268 RXO393241:RXO393268 SHK393241:SHK393268 SRG393241:SRG393268 TBC393241:TBC393268 TKY393241:TKY393268 TUU393241:TUU393268 UEQ393241:UEQ393268 UOM393241:UOM393268 UYI393241:UYI393268 VIE393241:VIE393268 VSA393241:VSA393268 WBW393241:WBW393268 WLS393241:WLS393268 WVO393241:WVO393268 JC458777:JC458804 SY458777:SY458804 ACU458777:ACU458804 AMQ458777:AMQ458804 AWM458777:AWM458804 BGI458777:BGI458804 BQE458777:BQE458804 CAA458777:CAA458804 CJW458777:CJW458804 CTS458777:CTS458804 DDO458777:DDO458804 DNK458777:DNK458804 DXG458777:DXG458804 EHC458777:EHC458804 EQY458777:EQY458804 FAU458777:FAU458804 FKQ458777:FKQ458804 FUM458777:FUM458804 GEI458777:GEI458804 GOE458777:GOE458804 GYA458777:GYA458804 HHW458777:HHW458804 HRS458777:HRS458804 IBO458777:IBO458804 ILK458777:ILK458804 IVG458777:IVG458804 JFC458777:JFC458804 JOY458777:JOY458804 JYU458777:JYU458804 KIQ458777:KIQ458804 KSM458777:KSM458804 LCI458777:LCI458804 LME458777:LME458804 LWA458777:LWA458804 MFW458777:MFW458804 MPS458777:MPS458804 MZO458777:MZO458804 NJK458777:NJK458804 NTG458777:NTG458804 ODC458777:ODC458804 OMY458777:OMY458804 OWU458777:OWU458804 PGQ458777:PGQ458804 PQM458777:PQM458804 QAI458777:QAI458804 QKE458777:QKE458804 QUA458777:QUA458804 RDW458777:RDW458804 RNS458777:RNS458804 RXO458777:RXO458804 SHK458777:SHK458804 SRG458777:SRG458804 TBC458777:TBC458804 TKY458777:TKY458804 TUU458777:TUU458804 UEQ458777:UEQ458804 UOM458777:UOM458804 UYI458777:UYI458804 VIE458777:VIE458804 VSA458777:VSA458804 WBW458777:WBW458804 WLS458777:WLS458804 WVO458777:WVO458804 JC524313:JC524340 SY524313:SY524340 ACU524313:ACU524340 AMQ524313:AMQ524340 AWM524313:AWM524340 BGI524313:BGI524340 BQE524313:BQE524340 CAA524313:CAA524340 CJW524313:CJW524340 CTS524313:CTS524340 DDO524313:DDO524340 DNK524313:DNK524340 DXG524313:DXG524340 EHC524313:EHC524340 EQY524313:EQY524340 FAU524313:FAU524340 FKQ524313:FKQ524340 FUM524313:FUM524340 GEI524313:GEI524340 GOE524313:GOE524340 GYA524313:GYA524340 HHW524313:HHW524340 HRS524313:HRS524340 IBO524313:IBO524340 ILK524313:ILK524340 IVG524313:IVG524340 JFC524313:JFC524340 JOY524313:JOY524340 JYU524313:JYU524340 KIQ524313:KIQ524340 KSM524313:KSM524340 LCI524313:LCI524340 LME524313:LME524340 LWA524313:LWA524340 MFW524313:MFW524340 MPS524313:MPS524340 MZO524313:MZO524340 NJK524313:NJK524340 NTG524313:NTG524340 ODC524313:ODC524340 OMY524313:OMY524340 OWU524313:OWU524340 PGQ524313:PGQ524340 PQM524313:PQM524340 QAI524313:QAI524340 QKE524313:QKE524340 QUA524313:QUA524340 RDW524313:RDW524340 RNS524313:RNS524340 RXO524313:RXO524340 SHK524313:SHK524340 SRG524313:SRG524340 TBC524313:TBC524340 TKY524313:TKY524340 TUU524313:TUU524340 UEQ524313:UEQ524340 UOM524313:UOM524340 UYI524313:UYI524340 VIE524313:VIE524340 VSA524313:VSA524340 WBW524313:WBW524340 WLS524313:WLS524340 WVO524313:WVO524340 JC589849:JC589876 SY589849:SY589876 ACU589849:ACU589876 AMQ589849:AMQ589876 AWM589849:AWM589876 BGI589849:BGI589876 BQE589849:BQE589876 CAA589849:CAA589876 CJW589849:CJW589876 CTS589849:CTS589876 DDO589849:DDO589876 DNK589849:DNK589876 DXG589849:DXG589876 EHC589849:EHC589876 EQY589849:EQY589876 FAU589849:FAU589876 FKQ589849:FKQ589876 FUM589849:FUM589876 GEI589849:GEI589876 GOE589849:GOE589876 GYA589849:GYA589876 HHW589849:HHW589876 HRS589849:HRS589876 IBO589849:IBO589876 ILK589849:ILK589876 IVG589849:IVG589876 JFC589849:JFC589876 JOY589849:JOY589876 JYU589849:JYU589876 KIQ589849:KIQ589876 KSM589849:KSM589876 LCI589849:LCI589876 LME589849:LME589876 LWA589849:LWA589876 MFW589849:MFW589876 MPS589849:MPS589876 MZO589849:MZO589876 NJK589849:NJK589876 NTG589849:NTG589876 ODC589849:ODC589876 OMY589849:OMY589876 OWU589849:OWU589876 PGQ589849:PGQ589876 PQM589849:PQM589876 QAI589849:QAI589876 QKE589849:QKE589876 QUA589849:QUA589876 RDW589849:RDW589876 RNS589849:RNS589876 RXO589849:RXO589876 SHK589849:SHK589876 SRG589849:SRG589876 TBC589849:TBC589876 TKY589849:TKY589876 TUU589849:TUU589876 UEQ589849:UEQ589876 UOM589849:UOM589876 UYI589849:UYI589876 VIE589849:VIE589876 VSA589849:VSA589876 WBW589849:WBW589876 WLS589849:WLS589876 WVO589849:WVO589876 JC655385:JC655412 SY655385:SY655412 ACU655385:ACU655412 AMQ655385:AMQ655412 AWM655385:AWM655412 BGI655385:BGI655412 BQE655385:BQE655412 CAA655385:CAA655412 CJW655385:CJW655412 CTS655385:CTS655412 DDO655385:DDO655412 DNK655385:DNK655412 DXG655385:DXG655412 EHC655385:EHC655412 EQY655385:EQY655412 FAU655385:FAU655412 FKQ655385:FKQ655412 FUM655385:FUM655412 GEI655385:GEI655412 GOE655385:GOE655412 GYA655385:GYA655412 HHW655385:HHW655412 HRS655385:HRS655412 IBO655385:IBO655412 ILK655385:ILK655412 IVG655385:IVG655412 JFC655385:JFC655412 JOY655385:JOY655412 JYU655385:JYU655412 KIQ655385:KIQ655412 KSM655385:KSM655412 LCI655385:LCI655412 LME655385:LME655412 LWA655385:LWA655412 MFW655385:MFW655412 MPS655385:MPS655412 MZO655385:MZO655412 NJK655385:NJK655412 NTG655385:NTG655412 ODC655385:ODC655412 OMY655385:OMY655412 OWU655385:OWU655412 PGQ655385:PGQ655412 PQM655385:PQM655412 QAI655385:QAI655412 QKE655385:QKE655412 QUA655385:QUA655412 RDW655385:RDW655412 RNS655385:RNS655412 RXO655385:RXO655412 SHK655385:SHK655412 SRG655385:SRG655412 TBC655385:TBC655412 TKY655385:TKY655412 TUU655385:TUU655412 UEQ655385:UEQ655412 UOM655385:UOM655412 UYI655385:UYI655412 VIE655385:VIE655412 VSA655385:VSA655412 WBW655385:WBW655412 WLS655385:WLS655412 WVO655385:WVO655412 JC720921:JC720948 SY720921:SY720948 ACU720921:ACU720948 AMQ720921:AMQ720948 AWM720921:AWM720948 BGI720921:BGI720948 BQE720921:BQE720948 CAA720921:CAA720948 CJW720921:CJW720948 CTS720921:CTS720948 DDO720921:DDO720948 DNK720921:DNK720948 DXG720921:DXG720948 EHC720921:EHC720948 EQY720921:EQY720948 FAU720921:FAU720948 FKQ720921:FKQ720948 FUM720921:FUM720948 GEI720921:GEI720948 GOE720921:GOE720948 GYA720921:GYA720948 HHW720921:HHW720948 HRS720921:HRS720948 IBO720921:IBO720948 ILK720921:ILK720948 IVG720921:IVG720948 JFC720921:JFC720948 JOY720921:JOY720948 JYU720921:JYU720948 KIQ720921:KIQ720948 KSM720921:KSM720948 LCI720921:LCI720948 LME720921:LME720948 LWA720921:LWA720948 MFW720921:MFW720948 MPS720921:MPS720948 MZO720921:MZO720948 NJK720921:NJK720948 NTG720921:NTG720948 ODC720921:ODC720948 OMY720921:OMY720948 OWU720921:OWU720948 PGQ720921:PGQ720948 PQM720921:PQM720948 QAI720921:QAI720948 QKE720921:QKE720948 QUA720921:QUA720948 RDW720921:RDW720948 RNS720921:RNS720948 RXO720921:RXO720948 SHK720921:SHK720948 SRG720921:SRG720948 TBC720921:TBC720948 TKY720921:TKY720948 TUU720921:TUU720948 UEQ720921:UEQ720948 UOM720921:UOM720948 UYI720921:UYI720948 VIE720921:VIE720948 VSA720921:VSA720948 WBW720921:WBW720948 WLS720921:WLS720948 WVO720921:WVO720948 JC786457:JC786484 SY786457:SY786484 ACU786457:ACU786484 AMQ786457:AMQ786484 AWM786457:AWM786484 BGI786457:BGI786484 BQE786457:BQE786484 CAA786457:CAA786484 CJW786457:CJW786484 CTS786457:CTS786484 DDO786457:DDO786484 DNK786457:DNK786484 DXG786457:DXG786484 EHC786457:EHC786484 EQY786457:EQY786484 FAU786457:FAU786484 FKQ786457:FKQ786484 FUM786457:FUM786484 GEI786457:GEI786484 GOE786457:GOE786484 GYA786457:GYA786484 HHW786457:HHW786484 HRS786457:HRS786484 IBO786457:IBO786484 ILK786457:ILK786484 IVG786457:IVG786484 JFC786457:JFC786484 JOY786457:JOY786484 JYU786457:JYU786484 KIQ786457:KIQ786484 KSM786457:KSM786484 LCI786457:LCI786484 LME786457:LME786484 LWA786457:LWA786484 MFW786457:MFW786484 MPS786457:MPS786484 MZO786457:MZO786484 NJK786457:NJK786484 NTG786457:NTG786484 ODC786457:ODC786484 OMY786457:OMY786484 OWU786457:OWU786484 PGQ786457:PGQ786484 PQM786457:PQM786484 QAI786457:QAI786484 QKE786457:QKE786484 QUA786457:QUA786484 RDW786457:RDW786484 RNS786457:RNS786484 RXO786457:RXO786484 SHK786457:SHK786484 SRG786457:SRG786484 TBC786457:TBC786484 TKY786457:TKY786484 TUU786457:TUU786484 UEQ786457:UEQ786484 UOM786457:UOM786484 UYI786457:UYI786484 VIE786457:VIE786484 VSA786457:VSA786484 WBW786457:WBW786484 WLS786457:WLS786484 WVO786457:WVO786484 JC851993:JC852020 SY851993:SY852020 ACU851993:ACU852020 AMQ851993:AMQ852020 AWM851993:AWM852020 BGI851993:BGI852020 BQE851993:BQE852020 CAA851993:CAA852020 CJW851993:CJW852020 CTS851993:CTS852020 DDO851993:DDO852020 DNK851993:DNK852020 DXG851993:DXG852020 EHC851993:EHC852020 EQY851993:EQY852020 FAU851993:FAU852020 FKQ851993:FKQ852020 FUM851993:FUM852020 GEI851993:GEI852020 GOE851993:GOE852020 GYA851993:GYA852020 HHW851993:HHW852020 HRS851993:HRS852020 IBO851993:IBO852020 ILK851993:ILK852020 IVG851993:IVG852020 JFC851993:JFC852020 JOY851993:JOY852020 JYU851993:JYU852020 KIQ851993:KIQ852020 KSM851993:KSM852020 LCI851993:LCI852020 LME851993:LME852020 LWA851993:LWA852020 MFW851993:MFW852020 MPS851993:MPS852020 MZO851993:MZO852020 NJK851993:NJK852020 NTG851993:NTG852020 ODC851993:ODC852020 OMY851993:OMY852020 OWU851993:OWU852020 PGQ851993:PGQ852020 PQM851993:PQM852020 QAI851993:QAI852020 QKE851993:QKE852020 QUA851993:QUA852020 RDW851993:RDW852020 RNS851993:RNS852020 RXO851993:RXO852020 SHK851993:SHK852020 SRG851993:SRG852020 TBC851993:TBC852020 TKY851993:TKY852020 TUU851993:TUU852020 UEQ851993:UEQ852020 UOM851993:UOM852020 UYI851993:UYI852020 VIE851993:VIE852020 VSA851993:VSA852020 WBW851993:WBW852020 WLS851993:WLS852020 WVO851993:WVO852020 JC917529:JC917556 SY917529:SY917556 ACU917529:ACU917556 AMQ917529:AMQ917556 AWM917529:AWM917556 BGI917529:BGI917556 BQE917529:BQE917556 CAA917529:CAA917556 CJW917529:CJW917556 CTS917529:CTS917556 DDO917529:DDO917556 DNK917529:DNK917556 DXG917529:DXG917556 EHC917529:EHC917556 EQY917529:EQY917556 FAU917529:FAU917556 FKQ917529:FKQ917556 FUM917529:FUM917556 GEI917529:GEI917556 GOE917529:GOE917556 GYA917529:GYA917556 HHW917529:HHW917556 HRS917529:HRS917556 IBO917529:IBO917556 ILK917529:ILK917556 IVG917529:IVG917556 JFC917529:JFC917556 JOY917529:JOY917556 JYU917529:JYU917556 KIQ917529:KIQ917556 KSM917529:KSM917556 LCI917529:LCI917556 LME917529:LME917556 LWA917529:LWA917556 MFW917529:MFW917556 MPS917529:MPS917556 MZO917529:MZO917556 NJK917529:NJK917556 NTG917529:NTG917556 ODC917529:ODC917556 OMY917529:OMY917556 OWU917529:OWU917556 PGQ917529:PGQ917556 PQM917529:PQM917556 QAI917529:QAI917556 QKE917529:QKE917556 QUA917529:QUA917556 RDW917529:RDW917556 RNS917529:RNS917556 RXO917529:RXO917556 SHK917529:SHK917556 SRG917529:SRG917556 TBC917529:TBC917556 TKY917529:TKY917556 TUU917529:TUU917556 UEQ917529:UEQ917556 UOM917529:UOM917556 UYI917529:UYI917556 VIE917529:VIE917556 VSA917529:VSA917556 WBW917529:WBW917556 WLS917529:WLS917556 WVO917529:WVO917556 JC983065:JC983092 SY983065:SY983092 ACU983065:ACU983092 AMQ983065:AMQ983092 AWM983065:AWM983092 BGI983065:BGI983092 BQE983065:BQE983092 CAA983065:CAA983092 CJW983065:CJW983092 CTS983065:CTS983092 DDO983065:DDO983092 DNK983065:DNK983092 DXG983065:DXG983092 EHC983065:EHC983092 EQY983065:EQY983092 FAU983065:FAU983092 FKQ983065:FKQ983092 FUM983065:FUM983092 GEI983065:GEI983092 GOE983065:GOE983092 GYA983065:GYA983092 HHW983065:HHW983092 HRS983065:HRS983092 IBO983065:IBO983092 ILK983065:ILK983092 IVG983065:IVG983092 JFC983065:JFC983092 JOY983065:JOY983092 JYU983065:JYU983092 KIQ983065:KIQ983092 KSM983065:KSM983092 LCI983065:LCI983092 LME983065:LME983092 LWA983065:LWA983092 MFW983065:MFW983092 MPS983065:MPS983092 MZO983065:MZO983092 NJK983065:NJK983092 NTG983065:NTG983092 ODC983065:ODC983092 OMY983065:OMY983092 OWU983065:OWU983092 PGQ983065:PGQ983092 PQM983065:PQM983092 QAI983065:QAI983092 QKE983065:QKE983092 QUA983065:QUA983092 RDW983065:RDW983092 RNS983065:RNS983092 RXO983065:RXO983092 SHK983065:SHK983092 SRG983065:SRG983092 TBC983065:TBC983092 TKY983065:TKY983092 TUU983065:TUU983092 UEQ983065:UEQ983092 UOM983065:UOM983092 UYI983065:UYI983092 VIE983065:VIE983092 VSA983065:VSA983092 WBW983065:WBW983092 WLS983065:WLS983092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 SY1:SY34 JC1:JC34 C65600:C65627 C131136:C131163 C196672:C196699 C262208:C262235 C327744:C327771 C393280:C393307 C458816:C458843 C524352:C524379 C589888:C589915 C655424:C655451 C720960:C720987 C786496:C786523 C852032:C852059 C917568:C917595 C983104:C983131 C1" xr:uid="{1CC7598A-C000-4646-8423-8FAFF9E82D21}">
      <formula1>#REF!</formula1>
    </dataValidation>
    <dataValidation type="list" allowBlank="1" showInputMessage="1" showErrorMessage="1" sqref="D65600:E65627 D131136:E131163 D196672:E196699 D262208:E262235 D327744:E327771 D393280:E393307 D458816:E458843 D524352:E524379 D589888:E589915 D655424:E655451 D720960:E720987 D786496:E786523 D852032:E852059 D917568:E917595 D983104:E983131" xr:uid="{F4E25A44-BCE6-4FE3-85BF-C9BC66C43997}">
      <formula1>$P$1:$P$6</formula1>
    </dataValidation>
    <dataValidation type="list" allowBlank="1" showInputMessage="1" showErrorMessage="1" sqref="WVP983065:WVP983092 ACV1:ACV34 AMR1:AMR34 AWN1:AWN34 BGJ1:BGJ34 BQF1:BQF34 CAB1:CAB34 CJX1:CJX34 CTT1:CTT34 DDP1:DDP34 DNL1:DNL34 DXH1:DXH34 EHD1:EHD34 EQZ1:EQZ34 FAV1:FAV34 FKR1:FKR34 FUN1:FUN34 GEJ1:GEJ34 GOF1:GOF34 GYB1:GYB34 HHX1:HHX34 HRT1:HRT34 IBP1:IBP34 ILL1:ILL34 IVH1:IVH34 JFD1:JFD34 JOZ1:JOZ34 JYV1:JYV34 KIR1:KIR34 KSN1:KSN34 LCJ1:LCJ34 LMF1:LMF34 LWB1:LWB34 MFX1:MFX34 MPT1:MPT34 MZP1:MZP34 NJL1:NJL34 NTH1:NTH34 ODD1:ODD34 OMZ1:OMZ34 OWV1:OWV34 PGR1:PGR34 PQN1:PQN34 QAJ1:QAJ34 QKF1:QKF34 QUB1:QUB34 RDX1:RDX34 RNT1:RNT34 RXP1:RXP34 SHL1:SHL34 SRH1:SRH34 TBD1:TBD34 TKZ1:TKZ34 TUV1:TUV34 UER1:UER34 UON1:UON34 UYJ1:UYJ34 VIF1:VIF34 VSB1:VSB34 WBX1:WBX34 WLT1:WLT34 WVP1:WVP34 JD1:JD34 WLT983065:WLT983092 WBX983065:WBX983092 VSB983065:VSB983092 VIF983065:VIF983092 UYJ983065:UYJ983092 UON983065:UON983092 UER983065:UER983092 TUV983065:TUV983092 TKZ983065:TKZ983092 TBD983065:TBD983092 SRH983065:SRH983092 SHL983065:SHL983092 RXP983065:RXP983092 RNT983065:RNT983092 RDX983065:RDX983092 QUB983065:QUB983092 QKF983065:QKF983092 QAJ983065:QAJ983092 PQN983065:PQN983092 PGR983065:PGR983092 OWV983065:OWV983092 OMZ983065:OMZ983092 ODD983065:ODD983092 NTH983065:NTH983092 NJL983065:NJL983092 MZP983065:MZP983092 MPT983065:MPT983092 MFX983065:MFX983092 LWB983065:LWB983092 LMF983065:LMF983092 LCJ983065:LCJ983092 KSN983065:KSN983092 KIR983065:KIR983092 JYV983065:JYV983092 JOZ983065:JOZ983092 JFD983065:JFD983092 IVH983065:IVH983092 ILL983065:ILL983092 IBP983065:IBP983092 HRT983065:HRT983092 HHX983065:HHX983092 GYB983065:GYB983092 GOF983065:GOF983092 GEJ983065:GEJ983092 FUN983065:FUN983092 FKR983065:FKR983092 FAV983065:FAV983092 EQZ983065:EQZ983092 EHD983065:EHD983092 DXH983065:DXH983092 DNL983065:DNL983092 DDP983065:DDP983092 CTT983065:CTT983092 CJX983065:CJX983092 CAB983065:CAB983092 BQF983065:BQF983092 BGJ983065:BGJ983092 AWN983065:AWN983092 AMR983065:AMR983092 ACV983065:ACV983092 SZ983065:SZ983092 JD983065:JD983092 SZ1:SZ34 WVP917529:WVP917556 WLT917529:WLT917556 WBX917529:WBX917556 VSB917529:VSB917556 VIF917529:VIF917556 UYJ917529:UYJ917556 UON917529:UON917556 UER917529:UER917556 TUV917529:TUV917556 TKZ917529:TKZ917556 TBD917529:TBD917556 SRH917529:SRH917556 SHL917529:SHL917556 RXP917529:RXP917556 RNT917529:RNT917556 RDX917529:RDX917556 QUB917529:QUB917556 QKF917529:QKF917556 QAJ917529:QAJ917556 PQN917529:PQN917556 PGR917529:PGR917556 OWV917529:OWV917556 OMZ917529:OMZ917556 ODD917529:ODD917556 NTH917529:NTH917556 NJL917529:NJL917556 MZP917529:MZP917556 MPT917529:MPT917556 MFX917529:MFX917556 LWB917529:LWB917556 LMF917529:LMF917556 LCJ917529:LCJ917556 KSN917529:KSN917556 KIR917529:KIR917556 JYV917529:JYV917556 JOZ917529:JOZ917556 JFD917529:JFD917556 IVH917529:IVH917556 ILL917529:ILL917556 IBP917529:IBP917556 HRT917529:HRT917556 HHX917529:HHX917556 GYB917529:GYB917556 GOF917529:GOF917556 GEJ917529:GEJ917556 FUN917529:FUN917556 FKR917529:FKR917556 FAV917529:FAV917556 EQZ917529:EQZ917556 EHD917529:EHD917556 DXH917529:DXH917556 DNL917529:DNL917556 DDP917529:DDP917556 CTT917529:CTT917556 CJX917529:CJX917556 CAB917529:CAB917556 BQF917529:BQF917556 BGJ917529:BGJ917556 AWN917529:AWN917556 AMR917529:AMR917556 ACV917529:ACV917556 SZ917529:SZ917556 JD917529:JD917556 WVP851993:WVP852020 WLT851993:WLT852020 WBX851993:WBX852020 VSB851993:VSB852020 VIF851993:VIF852020 UYJ851993:UYJ852020 UON851993:UON852020 UER851993:UER852020 TUV851993:TUV852020 TKZ851993:TKZ852020 TBD851993:TBD852020 SRH851993:SRH852020 SHL851993:SHL852020 RXP851993:RXP852020 RNT851993:RNT852020 RDX851993:RDX852020 QUB851993:QUB852020 QKF851993:QKF852020 QAJ851993:QAJ852020 PQN851993:PQN852020 PGR851993:PGR852020 OWV851993:OWV852020 OMZ851993:OMZ852020 ODD851993:ODD852020 NTH851993:NTH852020 NJL851993:NJL852020 MZP851993:MZP852020 MPT851993:MPT852020 MFX851993:MFX852020 LWB851993:LWB852020 LMF851993:LMF852020 LCJ851993:LCJ852020 KSN851993:KSN852020 KIR851993:KIR852020 JYV851993:JYV852020 JOZ851993:JOZ852020 JFD851993:JFD852020 IVH851993:IVH852020 ILL851993:ILL852020 IBP851993:IBP852020 HRT851993:HRT852020 HHX851993:HHX852020 GYB851993:GYB852020 GOF851993:GOF852020 GEJ851993:GEJ852020 FUN851993:FUN852020 FKR851993:FKR852020 FAV851993:FAV852020 EQZ851993:EQZ852020 EHD851993:EHD852020 DXH851993:DXH852020 DNL851993:DNL852020 DDP851993:DDP852020 CTT851993:CTT852020 CJX851993:CJX852020 CAB851993:CAB852020 BQF851993:BQF852020 BGJ851993:BGJ852020 AWN851993:AWN852020 AMR851993:AMR852020 ACV851993:ACV852020 SZ851993:SZ852020 JD851993:JD852020 WVP786457:WVP786484 WLT786457:WLT786484 WBX786457:WBX786484 VSB786457:VSB786484 VIF786457:VIF786484 UYJ786457:UYJ786484 UON786457:UON786484 UER786457:UER786484 TUV786457:TUV786484 TKZ786457:TKZ786484 TBD786457:TBD786484 SRH786457:SRH786484 SHL786457:SHL786484 RXP786457:RXP786484 RNT786457:RNT786484 RDX786457:RDX786484 QUB786457:QUB786484 QKF786457:QKF786484 QAJ786457:QAJ786484 PQN786457:PQN786484 PGR786457:PGR786484 OWV786457:OWV786484 OMZ786457:OMZ786484 ODD786457:ODD786484 NTH786457:NTH786484 NJL786457:NJL786484 MZP786457:MZP786484 MPT786457:MPT786484 MFX786457:MFX786484 LWB786457:LWB786484 LMF786457:LMF786484 LCJ786457:LCJ786484 KSN786457:KSN786484 KIR786457:KIR786484 JYV786457:JYV786484 JOZ786457:JOZ786484 JFD786457:JFD786484 IVH786457:IVH786484 ILL786457:ILL786484 IBP786457:IBP786484 HRT786457:HRT786484 HHX786457:HHX786484 GYB786457:GYB786484 GOF786457:GOF786484 GEJ786457:GEJ786484 FUN786457:FUN786484 FKR786457:FKR786484 FAV786457:FAV786484 EQZ786457:EQZ786484 EHD786457:EHD786484 DXH786457:DXH786484 DNL786457:DNL786484 DDP786457:DDP786484 CTT786457:CTT786484 CJX786457:CJX786484 CAB786457:CAB786484 BQF786457:BQF786484 BGJ786457:BGJ786484 AWN786457:AWN786484 AMR786457:AMR786484 ACV786457:ACV786484 SZ786457:SZ786484 JD786457:JD786484 WVP720921:WVP720948 WLT720921:WLT720948 WBX720921:WBX720948 VSB720921:VSB720948 VIF720921:VIF720948 UYJ720921:UYJ720948 UON720921:UON720948 UER720921:UER720948 TUV720921:TUV720948 TKZ720921:TKZ720948 TBD720921:TBD720948 SRH720921:SRH720948 SHL720921:SHL720948 RXP720921:RXP720948 RNT720921:RNT720948 RDX720921:RDX720948 QUB720921:QUB720948 QKF720921:QKF720948 QAJ720921:QAJ720948 PQN720921:PQN720948 PGR720921:PGR720948 OWV720921:OWV720948 OMZ720921:OMZ720948 ODD720921:ODD720948 NTH720921:NTH720948 NJL720921:NJL720948 MZP720921:MZP720948 MPT720921:MPT720948 MFX720921:MFX720948 LWB720921:LWB720948 LMF720921:LMF720948 LCJ720921:LCJ720948 KSN720921:KSN720948 KIR720921:KIR720948 JYV720921:JYV720948 JOZ720921:JOZ720948 JFD720921:JFD720948 IVH720921:IVH720948 ILL720921:ILL720948 IBP720921:IBP720948 HRT720921:HRT720948 HHX720921:HHX720948 GYB720921:GYB720948 GOF720921:GOF720948 GEJ720921:GEJ720948 FUN720921:FUN720948 FKR720921:FKR720948 FAV720921:FAV720948 EQZ720921:EQZ720948 EHD720921:EHD720948 DXH720921:DXH720948 DNL720921:DNL720948 DDP720921:DDP720948 CTT720921:CTT720948 CJX720921:CJX720948 CAB720921:CAB720948 BQF720921:BQF720948 BGJ720921:BGJ720948 AWN720921:AWN720948 AMR720921:AMR720948 ACV720921:ACV720948 SZ720921:SZ720948 JD720921:JD720948 WVP655385:WVP655412 WLT655385:WLT655412 WBX655385:WBX655412 VSB655385:VSB655412 VIF655385:VIF655412 UYJ655385:UYJ655412 UON655385:UON655412 UER655385:UER655412 TUV655385:TUV655412 TKZ655385:TKZ655412 TBD655385:TBD655412 SRH655385:SRH655412 SHL655385:SHL655412 RXP655385:RXP655412 RNT655385:RNT655412 RDX655385:RDX655412 QUB655385:QUB655412 QKF655385:QKF655412 QAJ655385:QAJ655412 PQN655385:PQN655412 PGR655385:PGR655412 OWV655385:OWV655412 OMZ655385:OMZ655412 ODD655385:ODD655412 NTH655385:NTH655412 NJL655385:NJL655412 MZP655385:MZP655412 MPT655385:MPT655412 MFX655385:MFX655412 LWB655385:LWB655412 LMF655385:LMF655412 LCJ655385:LCJ655412 KSN655385:KSN655412 KIR655385:KIR655412 JYV655385:JYV655412 JOZ655385:JOZ655412 JFD655385:JFD655412 IVH655385:IVH655412 ILL655385:ILL655412 IBP655385:IBP655412 HRT655385:HRT655412 HHX655385:HHX655412 GYB655385:GYB655412 GOF655385:GOF655412 GEJ655385:GEJ655412 FUN655385:FUN655412 FKR655385:FKR655412 FAV655385:FAV655412 EQZ655385:EQZ655412 EHD655385:EHD655412 DXH655385:DXH655412 DNL655385:DNL655412 DDP655385:DDP655412 CTT655385:CTT655412 CJX655385:CJX655412 CAB655385:CAB655412 BQF655385:BQF655412 BGJ655385:BGJ655412 AWN655385:AWN655412 AMR655385:AMR655412 ACV655385:ACV655412 SZ655385:SZ655412 JD655385:JD655412 WVP589849:WVP589876 WLT589849:WLT589876 WBX589849:WBX589876 VSB589849:VSB589876 VIF589849:VIF589876 UYJ589849:UYJ589876 UON589849:UON589876 UER589849:UER589876 TUV589849:TUV589876 TKZ589849:TKZ589876 TBD589849:TBD589876 SRH589849:SRH589876 SHL589849:SHL589876 RXP589849:RXP589876 RNT589849:RNT589876 RDX589849:RDX589876 QUB589849:QUB589876 QKF589849:QKF589876 QAJ589849:QAJ589876 PQN589849:PQN589876 PGR589849:PGR589876 OWV589849:OWV589876 OMZ589849:OMZ589876 ODD589849:ODD589876 NTH589849:NTH589876 NJL589849:NJL589876 MZP589849:MZP589876 MPT589849:MPT589876 MFX589849:MFX589876 LWB589849:LWB589876 LMF589849:LMF589876 LCJ589849:LCJ589876 KSN589849:KSN589876 KIR589849:KIR589876 JYV589849:JYV589876 JOZ589849:JOZ589876 JFD589849:JFD589876 IVH589849:IVH589876 ILL589849:ILL589876 IBP589849:IBP589876 HRT589849:HRT589876 HHX589849:HHX589876 GYB589849:GYB589876 GOF589849:GOF589876 GEJ589849:GEJ589876 FUN589849:FUN589876 FKR589849:FKR589876 FAV589849:FAV589876 EQZ589849:EQZ589876 EHD589849:EHD589876 DXH589849:DXH589876 DNL589849:DNL589876 DDP589849:DDP589876 CTT589849:CTT589876 CJX589849:CJX589876 CAB589849:CAB589876 BQF589849:BQF589876 BGJ589849:BGJ589876 AWN589849:AWN589876 AMR589849:AMR589876 ACV589849:ACV589876 SZ589849:SZ589876 JD589849:JD589876 WVP524313:WVP524340 WLT524313:WLT524340 WBX524313:WBX524340 VSB524313:VSB524340 VIF524313:VIF524340 UYJ524313:UYJ524340 UON524313:UON524340 UER524313:UER524340 TUV524313:TUV524340 TKZ524313:TKZ524340 TBD524313:TBD524340 SRH524313:SRH524340 SHL524313:SHL524340 RXP524313:RXP524340 RNT524313:RNT524340 RDX524313:RDX524340 QUB524313:QUB524340 QKF524313:QKF524340 QAJ524313:QAJ524340 PQN524313:PQN524340 PGR524313:PGR524340 OWV524313:OWV524340 OMZ524313:OMZ524340 ODD524313:ODD524340 NTH524313:NTH524340 NJL524313:NJL524340 MZP524313:MZP524340 MPT524313:MPT524340 MFX524313:MFX524340 LWB524313:LWB524340 LMF524313:LMF524340 LCJ524313:LCJ524340 KSN524313:KSN524340 KIR524313:KIR524340 JYV524313:JYV524340 JOZ524313:JOZ524340 JFD524313:JFD524340 IVH524313:IVH524340 ILL524313:ILL524340 IBP524313:IBP524340 HRT524313:HRT524340 HHX524313:HHX524340 GYB524313:GYB524340 GOF524313:GOF524340 GEJ524313:GEJ524340 FUN524313:FUN524340 FKR524313:FKR524340 FAV524313:FAV524340 EQZ524313:EQZ524340 EHD524313:EHD524340 DXH524313:DXH524340 DNL524313:DNL524340 DDP524313:DDP524340 CTT524313:CTT524340 CJX524313:CJX524340 CAB524313:CAB524340 BQF524313:BQF524340 BGJ524313:BGJ524340 AWN524313:AWN524340 AMR524313:AMR524340 ACV524313:ACV524340 SZ524313:SZ524340 JD524313:JD524340 WVP458777:WVP458804 WLT458777:WLT458804 WBX458777:WBX458804 VSB458777:VSB458804 VIF458777:VIF458804 UYJ458777:UYJ458804 UON458777:UON458804 UER458777:UER458804 TUV458777:TUV458804 TKZ458777:TKZ458804 TBD458777:TBD458804 SRH458777:SRH458804 SHL458777:SHL458804 RXP458777:RXP458804 RNT458777:RNT458804 RDX458777:RDX458804 QUB458777:QUB458804 QKF458777:QKF458804 QAJ458777:QAJ458804 PQN458777:PQN458804 PGR458777:PGR458804 OWV458777:OWV458804 OMZ458777:OMZ458804 ODD458777:ODD458804 NTH458777:NTH458804 NJL458777:NJL458804 MZP458777:MZP458804 MPT458777:MPT458804 MFX458777:MFX458804 LWB458777:LWB458804 LMF458777:LMF458804 LCJ458777:LCJ458804 KSN458777:KSN458804 KIR458777:KIR458804 JYV458777:JYV458804 JOZ458777:JOZ458804 JFD458777:JFD458804 IVH458777:IVH458804 ILL458777:ILL458804 IBP458777:IBP458804 HRT458777:HRT458804 HHX458777:HHX458804 GYB458777:GYB458804 GOF458777:GOF458804 GEJ458777:GEJ458804 FUN458777:FUN458804 FKR458777:FKR458804 FAV458777:FAV458804 EQZ458777:EQZ458804 EHD458777:EHD458804 DXH458777:DXH458804 DNL458777:DNL458804 DDP458777:DDP458804 CTT458777:CTT458804 CJX458777:CJX458804 CAB458777:CAB458804 BQF458777:BQF458804 BGJ458777:BGJ458804 AWN458777:AWN458804 AMR458777:AMR458804 ACV458777:ACV458804 SZ458777:SZ458804 JD458777:JD458804 WVP393241:WVP393268 WLT393241:WLT393268 WBX393241:WBX393268 VSB393241:VSB393268 VIF393241:VIF393268 UYJ393241:UYJ393268 UON393241:UON393268 UER393241:UER393268 TUV393241:TUV393268 TKZ393241:TKZ393268 TBD393241:TBD393268 SRH393241:SRH393268 SHL393241:SHL393268 RXP393241:RXP393268 RNT393241:RNT393268 RDX393241:RDX393268 QUB393241:QUB393268 QKF393241:QKF393268 QAJ393241:QAJ393268 PQN393241:PQN393268 PGR393241:PGR393268 OWV393241:OWV393268 OMZ393241:OMZ393268 ODD393241:ODD393268 NTH393241:NTH393268 NJL393241:NJL393268 MZP393241:MZP393268 MPT393241:MPT393268 MFX393241:MFX393268 LWB393241:LWB393268 LMF393241:LMF393268 LCJ393241:LCJ393268 KSN393241:KSN393268 KIR393241:KIR393268 JYV393241:JYV393268 JOZ393241:JOZ393268 JFD393241:JFD393268 IVH393241:IVH393268 ILL393241:ILL393268 IBP393241:IBP393268 HRT393241:HRT393268 HHX393241:HHX393268 GYB393241:GYB393268 GOF393241:GOF393268 GEJ393241:GEJ393268 FUN393241:FUN393268 FKR393241:FKR393268 FAV393241:FAV393268 EQZ393241:EQZ393268 EHD393241:EHD393268 DXH393241:DXH393268 DNL393241:DNL393268 DDP393241:DDP393268 CTT393241:CTT393268 CJX393241:CJX393268 CAB393241:CAB393268 BQF393241:BQF393268 BGJ393241:BGJ393268 AWN393241:AWN393268 AMR393241:AMR393268 ACV393241:ACV393268 SZ393241:SZ393268 JD393241:JD393268 WVP327705:WVP327732 WLT327705:WLT327732 WBX327705:WBX327732 VSB327705:VSB327732 VIF327705:VIF327732 UYJ327705:UYJ327732 UON327705:UON327732 UER327705:UER327732 TUV327705:TUV327732 TKZ327705:TKZ327732 TBD327705:TBD327732 SRH327705:SRH327732 SHL327705:SHL327732 RXP327705:RXP327732 RNT327705:RNT327732 RDX327705:RDX327732 QUB327705:QUB327732 QKF327705:QKF327732 QAJ327705:QAJ327732 PQN327705:PQN327732 PGR327705:PGR327732 OWV327705:OWV327732 OMZ327705:OMZ327732 ODD327705:ODD327732 NTH327705:NTH327732 NJL327705:NJL327732 MZP327705:MZP327732 MPT327705:MPT327732 MFX327705:MFX327732 LWB327705:LWB327732 LMF327705:LMF327732 LCJ327705:LCJ327732 KSN327705:KSN327732 KIR327705:KIR327732 JYV327705:JYV327732 JOZ327705:JOZ327732 JFD327705:JFD327732 IVH327705:IVH327732 ILL327705:ILL327732 IBP327705:IBP327732 HRT327705:HRT327732 HHX327705:HHX327732 GYB327705:GYB327732 GOF327705:GOF327732 GEJ327705:GEJ327732 FUN327705:FUN327732 FKR327705:FKR327732 FAV327705:FAV327732 EQZ327705:EQZ327732 EHD327705:EHD327732 DXH327705:DXH327732 DNL327705:DNL327732 DDP327705:DDP327732 CTT327705:CTT327732 CJX327705:CJX327732 CAB327705:CAB327732 BQF327705:BQF327732 BGJ327705:BGJ327732 AWN327705:AWN327732 AMR327705:AMR327732 ACV327705:ACV327732 SZ327705:SZ327732 JD327705:JD327732 WVP262169:WVP262196 WLT262169:WLT262196 WBX262169:WBX262196 VSB262169:VSB262196 VIF262169:VIF262196 UYJ262169:UYJ262196 UON262169:UON262196 UER262169:UER262196 TUV262169:TUV262196 TKZ262169:TKZ262196 TBD262169:TBD262196 SRH262169:SRH262196 SHL262169:SHL262196 RXP262169:RXP262196 RNT262169:RNT262196 RDX262169:RDX262196 QUB262169:QUB262196 QKF262169:QKF262196 QAJ262169:QAJ262196 PQN262169:PQN262196 PGR262169:PGR262196 OWV262169:OWV262196 OMZ262169:OMZ262196 ODD262169:ODD262196 NTH262169:NTH262196 NJL262169:NJL262196 MZP262169:MZP262196 MPT262169:MPT262196 MFX262169:MFX262196 LWB262169:LWB262196 LMF262169:LMF262196 LCJ262169:LCJ262196 KSN262169:KSN262196 KIR262169:KIR262196 JYV262169:JYV262196 JOZ262169:JOZ262196 JFD262169:JFD262196 IVH262169:IVH262196 ILL262169:ILL262196 IBP262169:IBP262196 HRT262169:HRT262196 HHX262169:HHX262196 GYB262169:GYB262196 GOF262169:GOF262196 GEJ262169:GEJ262196 FUN262169:FUN262196 FKR262169:FKR262196 FAV262169:FAV262196 EQZ262169:EQZ262196 EHD262169:EHD262196 DXH262169:DXH262196 DNL262169:DNL262196 DDP262169:DDP262196 CTT262169:CTT262196 CJX262169:CJX262196 CAB262169:CAB262196 BQF262169:BQF262196 BGJ262169:BGJ262196 AWN262169:AWN262196 AMR262169:AMR262196 ACV262169:ACV262196 SZ262169:SZ262196 JD262169:JD262196 WVP196633:WVP196660 WLT196633:WLT196660 WBX196633:WBX196660 VSB196633:VSB196660 VIF196633:VIF196660 UYJ196633:UYJ196660 UON196633:UON196660 UER196633:UER196660 TUV196633:TUV196660 TKZ196633:TKZ196660 TBD196633:TBD196660 SRH196633:SRH196660 SHL196633:SHL196660 RXP196633:RXP196660 RNT196633:RNT196660 RDX196633:RDX196660 QUB196633:QUB196660 QKF196633:QKF196660 QAJ196633:QAJ196660 PQN196633:PQN196660 PGR196633:PGR196660 OWV196633:OWV196660 OMZ196633:OMZ196660 ODD196633:ODD196660 NTH196633:NTH196660 NJL196633:NJL196660 MZP196633:MZP196660 MPT196633:MPT196660 MFX196633:MFX196660 LWB196633:LWB196660 LMF196633:LMF196660 LCJ196633:LCJ196660 KSN196633:KSN196660 KIR196633:KIR196660 JYV196633:JYV196660 JOZ196633:JOZ196660 JFD196633:JFD196660 IVH196633:IVH196660 ILL196633:ILL196660 IBP196633:IBP196660 HRT196633:HRT196660 HHX196633:HHX196660 GYB196633:GYB196660 GOF196633:GOF196660 GEJ196633:GEJ196660 FUN196633:FUN196660 FKR196633:FKR196660 FAV196633:FAV196660 EQZ196633:EQZ196660 EHD196633:EHD196660 DXH196633:DXH196660 DNL196633:DNL196660 DDP196633:DDP196660 CTT196633:CTT196660 CJX196633:CJX196660 CAB196633:CAB196660 BQF196633:BQF196660 BGJ196633:BGJ196660 AWN196633:AWN196660 AMR196633:AMR196660 ACV196633:ACV196660 SZ196633:SZ196660 JD196633:JD196660 WVP131097:WVP131124 WLT131097:WLT131124 WBX131097:WBX131124 VSB131097:VSB131124 VIF131097:VIF131124 UYJ131097:UYJ131124 UON131097:UON131124 UER131097:UER131124 TUV131097:TUV131124 TKZ131097:TKZ131124 TBD131097:TBD131124 SRH131097:SRH131124 SHL131097:SHL131124 RXP131097:RXP131124 RNT131097:RNT131124 RDX131097:RDX131124 QUB131097:QUB131124 QKF131097:QKF131124 QAJ131097:QAJ131124 PQN131097:PQN131124 PGR131097:PGR131124 OWV131097:OWV131124 OMZ131097:OMZ131124 ODD131097:ODD131124 NTH131097:NTH131124 NJL131097:NJL131124 MZP131097:MZP131124 MPT131097:MPT131124 MFX131097:MFX131124 LWB131097:LWB131124 LMF131097:LMF131124 LCJ131097:LCJ131124 KSN131097:KSN131124 KIR131097:KIR131124 JYV131097:JYV131124 JOZ131097:JOZ131124 JFD131097:JFD131124 IVH131097:IVH131124 ILL131097:ILL131124 IBP131097:IBP131124 HRT131097:HRT131124 HHX131097:HHX131124 GYB131097:GYB131124 GOF131097:GOF131124 GEJ131097:GEJ131124 FUN131097:FUN131124 FKR131097:FKR131124 FAV131097:FAV131124 EQZ131097:EQZ131124 EHD131097:EHD131124 DXH131097:DXH131124 DNL131097:DNL131124 DDP131097:DDP131124 CTT131097:CTT131124 CJX131097:CJX131124 CAB131097:CAB131124 BQF131097:BQF131124 BGJ131097:BGJ131124 AWN131097:AWN131124 AMR131097:AMR131124 ACV131097:ACV131124 SZ131097:SZ131124 JD131097:JD131124 WVP65561:WVP65588 WLT65561:WLT65588 WBX65561:WBX65588 VSB65561:VSB65588 VIF65561:VIF65588 UYJ65561:UYJ65588 UON65561:UON65588 UER65561:UER65588 TUV65561:TUV65588 TKZ65561:TKZ65588 TBD65561:TBD65588 SRH65561:SRH65588 SHL65561:SHL65588 RXP65561:RXP65588 RNT65561:RNT65588 RDX65561:RDX65588 QUB65561:QUB65588 QKF65561:QKF65588 QAJ65561:QAJ65588 PQN65561:PQN65588 PGR65561:PGR65588 OWV65561:OWV65588 OMZ65561:OMZ65588 ODD65561:ODD65588 NTH65561:NTH65588 NJL65561:NJL65588 MZP65561:MZP65588 MPT65561:MPT65588 MFX65561:MFX65588 LWB65561:LWB65588 LMF65561:LMF65588 LCJ65561:LCJ65588 KSN65561:KSN65588 KIR65561:KIR65588 JYV65561:JYV65588 JOZ65561:JOZ65588 JFD65561:JFD65588 IVH65561:IVH65588 ILL65561:ILL65588 IBP65561:IBP65588 HRT65561:HRT65588 HHX65561:HHX65588 GYB65561:GYB65588 GOF65561:GOF65588 GEJ65561:GEJ65588 FUN65561:FUN65588 FKR65561:FKR65588 FAV65561:FAV65588 EQZ65561:EQZ65588 EHD65561:EHD65588 DXH65561:DXH65588 DNL65561:DNL65588 DDP65561:DDP65588 CTT65561:CTT65588 CJX65561:CJX65588 CAB65561:CAB65588 BQF65561:BQF65588 BGJ65561:BGJ65588 AWN65561:AWN65588 AMR65561:AMR65588 ACV65561:ACV65588 SZ65561:SZ65588 JD65561:JD65588" xr:uid="{0305C507-2669-4718-B1EE-E244BFD6F82C}">
      <formula1>$L$1:$L$6</formula1>
    </dataValidation>
    <dataValidation type="list" errorStyle="information" showInputMessage="1" sqref="E2:E99" xr:uid="{51060C3A-4BA2-4D01-9B5F-FCD28E89E66F}">
      <formula1>$W$1:$W$9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D28" sqref="D28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60" t="s">
        <v>76</v>
      </c>
      <c r="F2" s="160"/>
      <c r="G2" s="10"/>
      <c r="H2" s="160" t="s">
        <v>77</v>
      </c>
      <c r="I2" s="16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61">
        <f>C27*C4</f>
        <v>0</v>
      </c>
      <c r="F3" s="162"/>
      <c r="G3" s="10"/>
      <c r="H3" s="161">
        <f>D27*C4</f>
        <v>38</v>
      </c>
      <c r="I3" s="162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198</v>
      </c>
      <c r="C4" s="2">
        <f>Inputs!B4</f>
        <v>9.5</v>
      </c>
      <c r="D4" s="13"/>
      <c r="E4" s="163"/>
      <c r="F4" s="164"/>
      <c r="G4" s="10"/>
      <c r="H4" s="163"/>
      <c r="I4" s="164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>
        <f>Inputs!B7</f>
        <v>0</v>
      </c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5">
        <f>Inputs!B8</f>
        <v>0</v>
      </c>
      <c r="D9" s="13"/>
      <c r="E9" s="15"/>
      <c r="F9" s="156" t="s">
        <v>84</v>
      </c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6"/>
      <c r="R9" s="10"/>
      <c r="S9" s="15"/>
      <c r="T9" s="156" t="s">
        <v>85</v>
      </c>
      <c r="U9" s="156"/>
      <c r="V9" s="156"/>
      <c r="W9" s="156"/>
      <c r="X9" s="156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5">
        <f>Inputs!B9</f>
        <v>0</v>
      </c>
      <c r="D10" s="17"/>
      <c r="E10" s="18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9"/>
      <c r="R10" s="10"/>
      <c r="S10" s="18"/>
      <c r="T10" s="157"/>
      <c r="U10" s="157"/>
      <c r="V10" s="157"/>
      <c r="W10" s="157"/>
      <c r="X10" s="157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5">
        <f>Inputs!B10</f>
        <v>0</v>
      </c>
      <c r="D11" s="17"/>
      <c r="E11" s="18"/>
      <c r="F11" s="151" t="s">
        <v>79</v>
      </c>
      <c r="G11" s="151" t="s">
        <v>88</v>
      </c>
      <c r="H11" s="20"/>
      <c r="I11" s="152" t="s">
        <v>78</v>
      </c>
      <c r="J11" s="152" t="s">
        <v>89</v>
      </c>
      <c r="K11" s="21"/>
      <c r="L11" s="158" t="s">
        <v>90</v>
      </c>
      <c r="M11" s="158" t="s">
        <v>91</v>
      </c>
      <c r="N11" s="21"/>
      <c r="O11" s="159" t="s">
        <v>92</v>
      </c>
      <c r="P11" s="159" t="s">
        <v>93</v>
      </c>
      <c r="Q11" s="19"/>
      <c r="R11" s="10"/>
      <c r="S11" s="18"/>
      <c r="T11" s="151" t="s">
        <v>94</v>
      </c>
      <c r="U11" s="151" t="s">
        <v>95</v>
      </c>
      <c r="V11" s="20"/>
      <c r="W11" s="152" t="s">
        <v>96</v>
      </c>
      <c r="X11" s="152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185</v>
      </c>
      <c r="D12" s="17"/>
      <c r="E12" s="18"/>
      <c r="F12" s="151"/>
      <c r="G12" s="151"/>
      <c r="H12" s="20"/>
      <c r="I12" s="152"/>
      <c r="J12" s="152"/>
      <c r="K12" s="21"/>
      <c r="L12" s="158"/>
      <c r="M12" s="158"/>
      <c r="N12" s="21"/>
      <c r="O12" s="159"/>
      <c r="P12" s="159"/>
      <c r="Q12" s="19"/>
      <c r="R12" s="10"/>
      <c r="S12" s="18"/>
      <c r="T12" s="151"/>
      <c r="U12" s="151"/>
      <c r="V12" s="20"/>
      <c r="W12" s="152"/>
      <c r="X12" s="152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53">
        <f>C6</f>
        <v>0</v>
      </c>
      <c r="G13" s="154">
        <f>C6/(25*C4)</f>
        <v>0</v>
      </c>
      <c r="H13" s="10"/>
      <c r="I13" s="166">
        <f>C5</f>
        <v>0</v>
      </c>
      <c r="J13" s="150">
        <f>C5/(185*C4)</f>
        <v>0</v>
      </c>
      <c r="K13" s="23"/>
      <c r="L13" s="165">
        <f>C7</f>
        <v>0</v>
      </c>
      <c r="M13" s="165">
        <f>C7/(25*C4)</f>
        <v>0</v>
      </c>
      <c r="N13" s="23"/>
      <c r="O13" s="167">
        <f>C8</f>
        <v>0</v>
      </c>
      <c r="P13" s="167">
        <f>C8/(1*C4)</f>
        <v>0</v>
      </c>
      <c r="Q13" s="19"/>
      <c r="R13" s="10"/>
      <c r="S13" s="18"/>
      <c r="T13" s="153">
        <f>(C9="YES")*('Percentage Data'!R21)+(C10="YES")*('Percentage Data'!R22)+(C11="YES")*('Percentage Data'!R23)</f>
        <v>0</v>
      </c>
      <c r="U13" s="154">
        <f>((((C9="YES")*('Percentage Data'!R21)+(C10="YES")*('Percentage Data'!R22)+(C11="YES")*('Percentage Data'!R23))/C4)/C14)/2</f>
        <v>0</v>
      </c>
      <c r="V13" s="10"/>
      <c r="W13" s="155">
        <f>(C9="YES")*('Percentage Data'!R21)+(C10="YES")*('Percentage Data'!R22)+(C11="YES")*('Percentage Data'!R23)</f>
        <v>0</v>
      </c>
      <c r="X13" s="150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53"/>
      <c r="G14" s="154"/>
      <c r="H14" s="10"/>
      <c r="I14" s="155"/>
      <c r="J14" s="150"/>
      <c r="K14" s="23"/>
      <c r="L14" s="165"/>
      <c r="M14" s="165"/>
      <c r="N14" s="23"/>
      <c r="O14" s="167"/>
      <c r="P14" s="167"/>
      <c r="Q14" s="19"/>
      <c r="R14" s="10"/>
      <c r="S14" s="18"/>
      <c r="T14" s="153"/>
      <c r="U14" s="154" t="e">
        <f>((((#REF!="YES")*('Percentage Data'!AC4)+(#REF!="YES")*('Percentage Data'!AC5)+(#REF!="YES")*('Percentage Data'!AC6))/#REF!)/#REF!)/2</f>
        <v>#REF!</v>
      </c>
      <c r="V14" s="10"/>
      <c r="W14" s="155"/>
      <c r="X14" s="150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204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Sheet'!I9</f>
        <v>0</v>
      </c>
      <c r="D20" s="34">
        <f>2</f>
        <v>2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Sheet'!I10</f>
        <v>0</v>
      </c>
      <c r="D21" s="34">
        <f>2</f>
        <v>2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Sheet'!I11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Sheet'!I12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Sheet'!I13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Sheet'!I14</f>
        <v>0</v>
      </c>
      <c r="D25" s="34">
        <f>G13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Sheet'!I15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87">
        <f>ROUND(SUM(D20:D26),0)</f>
        <v>4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X13:X14"/>
    <mergeCell ref="T11:T12"/>
    <mergeCell ref="U11:U12"/>
    <mergeCell ref="W11:W12"/>
    <mergeCell ref="X11:X12"/>
    <mergeCell ref="T13:T14"/>
    <mergeCell ref="U13:U14"/>
    <mergeCell ref="W13:W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2"/>
  <sheetViews>
    <sheetView topLeftCell="A29" workbookViewId="0">
      <selection activeCell="I50" sqref="I50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customWidth="1"/>
    <col min="12" max="12" width="15.5703125" style="38" customWidth="1"/>
    <col min="13" max="13" width="9.140625" style="38" customWidth="1"/>
    <col min="14" max="14" width="21.7109375" style="38" bestFit="1" customWidth="1"/>
    <col min="15" max="15" width="11.140625" style="38" customWidth="1"/>
    <col min="16" max="17" width="9.140625" style="38"/>
    <col min="18" max="20" width="9.140625" style="38" customWidth="1"/>
    <col min="21" max="21" width="13.28515625" style="38" customWidth="1"/>
    <col min="22" max="23" width="12.5703125" style="38" customWidth="1"/>
    <col min="24" max="24" width="14.7109375" style="38" customWidth="1"/>
    <col min="25" max="25" width="16" style="38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199</v>
      </c>
      <c r="U1" s="66" t="s">
        <v>167</v>
      </c>
      <c r="V1" s="66" t="s">
        <v>169</v>
      </c>
      <c r="W1" s="66" t="s">
        <v>168</v>
      </c>
      <c r="X1" s="38" t="s">
        <v>200</v>
      </c>
      <c r="Y1" s="38" t="s">
        <v>201</v>
      </c>
    </row>
    <row r="2" spans="1:25" ht="15.75" x14ac:dyDescent="0.2">
      <c r="A2" s="39" t="s">
        <v>171</v>
      </c>
      <c r="B2" s="39" t="s">
        <v>162</v>
      </c>
      <c r="C2" s="39" t="s">
        <v>161</v>
      </c>
      <c r="D2" s="39" t="s">
        <v>193</v>
      </c>
      <c r="E2" s="39" t="s">
        <v>5</v>
      </c>
      <c r="F2" s="39" t="s">
        <v>28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Sheet'!$A:$C,2,FALSE),"")</f>
        <v>1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56</v>
      </c>
      <c r="B3" s="39" t="s">
        <v>162</v>
      </c>
      <c r="C3" s="39" t="s">
        <v>161</v>
      </c>
      <c r="D3" s="39" t="s">
        <v>194</v>
      </c>
      <c r="E3" s="39" t="s">
        <v>5</v>
      </c>
      <c r="F3" s="39" t="s">
        <v>28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185</v>
      </c>
      <c r="T3" s="38">
        <f>IFERROR(VLOOKUP($A3,'Crew Sheet'!$A:$C,2,FALSE),"")</f>
        <v>1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174</v>
      </c>
      <c r="B4" s="39" t="s">
        <v>162</v>
      </c>
      <c r="C4" s="39" t="s">
        <v>161</v>
      </c>
      <c r="D4" s="39" t="s">
        <v>193</v>
      </c>
      <c r="E4" s="39" t="s">
        <v>5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Sheet'!$A:$C,2,FALSE),"")</f>
        <v>1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39" t="s">
        <v>183</v>
      </c>
      <c r="B5" s="39" t="s">
        <v>162</v>
      </c>
      <c r="C5" s="39" t="s">
        <v>161</v>
      </c>
      <c r="D5" s="39" t="s">
        <v>193</v>
      </c>
      <c r="E5" s="39" t="s">
        <v>5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Sheet'!$A:$C,2,FALSE),"")</f>
        <v>1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71</v>
      </c>
      <c r="B6" s="39" t="s">
        <v>162</v>
      </c>
      <c r="C6" s="39" t="s">
        <v>160</v>
      </c>
      <c r="D6" s="39" t="s">
        <v>193</v>
      </c>
      <c r="E6" s="39" t="s">
        <v>5</v>
      </c>
      <c r="F6" s="39" t="s">
        <v>28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197</v>
      </c>
      <c r="L6" s="37"/>
      <c r="M6" s="37"/>
      <c r="T6" s="38">
        <f>IFERROR(VLOOKUP($A6,'Crew Sheet'!$A:$C,2,FALSE),"")</f>
        <v>1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144</v>
      </c>
      <c r="B7" s="39" t="s">
        <v>162</v>
      </c>
      <c r="C7" s="39" t="s">
        <v>161</v>
      </c>
      <c r="D7" s="39" t="s">
        <v>164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Sheet'!$A:$C,2,FALSE),"")</f>
        <v>1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188</v>
      </c>
      <c r="B8" s="39" t="s">
        <v>162</v>
      </c>
      <c r="C8" s="39" t="s">
        <v>161</v>
      </c>
      <c r="D8" s="39" t="s">
        <v>164</v>
      </c>
      <c r="E8" s="39" t="s">
        <v>12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9" t="s">
        <v>164</v>
      </c>
      <c r="T8" s="38">
        <f>IFERROR(VLOOKUP($A8,'Crew Sheet'!$A:$C,2,FALSE),"")</f>
        <v>1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39" t="s">
        <v>22</v>
      </c>
      <c r="B9" s="39" t="s">
        <v>162</v>
      </c>
      <c r="C9" s="39" t="s">
        <v>160</v>
      </c>
      <c r="D9" s="39" t="s">
        <v>189</v>
      </c>
      <c r="E9" s="39" t="s">
        <v>5</v>
      </c>
      <c r="F9" s="39" t="s">
        <v>10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71" t="s">
        <v>154</v>
      </c>
      <c r="O9" s="71" t="s">
        <v>186</v>
      </c>
      <c r="T9" s="38">
        <f>IFERROR(VLOOKUP($A9,'Crew Sheet'!$A:$C,2,FALSE),"")</f>
        <v>1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51</v>
      </c>
      <c r="B10" s="39" t="s">
        <v>162</v>
      </c>
      <c r="C10" s="39" t="s">
        <v>160</v>
      </c>
      <c r="D10" s="39" t="s">
        <v>164</v>
      </c>
      <c r="E10" s="39" t="s">
        <v>5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2" t="s">
        <v>155</v>
      </c>
      <c r="O10" s="72" t="s">
        <v>187</v>
      </c>
      <c r="T10" s="38">
        <f>IFERROR(VLOOKUP($A10,'Crew Sheet'!$A:$C,2,FALSE),"")</f>
        <v>1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173</v>
      </c>
      <c r="B11" s="39" t="s">
        <v>162</v>
      </c>
      <c r="C11" s="39" t="s">
        <v>161</v>
      </c>
      <c r="D11" s="39" t="s">
        <v>164</v>
      </c>
      <c r="E11" s="39" t="s">
        <v>5</v>
      </c>
      <c r="F11" s="39" t="s">
        <v>10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184</v>
      </c>
      <c r="O11" s="65" t="s">
        <v>185</v>
      </c>
      <c r="T11" s="38">
        <f>IFERROR(VLOOKUP($A11,'Crew Sheet'!$A:$C,2,FALSE),"")</f>
        <v>1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67" t="s">
        <v>180</v>
      </c>
      <c r="B12" s="67" t="s">
        <v>162</v>
      </c>
      <c r="C12" s="67" t="s">
        <v>161</v>
      </c>
      <c r="D12" s="39" t="s">
        <v>164</v>
      </c>
      <c r="E12" s="39" t="s">
        <v>12</v>
      </c>
      <c r="F12" s="39" t="s">
        <v>10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8" t="s">
        <v>165</v>
      </c>
      <c r="T12" s="38">
        <f>IFERROR(VLOOKUP($A12,'Crew Sheet'!$A:$C,2,FALSE),"")</f>
        <v>1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60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Sheet'!$A:$C,2,FALSE),"")</f>
        <v>1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66</v>
      </c>
      <c r="B14" s="39" t="s">
        <v>162</v>
      </c>
      <c r="C14" s="39" t="s">
        <v>160</v>
      </c>
      <c r="D14" s="39" t="s">
        <v>164</v>
      </c>
      <c r="E14" s="39" t="s">
        <v>12</v>
      </c>
      <c r="F14" s="39" t="s">
        <v>10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207</v>
      </c>
      <c r="T14" s="38">
        <f>IFERROR(VLOOKUP($A14,'Crew Sheet'!$A:$C,2,FALSE),"")</f>
        <v>1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67" t="s">
        <v>175</v>
      </c>
      <c r="B15" s="67" t="s">
        <v>162</v>
      </c>
      <c r="C15" s="67" t="s">
        <v>161</v>
      </c>
      <c r="D15" s="39" t="s">
        <v>164</v>
      </c>
      <c r="E15" s="39" t="s">
        <v>12</v>
      </c>
      <c r="F15" s="39" t="s">
        <v>10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 t="str">
        <f>IFERROR(VLOOKUP($A15,'Crew Sheet'!$A:$C,2,FALSE),"")</f>
        <v/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67" t="s">
        <v>145</v>
      </c>
      <c r="B16" s="67" t="s">
        <v>162</v>
      </c>
      <c r="C16" s="67" t="s">
        <v>161</v>
      </c>
      <c r="D16" s="39" t="s">
        <v>182</v>
      </c>
      <c r="E16" s="39" t="s">
        <v>5</v>
      </c>
      <c r="F16" s="39" t="s">
        <v>10</v>
      </c>
      <c r="G16" s="39"/>
      <c r="H16" s="70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Sheet'!$A:$C,2,FALSE),"")</f>
        <v>1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67</v>
      </c>
      <c r="B17" s="39" t="s">
        <v>162</v>
      </c>
      <c r="C17" s="39" t="s">
        <v>161</v>
      </c>
      <c r="D17" s="39" t="s">
        <v>164</v>
      </c>
      <c r="E17" s="39" t="s">
        <v>12</v>
      </c>
      <c r="F17" s="39" t="s">
        <v>10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Sheet'!$A:$C,2,FALSE),"")</f>
        <v>1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69</v>
      </c>
      <c r="B18" s="39" t="s">
        <v>162</v>
      </c>
      <c r="C18" s="39" t="s">
        <v>160</v>
      </c>
      <c r="D18" s="39" t="s">
        <v>189</v>
      </c>
      <c r="E18" s="39" t="s">
        <v>12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Sheet'!$A:$C,2,FALSE),"")</f>
        <v>1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67" t="s">
        <v>142</v>
      </c>
      <c r="B19" s="67" t="s">
        <v>162</v>
      </c>
      <c r="C19" s="67" t="s">
        <v>161</v>
      </c>
      <c r="D19" s="39" t="s">
        <v>164</v>
      </c>
      <c r="E19" s="39" t="s">
        <v>5</v>
      </c>
      <c r="F19" s="39" t="s">
        <v>10</v>
      </c>
      <c r="G19" s="39"/>
      <c r="H19" s="70" t="str">
        <f>IFERROR(VLOOKUP($A19,'Crew Sheet'!#REF!,2,FALSE),"")</f>
        <v/>
      </c>
      <c r="I19" s="135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Sheet'!$A:$C,2,FALSE),"")</f>
        <v>1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177</v>
      </c>
      <c r="B20" s="39" t="s">
        <v>162</v>
      </c>
      <c r="C20" s="39" t="s">
        <v>160</v>
      </c>
      <c r="D20" s="39" t="s">
        <v>189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Sheet'!$A:$C,2,FALSE),"")</f>
        <v>1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39" t="s">
        <v>73</v>
      </c>
      <c r="B21" s="39" t="s">
        <v>162</v>
      </c>
      <c r="C21" s="39" t="s">
        <v>160</v>
      </c>
      <c r="D21" s="39" t="s">
        <v>189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Sheet'!$A:$C,2,FALSE),"")</f>
        <v>1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39" t="s">
        <v>178</v>
      </c>
      <c r="B22" s="39" t="s">
        <v>162</v>
      </c>
      <c r="C22" s="39" t="s">
        <v>161</v>
      </c>
      <c r="D22" s="39" t="s">
        <v>164</v>
      </c>
      <c r="E22" s="39" t="s">
        <v>12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Sheet'!$A:$C,2,FALSE),"")</f>
        <v>1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39" t="s">
        <v>179</v>
      </c>
      <c r="B23" s="39" t="s">
        <v>162</v>
      </c>
      <c r="C23" s="39" t="s">
        <v>161</v>
      </c>
      <c r="D23" s="39" t="s">
        <v>164</v>
      </c>
      <c r="E23" s="39" t="s">
        <v>12</v>
      </c>
      <c r="F23" s="39" t="s">
        <v>10</v>
      </c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  <c r="J23" s="37"/>
      <c r="K23" s="37"/>
      <c r="L23" s="37"/>
      <c r="M23" s="37"/>
      <c r="T23" s="38">
        <f>IFERROR(VLOOKUP($A23,'Crew Sheet'!$A:$C,2,FALSE),"")</f>
        <v>1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46</v>
      </c>
      <c r="B24" s="39" t="s">
        <v>162</v>
      </c>
      <c r="C24" s="39" t="s">
        <v>160</v>
      </c>
      <c r="D24" s="39" t="s">
        <v>186</v>
      </c>
      <c r="E24" s="39" t="s">
        <v>5</v>
      </c>
      <c r="F24" s="39" t="s">
        <v>23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Sheet'!$A:$C,2,FALSE),"")</f>
        <v>1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49</v>
      </c>
      <c r="B25" s="39" t="s">
        <v>162</v>
      </c>
      <c r="C25" s="39" t="s">
        <v>160</v>
      </c>
      <c r="D25" s="39" t="s">
        <v>192</v>
      </c>
      <c r="E25" s="39" t="s">
        <v>5</v>
      </c>
      <c r="F25" s="39" t="s">
        <v>23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Sheet'!$A:$C,2,FALSE),"")</f>
        <v>1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143</v>
      </c>
      <c r="B26" s="39" t="s">
        <v>162</v>
      </c>
      <c r="C26" s="39" t="s">
        <v>161</v>
      </c>
      <c r="D26" s="39" t="s">
        <v>192</v>
      </c>
      <c r="E26" s="39" t="s">
        <v>5</v>
      </c>
      <c r="F26" s="39" t="s">
        <v>23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Sheet'!$A:$C,2,FALSE),"")</f>
        <v>1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16</v>
      </c>
      <c r="B27" s="39" t="s">
        <v>162</v>
      </c>
      <c r="C27" s="39" t="s">
        <v>161</v>
      </c>
      <c r="D27" s="39" t="s">
        <v>189</v>
      </c>
      <c r="E27" s="39" t="s">
        <v>5</v>
      </c>
      <c r="F27" s="39" t="s">
        <v>197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>
        <f>IFERROR(VLOOKUP($A27,'Crew Sheet'!$A:$C,2,FALSE),"")</f>
        <v>1</v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39" t="s">
        <v>27</v>
      </c>
      <c r="B28" s="39" t="s">
        <v>162</v>
      </c>
      <c r="C28" s="39" t="s">
        <v>160</v>
      </c>
      <c r="D28" s="39" t="s">
        <v>189</v>
      </c>
      <c r="E28" s="39" t="s">
        <v>5</v>
      </c>
      <c r="F28" s="39" t="s">
        <v>197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Sheet'!$A:$C,2,FALSE),"")</f>
        <v>1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53</v>
      </c>
      <c r="B29" s="39" t="s">
        <v>162</v>
      </c>
      <c r="C29" s="39" t="s">
        <v>161</v>
      </c>
      <c r="D29" s="39" t="s">
        <v>191</v>
      </c>
      <c r="E29" s="39" t="s">
        <v>5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Sheet'!$A:$C,2,FALSE),"")</f>
        <v>1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55</v>
      </c>
      <c r="B30" s="39" t="s">
        <v>162</v>
      </c>
      <c r="C30" s="39" t="s">
        <v>160</v>
      </c>
      <c r="D30" s="39" t="s">
        <v>189</v>
      </c>
      <c r="E30" s="39" t="s">
        <v>5</v>
      </c>
      <c r="F30" s="39" t="s">
        <v>197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Sheet'!$A:$C,2,FALSE),"")</f>
        <v>1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146</v>
      </c>
      <c r="B31" s="39" t="s">
        <v>162</v>
      </c>
      <c r="C31" s="39" t="s">
        <v>161</v>
      </c>
      <c r="D31" s="39" t="s">
        <v>195</v>
      </c>
      <c r="E31" s="39" t="s">
        <v>5</v>
      </c>
      <c r="F31" s="39" t="s">
        <v>197</v>
      </c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Sheet'!$A:$C,2,FALSE),"")</f>
        <v>1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196</v>
      </c>
      <c r="B32" s="39" t="s">
        <v>162</v>
      </c>
      <c r="C32" s="39" t="s">
        <v>161</v>
      </c>
      <c r="D32" s="39" t="s">
        <v>193</v>
      </c>
      <c r="E32" s="39" t="s">
        <v>5</v>
      </c>
      <c r="F32" s="39" t="s">
        <v>197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 t="str">
        <f>IFERROR(VLOOKUP($A32,'Crew Sheet'!$A:$C,2,FALSE),"")</f>
        <v/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203</v>
      </c>
      <c r="B33" s="39" t="s">
        <v>162</v>
      </c>
      <c r="C33" s="39" t="s">
        <v>160</v>
      </c>
      <c r="D33" s="39" t="s">
        <v>191</v>
      </c>
      <c r="E33" s="39" t="s">
        <v>5</v>
      </c>
      <c r="F33" s="39" t="s">
        <v>197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Sheet'!$A:$C,2,FALSE),"")</f>
        <v>1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39" t="s">
        <v>181</v>
      </c>
      <c r="B34" s="39" t="s">
        <v>162</v>
      </c>
      <c r="C34" s="39" t="s">
        <v>161</v>
      </c>
      <c r="D34" s="39" t="s">
        <v>192</v>
      </c>
      <c r="E34" s="39" t="s">
        <v>5</v>
      </c>
      <c r="F34" s="39" t="s">
        <v>197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>
        <f>IFERROR(VLOOKUP($A34,'Crew Sheet'!$A:$C,2,FALSE),"")</f>
        <v>1</v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163</v>
      </c>
      <c r="B35" s="39" t="s">
        <v>162</v>
      </c>
      <c r="C35" s="39" t="s">
        <v>160</v>
      </c>
      <c r="D35" s="39" t="s">
        <v>193</v>
      </c>
      <c r="E35" s="39" t="s">
        <v>5</v>
      </c>
      <c r="F35" s="39" t="s">
        <v>197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Sheet'!$A:$C,2,FALSE),"")</f>
        <v>1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39" t="s">
        <v>70</v>
      </c>
      <c r="B36" s="39" t="s">
        <v>162</v>
      </c>
      <c r="C36" s="39" t="s">
        <v>160</v>
      </c>
      <c r="D36" s="39" t="s">
        <v>191</v>
      </c>
      <c r="E36" s="39" t="s">
        <v>5</v>
      </c>
      <c r="F36" s="39" t="s">
        <v>197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Sheet'!$A:$C,2,FALSE),"")</f>
        <v>1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72</v>
      </c>
      <c r="B37" s="39" t="s">
        <v>162</v>
      </c>
      <c r="C37" s="39" t="s">
        <v>161</v>
      </c>
      <c r="D37" s="39" t="s">
        <v>193</v>
      </c>
      <c r="E37" s="39" t="s">
        <v>12</v>
      </c>
      <c r="F37" s="39" t="s">
        <v>197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Sheet'!$A:$C,2,FALSE),"")</f>
        <v>1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176</v>
      </c>
      <c r="B38" s="39" t="s">
        <v>162</v>
      </c>
      <c r="C38" s="39" t="s">
        <v>161</v>
      </c>
      <c r="D38" s="39" t="s">
        <v>165</v>
      </c>
      <c r="E38" s="39" t="s">
        <v>5</v>
      </c>
      <c r="F38" s="39" t="s">
        <v>197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Sheet'!$A:$C,2,FALSE),"")</f>
        <v>1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74</v>
      </c>
      <c r="B39" s="39" t="s">
        <v>162</v>
      </c>
      <c r="C39" s="39" t="s">
        <v>160</v>
      </c>
      <c r="D39" s="39" t="s">
        <v>165</v>
      </c>
      <c r="E39" s="39" t="s">
        <v>12</v>
      </c>
      <c r="F39" s="39" t="s">
        <v>197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Sheet'!$A:$C,2,FALSE),"")</f>
        <v>1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276</v>
      </c>
      <c r="B40" s="39" t="s">
        <v>162</v>
      </c>
      <c r="C40" s="39" t="s">
        <v>160</v>
      </c>
      <c r="D40" s="39" t="s">
        <v>187</v>
      </c>
      <c r="E40" s="39" t="s">
        <v>5</v>
      </c>
      <c r="F40" s="39" t="s">
        <v>18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>
        <f>IFERROR(VLOOKUP($A40,'Crew Sheet'!$A:$C,2,FALSE),"")</f>
        <v>1</v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172</v>
      </c>
      <c r="B41" s="39" t="s">
        <v>162</v>
      </c>
      <c r="C41" s="39" t="s">
        <v>161</v>
      </c>
      <c r="D41" s="39" t="s">
        <v>187</v>
      </c>
      <c r="E41" s="39" t="s">
        <v>12</v>
      </c>
      <c r="F41" s="39" t="s">
        <v>18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Sheet'!$A:$C,2,FALSE),"")</f>
        <v>1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61</v>
      </c>
      <c r="B42" s="39" t="s">
        <v>162</v>
      </c>
      <c r="C42" s="39" t="s">
        <v>160</v>
      </c>
      <c r="D42" s="39" t="s">
        <v>187</v>
      </c>
      <c r="E42" s="39" t="s">
        <v>12</v>
      </c>
      <c r="F42" s="39" t="s">
        <v>18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Sheet'!$A:$C,2,FALSE),"")</f>
        <v>1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67" t="s">
        <v>190</v>
      </c>
      <c r="B43" s="67" t="s">
        <v>162</v>
      </c>
      <c r="C43" s="67" t="s">
        <v>161</v>
      </c>
      <c r="D43" s="39" t="s">
        <v>191</v>
      </c>
      <c r="E43" s="39" t="s">
        <v>5</v>
      </c>
      <c r="F43" s="39"/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Sheet'!$A:$C,2,FALSE),"")</f>
        <v>1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205</v>
      </c>
      <c r="B44" s="39" t="s">
        <v>162</v>
      </c>
      <c r="C44" s="39" t="s">
        <v>160</v>
      </c>
      <c r="D44" s="39" t="s">
        <v>191</v>
      </c>
      <c r="E44" s="39" t="s">
        <v>5</v>
      </c>
      <c r="F44" s="39"/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Sheet'!$A:$C,2,FALSE),"")</f>
        <v>1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39" t="s">
        <v>219</v>
      </c>
      <c r="B45" s="39"/>
      <c r="C45" s="39"/>
      <c r="D45" s="39" t="s">
        <v>189</v>
      </c>
      <c r="E45" s="39" t="s">
        <v>12</v>
      </c>
      <c r="F45" s="39" t="s">
        <v>197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 t="s">
        <v>220</v>
      </c>
      <c r="B46" s="39"/>
      <c r="C46" s="39"/>
      <c r="D46" s="39" t="s">
        <v>187</v>
      </c>
      <c r="E46" s="39" t="s">
        <v>5</v>
      </c>
      <c r="F46" s="39" t="s">
        <v>18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 t="s">
        <v>221</v>
      </c>
      <c r="B47" s="39"/>
      <c r="C47" s="39"/>
      <c r="D47" s="39" t="s">
        <v>164</v>
      </c>
      <c r="E47" s="39" t="s">
        <v>12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39" t="s">
        <v>222</v>
      </c>
      <c r="B48" s="67"/>
      <c r="C48" s="67"/>
      <c r="D48" s="39" t="s">
        <v>164</v>
      </c>
      <c r="E48" s="39" t="s">
        <v>12</v>
      </c>
      <c r="F48" s="39" t="s">
        <v>10</v>
      </c>
      <c r="G48" s="39"/>
      <c r="H48" s="37" t="str">
        <f>IFERROR(VLOOKUP(#REF!,'Crew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 t="s">
        <v>277</v>
      </c>
      <c r="B49" s="39"/>
      <c r="C49" s="39"/>
      <c r="D49" s="39" t="s">
        <v>189</v>
      </c>
      <c r="E49" s="39" t="s">
        <v>5</v>
      </c>
      <c r="F49" s="39" t="s">
        <v>10</v>
      </c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67" t="s">
        <v>278</v>
      </c>
      <c r="B50" s="39"/>
      <c r="C50" s="39"/>
      <c r="D50" s="39" t="s">
        <v>189</v>
      </c>
      <c r="E50" s="39" t="s">
        <v>5</v>
      </c>
      <c r="F50" s="39" t="s">
        <v>197</v>
      </c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">
      <c r="A51" s="67" t="s">
        <v>279</v>
      </c>
      <c r="B51" s="67"/>
      <c r="C51" s="67"/>
      <c r="D51" s="39" t="s">
        <v>164</v>
      </c>
      <c r="E51" s="39" t="s">
        <v>12</v>
      </c>
      <c r="F51" s="39" t="s">
        <v>10</v>
      </c>
      <c r="G51" s="39"/>
      <c r="H51" s="70" t="str">
        <f>IFERROR(VLOOKUP($A51,'Crew Sheet'!#REF!,2,FALSE),"")</f>
        <v/>
      </c>
      <c r="I51" s="135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  <row r="52" spans="1:9" ht="15.75" x14ac:dyDescent="0.2">
      <c r="A52" s="67" t="s">
        <v>239</v>
      </c>
      <c r="B52" s="67"/>
      <c r="C52" s="67"/>
      <c r="D52" s="39" t="s">
        <v>164</v>
      </c>
      <c r="E52" s="39" t="s">
        <v>132</v>
      </c>
      <c r="F52" s="39" t="s">
        <v>10</v>
      </c>
      <c r="G52" s="39"/>
      <c r="H52" s="70" t="str">
        <f>IFERROR(VLOOKUP($A52,'Crew Sheet'!#REF!,2,FALSE),"")</f>
        <v/>
      </c>
      <c r="I52" s="135"/>
    </row>
  </sheetData>
  <dataValidations count="7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2" xr:uid="{E970C2F2-E80C-4826-B44C-BBA0896DF4F3}">
      <formula1>$L$2:$L$4</formula1>
    </dataValidation>
    <dataValidation type="list" allowBlank="1" showInputMessage="1" showErrorMessage="1" sqref="E2:E52" xr:uid="{15D39B27-E883-4547-A937-98B0AEF15C77}">
      <formula1>$M$1:$M$2</formula1>
    </dataValidation>
    <dataValidation type="list" allowBlank="1" showInputMessage="1" showErrorMessage="1" sqref="C2:C52" xr:uid="{62A92420-E032-48A1-9BCC-87B219E6FEB6}">
      <formula1>$R$1:$R$2</formula1>
    </dataValidation>
    <dataValidation type="list" allowBlank="1" showInputMessage="1" showErrorMessage="1" sqref="B2:B52" xr:uid="{6D99386C-DBB0-4FED-BA33-E27E62BCDE69}">
      <formula1>$S$1:$S$2</formula1>
    </dataValidation>
    <dataValidation type="list" allowBlank="1" showInputMessage="1" showErrorMessage="1" sqref="F2:F51" xr:uid="{A5EDA5E0-11A9-42FD-9B8C-91F0CD5A616A}">
      <formula1>$K$2:$K$9</formula1>
    </dataValidation>
    <dataValidation type="list" allowBlank="1" showInputMessage="1" showErrorMessage="1" sqref="F52" xr:uid="{CD58FCE1-376D-4872-B3E1-8F971D9F73BB}">
      <formula1>$K$2:$K$7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944C8-EFA3-4D03-A494-6776752FEB82}">
  <sheetPr>
    <tabColor theme="4"/>
  </sheetPr>
  <dimension ref="A1:P51"/>
  <sheetViews>
    <sheetView topLeftCell="A6" workbookViewId="0">
      <selection activeCell="A19" sqref="A19:I19"/>
    </sheetView>
  </sheetViews>
  <sheetFormatPr defaultRowHeight="15" x14ac:dyDescent="0.25"/>
  <cols>
    <col min="1" max="1" width="19.28515625" bestFit="1" customWidth="1"/>
    <col min="2" max="2" width="10.7109375" hidden="1" customWidth="1"/>
    <col min="3" max="3" width="25.28515625" hidden="1" customWidth="1"/>
    <col min="4" max="4" width="11" bestFit="1" customWidth="1"/>
    <col min="5" max="5" width="21.5703125" bestFit="1" customWidth="1"/>
    <col min="6" max="6" width="12.7109375" bestFit="1" customWidth="1"/>
    <col min="7" max="7" width="18.28515625" hidden="1" customWidth="1"/>
    <col min="8" max="8" width="13" hidden="1" customWidth="1"/>
    <col min="9" max="9" width="25.28515625" bestFit="1" customWidth="1"/>
  </cols>
  <sheetData>
    <row r="1" spans="1:16" ht="15.75" x14ac:dyDescent="0.25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P1" t="s">
        <v>1</v>
      </c>
    </row>
    <row r="2" spans="1:16" ht="15.75" x14ac:dyDescent="0.25">
      <c r="A2" s="105" t="s">
        <v>275</v>
      </c>
      <c r="B2" s="67"/>
      <c r="C2" s="67"/>
      <c r="D2" s="73" t="s">
        <v>164</v>
      </c>
      <c r="E2" s="73" t="s">
        <v>83</v>
      </c>
      <c r="F2" s="73" t="s">
        <v>10</v>
      </c>
      <c r="G2" s="73"/>
      <c r="H2" s="103" t="str">
        <f>IFERROR(VLOOKUP($A2,'Crew Sheet'!#REF!,2,FALSE),"")</f>
        <v/>
      </c>
      <c r="I2" s="104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</row>
    <row r="3" spans="1:16" ht="15.75" x14ac:dyDescent="0.25">
      <c r="A3" s="98" t="s">
        <v>223</v>
      </c>
      <c r="B3" s="39"/>
      <c r="C3" s="39"/>
      <c r="D3" s="39" t="s">
        <v>189</v>
      </c>
      <c r="E3" s="39" t="s">
        <v>83</v>
      </c>
      <c r="F3" s="39" t="s">
        <v>197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</row>
    <row r="4" spans="1:16" ht="15.75" x14ac:dyDescent="0.25">
      <c r="A4" s="99" t="s">
        <v>224</v>
      </c>
      <c r="B4" s="39"/>
      <c r="C4" s="39"/>
      <c r="D4" s="39" t="s">
        <v>191</v>
      </c>
      <c r="E4" s="39" t="s">
        <v>83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</row>
    <row r="5" spans="1:16" ht="15.75" x14ac:dyDescent="0.25">
      <c r="A5" s="100" t="s">
        <v>225</v>
      </c>
      <c r="B5" s="39"/>
      <c r="C5" s="39"/>
      <c r="D5" s="39" t="s">
        <v>191</v>
      </c>
      <c r="E5" s="39" t="s">
        <v>83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</row>
    <row r="6" spans="1:16" ht="15.75" x14ac:dyDescent="0.25">
      <c r="A6" s="100" t="s">
        <v>226</v>
      </c>
      <c r="B6" s="39"/>
      <c r="C6" s="39"/>
      <c r="D6" s="39" t="s">
        <v>189</v>
      </c>
      <c r="E6" s="39" t="s">
        <v>83</v>
      </c>
      <c r="F6" s="39" t="s">
        <v>197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</row>
    <row r="7" spans="1:16" ht="15.75" x14ac:dyDescent="0.25">
      <c r="A7" s="101" t="s">
        <v>227</v>
      </c>
      <c r="B7" s="39"/>
      <c r="C7" s="39"/>
      <c r="D7" s="39" t="s">
        <v>164</v>
      </c>
      <c r="E7" s="39"/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</row>
    <row r="8" spans="1:16" ht="15.75" x14ac:dyDescent="0.25">
      <c r="A8" s="99" t="s">
        <v>228</v>
      </c>
      <c r="B8" s="39"/>
      <c r="C8" s="39"/>
      <c r="D8" s="39" t="s">
        <v>189</v>
      </c>
      <c r="E8" s="39" t="s">
        <v>83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</row>
    <row r="9" spans="1:16" ht="15.75" x14ac:dyDescent="0.25">
      <c r="A9" s="99" t="s">
        <v>229</v>
      </c>
      <c r="B9" s="39"/>
      <c r="C9" s="39"/>
      <c r="D9" s="39" t="s">
        <v>191</v>
      </c>
      <c r="E9" s="39" t="s">
        <v>83</v>
      </c>
      <c r="F9" s="39" t="s">
        <v>197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</row>
    <row r="10" spans="1:16" ht="15.75" x14ac:dyDescent="0.25">
      <c r="A10" s="99" t="s">
        <v>230</v>
      </c>
      <c r="B10" s="39"/>
      <c r="C10" s="39"/>
      <c r="D10" s="39" t="s">
        <v>164</v>
      </c>
      <c r="E10" s="39" t="s">
        <v>132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</row>
    <row r="11" spans="1:16" ht="15.75" x14ac:dyDescent="0.25">
      <c r="A11" s="99" t="s">
        <v>231</v>
      </c>
      <c r="B11" s="39"/>
      <c r="C11" s="39"/>
      <c r="D11" s="39" t="s">
        <v>165</v>
      </c>
      <c r="E11" s="39" t="s">
        <v>83</v>
      </c>
      <c r="F11" s="39" t="s">
        <v>197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</row>
    <row r="12" spans="1:16" ht="15.75" x14ac:dyDescent="0.25">
      <c r="A12" s="100" t="s">
        <v>232</v>
      </c>
      <c r="B12" s="39"/>
      <c r="C12" s="39"/>
      <c r="D12" s="39" t="s">
        <v>194</v>
      </c>
      <c r="E12" s="39" t="s">
        <v>83</v>
      </c>
      <c r="F12" s="39" t="s">
        <v>28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</row>
    <row r="13" spans="1:16" ht="15.75" x14ac:dyDescent="0.25">
      <c r="A13" s="100" t="s">
        <v>233</v>
      </c>
      <c r="B13" s="67"/>
      <c r="C13" s="67"/>
      <c r="D13" s="39" t="s">
        <v>164</v>
      </c>
      <c r="E13" s="39"/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</row>
    <row r="14" spans="1:16" ht="15.75" x14ac:dyDescent="0.25">
      <c r="A14" s="99" t="s">
        <v>234</v>
      </c>
      <c r="B14" s="39"/>
      <c r="C14" s="39"/>
      <c r="D14" s="39" t="s">
        <v>189</v>
      </c>
      <c r="E14" s="39" t="s">
        <v>83</v>
      </c>
      <c r="F14" s="39" t="s">
        <v>197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</row>
    <row r="15" spans="1:16" ht="15.75" x14ac:dyDescent="0.25">
      <c r="A15" s="100" t="s">
        <v>235</v>
      </c>
      <c r="B15" s="39"/>
      <c r="C15" s="39"/>
      <c r="D15" s="39" t="s">
        <v>274</v>
      </c>
      <c r="E15" s="39" t="s">
        <v>132</v>
      </c>
      <c r="F15" s="39" t="s">
        <v>18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</row>
    <row r="16" spans="1:16" ht="15.75" x14ac:dyDescent="0.25">
      <c r="A16" s="100" t="s">
        <v>236</v>
      </c>
      <c r="B16" s="67"/>
      <c r="C16" s="67"/>
      <c r="D16" s="39" t="s">
        <v>164</v>
      </c>
      <c r="E16" s="39" t="s">
        <v>132</v>
      </c>
      <c r="F16" s="39" t="s">
        <v>10</v>
      </c>
      <c r="G16" s="39"/>
      <c r="H16" s="37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</row>
    <row r="17" spans="1:9" ht="15.75" x14ac:dyDescent="0.25">
      <c r="A17" s="100" t="s">
        <v>237</v>
      </c>
      <c r="B17" s="67"/>
      <c r="C17" s="67"/>
      <c r="D17" s="39" t="s">
        <v>274</v>
      </c>
      <c r="E17" s="39" t="s">
        <v>132</v>
      </c>
      <c r="F17" s="39" t="s">
        <v>10</v>
      </c>
      <c r="G17" s="39"/>
      <c r="H17" s="70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</row>
    <row r="18" spans="1:9" ht="15.75" x14ac:dyDescent="0.25">
      <c r="A18" s="100" t="s">
        <v>238</v>
      </c>
      <c r="B18" s="39"/>
      <c r="C18" s="39"/>
      <c r="D18" s="39" t="s">
        <v>189</v>
      </c>
      <c r="E18" s="39"/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</row>
    <row r="20" spans="1:9" ht="15.75" x14ac:dyDescent="0.25">
      <c r="A20" s="100" t="s">
        <v>240</v>
      </c>
      <c r="B20" s="39"/>
      <c r="C20" s="39"/>
      <c r="D20" s="39" t="s">
        <v>164</v>
      </c>
      <c r="E20" s="39" t="s">
        <v>83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IF(AND(COUNTIF($D20,"*L*"),COUNTIFS($I$1:I18,"Loading",$T$1:T19,"x")&lt;ROUNDUP(_xlfn.XLOOKUP("Loaders",'Crew Sheet'!$H:$H,'Crew Sheet'!$L:$L),0)),"Loading",
IF(AND(COUNTIF($D20,"*R*"),COUNTIFS($I$1:I18,"Receiving",$T$1:T19,"x")&lt;ROUNDUP(SUM('Crew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</row>
    <row r="21" spans="1:9" ht="15.75" x14ac:dyDescent="0.25">
      <c r="A21" s="99" t="s">
        <v>241</v>
      </c>
      <c r="B21" s="39"/>
      <c r="C21" s="39"/>
      <c r="D21" s="39" t="s">
        <v>189</v>
      </c>
      <c r="E21" s="39" t="s">
        <v>83</v>
      </c>
      <c r="F21" s="39" t="s">
        <v>197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</row>
    <row r="22" spans="1:9" ht="15.75" x14ac:dyDescent="0.25">
      <c r="A22" s="99" t="s">
        <v>242</v>
      </c>
      <c r="B22" s="39"/>
      <c r="C22" s="39"/>
      <c r="D22" s="39" t="s">
        <v>189</v>
      </c>
      <c r="E22" s="39" t="s">
        <v>83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</row>
    <row r="23" spans="1:9" ht="15.75" x14ac:dyDescent="0.25">
      <c r="A23" s="100" t="s">
        <v>243</v>
      </c>
      <c r="B23" s="39"/>
      <c r="C23" s="39"/>
      <c r="D23" s="39" t="s">
        <v>191</v>
      </c>
      <c r="E23" s="39"/>
      <c r="F23" s="39"/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</row>
    <row r="24" spans="1:9" ht="15.75" x14ac:dyDescent="0.25">
      <c r="A24" s="99" t="s">
        <v>244</v>
      </c>
      <c r="B24" s="39"/>
      <c r="C24" s="39"/>
      <c r="D24" s="39" t="s">
        <v>164</v>
      </c>
      <c r="E24" s="39" t="s">
        <v>132</v>
      </c>
      <c r="F24" s="39" t="s">
        <v>10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</row>
    <row r="25" spans="1:9" ht="15.75" x14ac:dyDescent="0.25">
      <c r="A25" s="99" t="s">
        <v>245</v>
      </c>
      <c r="B25" s="39"/>
      <c r="C25" s="39"/>
      <c r="D25" s="39" t="s">
        <v>189</v>
      </c>
      <c r="E25" s="39" t="s">
        <v>83</v>
      </c>
      <c r="F25" s="39" t="s">
        <v>197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</row>
    <row r="26" spans="1:9" ht="15.75" x14ac:dyDescent="0.25">
      <c r="A26" s="99" t="s">
        <v>246</v>
      </c>
      <c r="B26" s="39"/>
      <c r="C26" s="39"/>
      <c r="D26" s="39" t="s">
        <v>164</v>
      </c>
      <c r="E26" s="39" t="s">
        <v>132</v>
      </c>
      <c r="F26" s="39" t="s">
        <v>10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</row>
    <row r="27" spans="1:9" ht="15.75" x14ac:dyDescent="0.25">
      <c r="A27" s="99" t="s">
        <v>247</v>
      </c>
      <c r="B27" s="39"/>
      <c r="C27" s="39"/>
      <c r="D27" s="39" t="s">
        <v>164</v>
      </c>
      <c r="E27" s="39"/>
      <c r="F27" s="39" t="s">
        <v>10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</row>
    <row r="28" spans="1:9" ht="15.75" x14ac:dyDescent="0.25">
      <c r="A28" s="100" t="s">
        <v>248</v>
      </c>
      <c r="B28" s="39"/>
      <c r="C28" s="39"/>
      <c r="D28" s="39" t="s">
        <v>191</v>
      </c>
      <c r="E28" s="39"/>
      <c r="F28" s="39" t="s">
        <v>197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</row>
    <row r="29" spans="1:9" ht="15.75" x14ac:dyDescent="0.25">
      <c r="A29" s="98" t="s">
        <v>249</v>
      </c>
      <c r="B29" s="39"/>
      <c r="C29" s="39"/>
      <c r="D29" s="39" t="s">
        <v>191</v>
      </c>
      <c r="E29" s="39" t="s">
        <v>83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</row>
    <row r="30" spans="1:9" ht="15.75" x14ac:dyDescent="0.25">
      <c r="A30" s="98" t="s">
        <v>250</v>
      </c>
      <c r="B30" s="39"/>
      <c r="C30" s="39"/>
      <c r="D30" s="39" t="s">
        <v>164</v>
      </c>
      <c r="E30" s="39" t="s">
        <v>132</v>
      </c>
      <c r="F30" s="39" t="s">
        <v>10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</row>
    <row r="31" spans="1:9" ht="15.75" x14ac:dyDescent="0.25">
      <c r="A31" s="100" t="s">
        <v>251</v>
      </c>
      <c r="B31" s="39"/>
      <c r="C31" s="39"/>
      <c r="D31" s="39" t="s">
        <v>194</v>
      </c>
      <c r="E31" s="39" t="s">
        <v>83</v>
      </c>
      <c r="F31" s="39"/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</row>
    <row r="32" spans="1:9" ht="15.75" x14ac:dyDescent="0.25">
      <c r="A32" s="99" t="s">
        <v>252</v>
      </c>
      <c r="B32" s="39"/>
      <c r="C32" s="39"/>
      <c r="D32" s="39" t="s">
        <v>189</v>
      </c>
      <c r="E32" s="39" t="s">
        <v>83</v>
      </c>
      <c r="F32" s="39" t="s">
        <v>10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</row>
    <row r="33" spans="1:9" ht="15.75" x14ac:dyDescent="0.25">
      <c r="A33" s="100" t="s">
        <v>253</v>
      </c>
      <c r="B33" s="39"/>
      <c r="C33" s="39"/>
      <c r="D33" s="39" t="s">
        <v>164</v>
      </c>
      <c r="E33" s="39" t="s">
        <v>132</v>
      </c>
      <c r="F33" s="39" t="s">
        <v>10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</row>
    <row r="34" spans="1:9" ht="15.75" x14ac:dyDescent="0.25">
      <c r="A34" s="100" t="s">
        <v>254</v>
      </c>
      <c r="B34" s="39"/>
      <c r="C34" s="39"/>
      <c r="D34" s="39" t="s">
        <v>189</v>
      </c>
      <c r="E34" s="39" t="s">
        <v>83</v>
      </c>
      <c r="F34" s="39" t="s">
        <v>197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</row>
    <row r="35" spans="1:9" ht="15.75" x14ac:dyDescent="0.25">
      <c r="A35" s="100" t="s">
        <v>255</v>
      </c>
      <c r="B35" s="39"/>
      <c r="C35" s="39"/>
      <c r="D35" s="39" t="s">
        <v>186</v>
      </c>
      <c r="E35" s="39"/>
      <c r="F35" s="39" t="s">
        <v>23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</row>
    <row r="36" spans="1:9" ht="15.75" x14ac:dyDescent="0.25">
      <c r="A36" s="100" t="s">
        <v>256</v>
      </c>
      <c r="B36" s="39"/>
      <c r="C36" s="39"/>
      <c r="D36" s="39" t="s">
        <v>164</v>
      </c>
      <c r="E36" s="39" t="s">
        <v>83</v>
      </c>
      <c r="F36" s="39" t="s">
        <v>10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</row>
    <row r="37" spans="1:9" ht="15.75" x14ac:dyDescent="0.25">
      <c r="A37" s="100" t="s">
        <v>257</v>
      </c>
      <c r="B37" s="39"/>
      <c r="C37" s="39"/>
      <c r="D37" s="39" t="s">
        <v>164</v>
      </c>
      <c r="E37" s="39" t="s">
        <v>132</v>
      </c>
      <c r="F37" s="39" t="s">
        <v>10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</row>
    <row r="38" spans="1:9" ht="15.75" x14ac:dyDescent="0.25">
      <c r="A38" s="107" t="s">
        <v>272</v>
      </c>
      <c r="B38" s="39"/>
      <c r="C38" s="39"/>
      <c r="D38" s="39" t="s">
        <v>164</v>
      </c>
      <c r="E38" s="39"/>
      <c r="F38" s="39" t="s">
        <v>10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</row>
    <row r="39" spans="1:9" ht="15.75" x14ac:dyDescent="0.25">
      <c r="A39" s="102" t="s">
        <v>258</v>
      </c>
      <c r="B39" s="39"/>
      <c r="C39" s="39"/>
      <c r="D39" s="39" t="s">
        <v>189</v>
      </c>
      <c r="E39" s="39" t="s">
        <v>132</v>
      </c>
      <c r="F39" s="39" t="s">
        <v>197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</row>
    <row r="40" spans="1:9" ht="15.75" x14ac:dyDescent="0.25">
      <c r="A40" s="100" t="s">
        <v>260</v>
      </c>
      <c r="B40" s="39"/>
      <c r="C40" s="39"/>
      <c r="D40" s="39" t="s">
        <v>191</v>
      </c>
      <c r="E40" s="39" t="s">
        <v>83</v>
      </c>
      <c r="F40" s="39" t="s">
        <v>197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</row>
    <row r="41" spans="1:9" ht="15.75" x14ac:dyDescent="0.25">
      <c r="A41" s="98" t="s">
        <v>261</v>
      </c>
      <c r="B41" s="39"/>
      <c r="C41" s="39"/>
      <c r="D41" s="39" t="s">
        <v>189</v>
      </c>
      <c r="E41" s="39" t="s">
        <v>83</v>
      </c>
      <c r="F41" s="39" t="s">
        <v>197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</row>
    <row r="42" spans="1:9" ht="15.75" x14ac:dyDescent="0.25">
      <c r="A42" s="98" t="s">
        <v>262</v>
      </c>
      <c r="B42" s="39"/>
      <c r="C42" s="39"/>
      <c r="D42" s="39" t="s">
        <v>164</v>
      </c>
      <c r="E42" s="39" t="s">
        <v>132</v>
      </c>
      <c r="F42" s="39" t="s">
        <v>10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</row>
    <row r="43" spans="1:9" ht="15.75" x14ac:dyDescent="0.25">
      <c r="A43" s="102" t="s">
        <v>263</v>
      </c>
      <c r="B43" s="39"/>
      <c r="C43" s="39"/>
      <c r="D43" s="39" t="s">
        <v>164</v>
      </c>
      <c r="E43" s="39"/>
      <c r="F43" s="39" t="s">
        <v>10</v>
      </c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</row>
    <row r="44" spans="1:9" ht="15.75" x14ac:dyDescent="0.25">
      <c r="A44" s="98" t="s">
        <v>264</v>
      </c>
      <c r="B44" s="67"/>
      <c r="C44" s="67"/>
      <c r="D44" s="39" t="s">
        <v>274</v>
      </c>
      <c r="E44" s="39" t="s">
        <v>132</v>
      </c>
      <c r="F44" s="39" t="s">
        <v>197</v>
      </c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</row>
    <row r="45" spans="1:9" ht="15.75" x14ac:dyDescent="0.25">
      <c r="A45" s="102" t="s">
        <v>265</v>
      </c>
      <c r="B45" s="39"/>
      <c r="C45" s="39"/>
      <c r="D45" s="39" t="s">
        <v>191</v>
      </c>
      <c r="E45" s="39" t="s">
        <v>83</v>
      </c>
      <c r="F45" s="39" t="s">
        <v>28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</row>
    <row r="46" spans="1:9" ht="15.75" x14ac:dyDescent="0.25">
      <c r="A46" s="102" t="s">
        <v>266</v>
      </c>
      <c r="B46" s="39"/>
      <c r="C46" s="39"/>
      <c r="D46" s="39" t="s">
        <v>270</v>
      </c>
      <c r="E46" s="39" t="s">
        <v>83</v>
      </c>
      <c r="F46" s="39" t="s">
        <v>10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</row>
    <row r="47" spans="1:9" ht="15.75" x14ac:dyDescent="0.25">
      <c r="A47" s="102" t="s">
        <v>267</v>
      </c>
      <c r="B47" s="39"/>
      <c r="C47" s="39"/>
      <c r="D47" s="39" t="s">
        <v>164</v>
      </c>
      <c r="E47" s="39" t="s">
        <v>83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</row>
    <row r="48" spans="1:9" ht="15.75" x14ac:dyDescent="0.25">
      <c r="A48" s="108" t="s">
        <v>268</v>
      </c>
      <c r="B48" s="39"/>
      <c r="C48" s="39"/>
      <c r="D48" s="39" t="s">
        <v>193</v>
      </c>
      <c r="E48" s="39"/>
      <c r="F48" s="39" t="s">
        <v>197</v>
      </c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5">
      <c r="A49" s="106" t="s">
        <v>269</v>
      </c>
      <c r="B49" s="67"/>
      <c r="C49" s="67"/>
      <c r="D49" s="39" t="s">
        <v>164</v>
      </c>
      <c r="E49" s="39" t="s">
        <v>132</v>
      </c>
      <c r="F49" s="39" t="s">
        <v>10</v>
      </c>
      <c r="G49" s="39"/>
      <c r="H49" s="37" t="str">
        <f>IFERROR(VLOOKUP(#REF!,'Crew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5">
      <c r="A50" s="67" t="s">
        <v>273</v>
      </c>
      <c r="B50" s="39"/>
      <c r="C50" s="39"/>
      <c r="D50" s="39" t="s">
        <v>271</v>
      </c>
      <c r="E50" s="39"/>
      <c r="F50" s="39"/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5">
      <c r="A51" s="67"/>
      <c r="B51" s="67"/>
      <c r="C51" s="67"/>
      <c r="D51" s="73"/>
      <c r="E51" s="73"/>
      <c r="F51" s="73"/>
      <c r="G51" s="73"/>
      <c r="H51" s="103" t="str">
        <f>IFERROR(VLOOKUP($A51,'Crew Sheet'!#REF!,2,FALSE),"")</f>
        <v/>
      </c>
      <c r="I51" s="104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</sheetData>
  <dataValidations count="3">
    <dataValidation type="list" allowBlank="1" showInputMessage="1" showErrorMessage="1" sqref="H1" xr:uid="{884A2202-AEB7-41BE-A0F6-1AC21A76A651}">
      <formula1>$O$1:$O$3</formula1>
    </dataValidation>
    <dataValidation type="list" allowBlank="1" showInputMessage="1" showErrorMessage="1" sqref="B2:B18 B20:B51" xr:uid="{01572EC7-69C1-47D1-8168-8C49CFE7A055}">
      <formula1>$S$1:$S$2</formula1>
    </dataValidation>
    <dataValidation type="list" allowBlank="1" showInputMessage="1" showErrorMessage="1" sqref="C2:C18 C20:C51" xr:uid="{E9E619C6-37F8-40F0-8EAE-D4000E45E4C3}">
      <formula1>$R$1:$R$2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58FCE1-376D-4872-B3E1-8F971D9F73BB}">
          <x14:formula1>
            <xm:f>'Staffing sheet 1ST Shift'!$K$2:$K$7</xm:f>
          </x14:formula1>
          <xm:sqref>F2:F18 F20:F51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topLeftCell="B1" workbookViewId="0">
      <selection activeCell="Q50" sqref="Q50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68" t="s">
        <v>111</v>
      </c>
      <c r="I2" s="168"/>
      <c r="J2" s="168"/>
      <c r="K2" s="168"/>
      <c r="L2" s="169" t="s">
        <v>112</v>
      </c>
      <c r="M2" s="170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Crew Sheet</vt:lpstr>
      <vt:lpstr>Staffing Forecast</vt:lpstr>
      <vt:lpstr>Staffing Dashboard</vt:lpstr>
      <vt:lpstr>Staffing sheet 1ST Shift</vt:lpstr>
      <vt:lpstr>Staffing Sheet 2nd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2026-06-22T13:33:41Z</dcterms:modified>
  <cp:category/>
  <cp:contentStatus/>
</cp:coreProperties>
</file>