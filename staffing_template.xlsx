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StaffingApp\"/>
    </mc:Choice>
  </mc:AlternateContent>
  <xr:revisionPtr revIDLastSave="0" documentId="13_ncr:1_{8C10D655-E3A9-493D-B676-6507F566A51C}" xr6:coauthVersionLast="47" xr6:coauthVersionMax="47" xr10:uidLastSave="{00000000-0000-0000-0000-000000000000}"/>
  <bookViews>
    <workbookView xWindow="-120" yWindow="-120" windowWidth="29040" windowHeight="15720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C50" i="3"/>
  <c r="D50" i="3" s="1"/>
  <c r="E50" i="3" s="1"/>
  <c r="C51" i="3"/>
  <c r="D51" i="3" s="1"/>
  <c r="E51" i="3" s="1"/>
  <c r="C52" i="3"/>
  <c r="D52" i="3" s="1"/>
  <c r="E52" i="3" s="1"/>
  <c r="C53" i="3"/>
  <c r="D53" i="3" s="1"/>
  <c r="E53" i="3" s="1"/>
  <c r="C54" i="3"/>
  <c r="D54" i="3" s="1"/>
  <c r="E54" i="3" s="1"/>
  <c r="C55" i="3"/>
  <c r="D55" i="3" s="1"/>
  <c r="E55" i="3" s="1"/>
  <c r="C56" i="3"/>
  <c r="D56" i="3" s="1"/>
  <c r="E56" i="3" s="1"/>
  <c r="C57" i="3"/>
  <c r="D57" i="3" s="1"/>
  <c r="E57" i="3" s="1"/>
  <c r="C58" i="3"/>
  <c r="D58" i="3" s="1"/>
  <c r="E58" i="3" s="1"/>
  <c r="C59" i="3"/>
  <c r="D59" i="3" s="1"/>
  <c r="E59" i="3" s="1"/>
  <c r="C60" i="3"/>
  <c r="D60" i="3" s="1"/>
  <c r="E60" i="3" s="1"/>
  <c r="C61" i="3"/>
  <c r="D61" i="3" s="1"/>
  <c r="E61" i="3" s="1"/>
  <c r="C62" i="3"/>
  <c r="D62" i="3" s="1"/>
  <c r="E62" i="3" s="1"/>
  <c r="C63" i="3"/>
  <c r="D63" i="3" s="1"/>
  <c r="E63" i="3" s="1"/>
  <c r="C64" i="3"/>
  <c r="D64" i="3" s="1"/>
  <c r="E64" i="3" s="1"/>
  <c r="C65" i="3"/>
  <c r="D65" i="3" s="1"/>
  <c r="E65" i="3" s="1"/>
  <c r="C66" i="3"/>
  <c r="D66" i="3" s="1"/>
  <c r="E66" i="3" s="1"/>
  <c r="C67" i="3"/>
  <c r="D67" i="3" s="1"/>
  <c r="E67" i="3" s="1"/>
  <c r="C68" i="3"/>
  <c r="D68" i="3" s="1"/>
  <c r="E68" i="3" s="1"/>
  <c r="C69" i="3"/>
  <c r="D69" i="3" s="1"/>
  <c r="E69" i="3" s="1"/>
  <c r="C70" i="3"/>
  <c r="D70" i="3" s="1"/>
  <c r="E70" i="3" s="1"/>
  <c r="C71" i="3"/>
  <c r="D71" i="3" s="1"/>
  <c r="E71" i="3" s="1"/>
  <c r="C72" i="3"/>
  <c r="D72" i="3" s="1"/>
  <c r="E72" i="3" s="1"/>
  <c r="C73" i="3"/>
  <c r="D73" i="3" s="1"/>
  <c r="E73" i="3" s="1"/>
  <c r="C74" i="3"/>
  <c r="D74" i="3" s="1"/>
  <c r="E74" i="3" s="1"/>
  <c r="C75" i="3"/>
  <c r="D75" i="3" s="1"/>
  <c r="E75" i="3" s="1"/>
  <c r="C76" i="3"/>
  <c r="D76" i="3" s="1"/>
  <c r="E76" i="3" s="1"/>
  <c r="C77" i="3"/>
  <c r="D77" i="3" s="1"/>
  <c r="E77" i="3" s="1"/>
  <c r="C78" i="3"/>
  <c r="D78" i="3" s="1"/>
  <c r="E78" i="3" s="1"/>
  <c r="C79" i="3"/>
  <c r="D79" i="3" s="1"/>
  <c r="E79" i="3" s="1"/>
  <c r="C80" i="3"/>
  <c r="D80" i="3" s="1"/>
  <c r="E80" i="3" s="1"/>
  <c r="C81" i="3"/>
  <c r="D81" i="3" s="1"/>
  <c r="E81" i="3" s="1"/>
  <c r="C82" i="3"/>
  <c r="D82" i="3" s="1"/>
  <c r="E82" i="3" s="1"/>
  <c r="C83" i="3"/>
  <c r="D83" i="3" s="1"/>
  <c r="E83" i="3" s="1"/>
  <c r="C84" i="3"/>
  <c r="D84" i="3" s="1"/>
  <c r="E84" i="3" s="1"/>
  <c r="C85" i="3"/>
  <c r="D85" i="3" s="1"/>
  <c r="E85" i="3" s="1"/>
  <c r="C86" i="3"/>
  <c r="D86" i="3" s="1"/>
  <c r="E86" i="3" s="1"/>
  <c r="C87" i="3"/>
  <c r="D87" i="3" s="1"/>
  <c r="E87" i="3" s="1"/>
  <c r="C88" i="3"/>
  <c r="D88" i="3" s="1"/>
  <c r="E88" i="3" s="1"/>
  <c r="C89" i="3"/>
  <c r="D89" i="3" s="1"/>
  <c r="E89" i="3" s="1"/>
  <c r="C90" i="3"/>
  <c r="D90" i="3" s="1"/>
  <c r="E90" i="3" s="1"/>
  <c r="C91" i="3"/>
  <c r="D91" i="3" s="1"/>
  <c r="E91" i="3" s="1"/>
  <c r="C92" i="3"/>
  <c r="D92" i="3" s="1"/>
  <c r="E92" i="3" s="1"/>
  <c r="C93" i="3"/>
  <c r="D93" i="3" s="1"/>
  <c r="E93" i="3" s="1"/>
  <c r="C94" i="3"/>
  <c r="D94" i="3" s="1"/>
  <c r="E94" i="3" s="1"/>
  <c r="C95" i="3"/>
  <c r="D95" i="3" s="1"/>
  <c r="E95" i="3" s="1"/>
  <c r="C49" i="3"/>
  <c r="D49" i="3" s="1"/>
  <c r="E49" i="3" s="1"/>
  <c r="C96" i="3" a="1"/>
  <c r="C96" i="3" s="1"/>
  <c r="C26" i="3"/>
  <c r="D26" i="3" s="1"/>
  <c r="E26" i="3" s="1"/>
  <c r="C9" i="3"/>
  <c r="D9" i="3" s="1"/>
  <c r="E9" i="3" s="1"/>
  <c r="C47" i="3"/>
  <c r="D47" i="3" s="1"/>
  <c r="E47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C3" i="3"/>
  <c r="C4" i="3"/>
  <c r="D4" i="3" s="1"/>
  <c r="E4" i="3" s="1"/>
  <c r="C5" i="3"/>
  <c r="D5" i="3" s="1"/>
  <c r="E5" i="3" s="1"/>
  <c r="C6" i="3"/>
  <c r="D6" i="3" s="1"/>
  <c r="E6" i="3" s="1"/>
  <c r="C7" i="3"/>
  <c r="D7" i="3" s="1"/>
  <c r="E7" i="3" s="1"/>
  <c r="C8" i="3"/>
  <c r="D8" i="3" s="1"/>
  <c r="E8" i="3" s="1"/>
  <c r="C10" i="3"/>
  <c r="E10" i="3" s="1"/>
  <c r="C11" i="3"/>
  <c r="D11" i="3" s="1"/>
  <c r="E11" i="3" s="1"/>
  <c r="C12" i="3"/>
  <c r="D12" i="3" s="1"/>
  <c r="E12" i="3" s="1"/>
  <c r="C13" i="3"/>
  <c r="D13" i="3" s="1"/>
  <c r="E13" i="3" s="1"/>
  <c r="C14" i="3"/>
  <c r="D14" i="3" s="1"/>
  <c r="E14" i="3" s="1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D19" i="3" s="1"/>
  <c r="E19" i="3" s="1"/>
  <c r="C20" i="3"/>
  <c r="D20" i="3" s="1"/>
  <c r="E20" i="3" s="1"/>
  <c r="C21" i="3"/>
  <c r="D21" i="3" s="1"/>
  <c r="E21" i="3" s="1"/>
  <c r="C22" i="3"/>
  <c r="D22" i="3" s="1"/>
  <c r="E22" i="3" s="1"/>
  <c r="C23" i="3"/>
  <c r="D23" i="3" s="1"/>
  <c r="E23" i="3" s="1"/>
  <c r="C24" i="3"/>
  <c r="D24" i="3" s="1"/>
  <c r="E24" i="3" s="1"/>
  <c r="C25" i="3"/>
  <c r="D25" i="3" s="1"/>
  <c r="E25" i="3" s="1"/>
  <c r="C27" i="3"/>
  <c r="D27" i="3" s="1"/>
  <c r="E27" i="3" s="1"/>
  <c r="C28" i="3"/>
  <c r="D28" i="3" s="1"/>
  <c r="E28" i="3" s="1"/>
  <c r="C29" i="3"/>
  <c r="D29" i="3" s="1"/>
  <c r="E29" i="3" s="1"/>
  <c r="C30" i="3"/>
  <c r="D30" i="3" s="1"/>
  <c r="E30" i="3" s="1"/>
  <c r="C31" i="3"/>
  <c r="D31" i="3" s="1"/>
  <c r="E31" i="3" s="1"/>
  <c r="C32" i="3"/>
  <c r="D32" i="3" s="1"/>
  <c r="E32" i="3" s="1"/>
  <c r="C33" i="3"/>
  <c r="D33" i="3" s="1"/>
  <c r="E33" i="3" s="1"/>
  <c r="C34" i="3"/>
  <c r="D34" i="3" s="1"/>
  <c r="E34" i="3" s="1"/>
  <c r="C35" i="3"/>
  <c r="D35" i="3" s="1"/>
  <c r="E35" i="3" s="1"/>
  <c r="C36" i="3"/>
  <c r="D36" i="3" s="1"/>
  <c r="E36" i="3" s="1"/>
  <c r="C37" i="3"/>
  <c r="D37" i="3" s="1"/>
  <c r="E37" i="3" s="1"/>
  <c r="C39" i="3"/>
  <c r="D39" i="3" s="1"/>
  <c r="E39" i="3" s="1"/>
  <c r="C40" i="3"/>
  <c r="D40" i="3" s="1"/>
  <c r="E40" i="3" s="1"/>
  <c r="C41" i="3"/>
  <c r="D41" i="3" s="1"/>
  <c r="E41" i="3" s="1"/>
  <c r="C42" i="3"/>
  <c r="D42" i="3" s="1"/>
  <c r="E42" i="3" s="1"/>
  <c r="C43" i="3"/>
  <c r="D43" i="3" s="1"/>
  <c r="E43" i="3" s="1"/>
  <c r="C44" i="3"/>
  <c r="D44" i="3" s="1"/>
  <c r="E44" i="3" s="1"/>
  <c r="C45" i="3"/>
  <c r="D45" i="3" s="1"/>
  <c r="E45" i="3" s="1"/>
  <c r="C46" i="3"/>
  <c r="D46" i="3" s="1"/>
  <c r="E46" i="3" s="1"/>
  <c r="C48" i="3"/>
  <c r="D48" i="3" s="1"/>
  <c r="E48" i="3" s="1"/>
  <c r="C38" i="3"/>
  <c r="D38" i="3" s="1"/>
  <c r="E38" i="3" s="1"/>
  <c r="C2" i="3"/>
  <c r="L14" i="3"/>
  <c r="L13" i="3"/>
  <c r="C146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<sst xmlns="http://schemas.openxmlformats.org/spreadsheetml/2006/main" count="1839" uniqueCount="277">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</sst>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56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8" fillId="4" borderId="1" xfId="1" applyFont="1" applyFill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9" fontId="6" fillId="0" borderId="5" xfId="1" applyFont="1" applyFill="1" applyBorder="1"/>
    <xf numFmtId="0" fontId="6" fillId="0" borderId="14" xfId="1" applyNumberFormat="1" applyFont="1" applyBorder="1"/>
    <xf numFmtId="0" fontId="0" fillId="0" borderId="4" xfId="0" applyBorder="1"/>
    <xf numFmtId="0" fontId="2" fillId="0" borderId="3" xfId="0" applyFont="1" applyBorder="1" applyAlignment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6" totalsRowShown="0" headerRowDxfId="87" headerRowBorderDxfId="86" tableBorderDxfId="85" totalsRowBorderDxfId="84">
  <autoFilter ref="E2:G96" xr:uid="{031EB663-8209-469F-A374-FDA411014297}"/>
  <tableColumns count="3">
    <tableColumn id="1" xr3:uid="{E8F55B06-37ED-4F33-84E2-EB91B839BBDC}" name="Name " dataDxfId="83" dataCellStyle="Percent"/>
    <tableColumn id="2" xr3:uid="{CEB23E05-8AA9-4D08-9144-F16759353368}" name="Shift" dataDxfId="82" dataCellStyle="Percent"/>
    <tableColumn id="3" xr3:uid="{E8F584AB-F5F2-48E5-AD15-BEDBFAEBED1C}" name="Present " dataDxfId="8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80" dataDxfId="79" headerRowCellStyle="Normal 2" dataCellStyle="Normal 2">
  <autoFilter ref="Q8:U16" xr:uid="{B211F10D-8B19-4A95-B055-F73F56DAC250}"/>
  <tableColumns count="5">
    <tableColumn id="1" xr3:uid="{30DC1EDA-5C0F-4F5E-9715-3F1FBFA8739D}" name="Expected Volume" dataDxfId="78" dataCellStyle="Normal 2">
      <calculatedColumnFormula>'Staffing Forecast'!AC13/4</calculatedColumnFormula>
    </tableColumn>
    <tableColumn id="2" xr3:uid="{23A260FE-14D0-4C6B-A71D-DF73ED9D6C69}" name="Expected Completed Cases" dataDxfId="77" dataCellStyle="Normal 2">
      <calculatedColumnFormula>44*'Crew Sheet'!I3</calculatedColumnFormula>
    </tableColumn>
    <tableColumn id="3" xr3:uid="{CD0A2822-1C1B-493E-A0E0-CF853FD8B971}" name="Completion % " dataDxfId="76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5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4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3" headerRowCellStyle="Normal 2">
  <autoFilter ref="N8:P16" xr:uid="{D699CF4E-0805-4A18-95BC-59A0CDB5ABED}"/>
  <tableColumns count="3">
    <tableColumn id="1" xr3:uid="{73B9821D-E8F2-4CA4-8937-35662A0162B1}" name="Workers Gap" dataDxfId="72" dataCellStyle="Normal 2">
      <calculatedColumnFormula>Table2[[#This Row],[Available Staff ]]-Table2[[#This Row],[Needed ]]</calculatedColumnFormula>
    </tableColumn>
    <tableColumn id="3" xr3:uid="{8226F470-62FB-460F-95CD-48B00B714660}" name="Hours Gap" dataDxfId="71" dataCellStyle="Normal 2">
      <calculatedColumnFormula>Table5[[#This Row],[Workers Gap]]*I3</calculatedColumnFormula>
    </tableColumn>
    <tableColumn id="2" xr3:uid="{178486D8-FB3F-4CAE-ADBE-7A8D77938D5C}" name="Status" dataDxfId="70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9" dataDxfId="68" headerRowCellStyle="Normal 2" dataCellStyle="Normal 2">
  <autoFilter ref="H8:L16" xr:uid="{02D3F5C5-6765-4B7E-93A3-35A7E0BFEF2C}"/>
  <tableColumns count="5">
    <tableColumn id="1" xr3:uid="{BB926FF7-849C-4906-A4BD-F7F42866B088}" name="Task" dataDxfId="67" totalsRowDxfId="4" dataCellStyle="Normal 2 2" totalsRowCellStyle="Normal 2 2"/>
    <tableColumn id="2" xr3:uid="{0A22FFD1-2FA5-450C-A4B5-595ABFB04281}" name="Available Staff " dataDxfId="66" totalsRowDxfId="3" dataCellStyle="Normal 2" totalsRowCellStyle="Normal 2">
      <calculatedColumnFormula>COUNTIF(E1:E48, "Unloading")</calculatedColumnFormula>
    </tableColumn>
    <tableColumn id="3" xr3:uid="{C9F64942-2076-4AEE-8338-AD2243C06434}" name="Column1" dataDxfId="65" totalsRowDxfId="2" dataCellStyle="Normal 2" totalsRowCellStyle="Normal 2"/>
    <tableColumn id="4" xr3:uid="{C8A70DF0-CAA5-44DB-9BCE-B278C766B8F7}" name="Inbound/Outbound" totalsRowFunction="custom" dataDxfId="64" totalsRowDxfId="1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63" totalsRowDxfId="0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96" totalsRowCount="1" headerRowDxfId="62" dataDxfId="61">
  <autoFilter ref="A1:E95" xr:uid="{09E63B43-55FB-4662-9539-B7A6CCB4934C}"/>
  <sortState xmlns:xlrd2="http://schemas.microsoft.com/office/spreadsheetml/2017/richdata2" ref="A2:E56">
    <sortCondition ref="A1:A56"/>
  </sortState>
  <tableColumns count="5">
    <tableColumn id="1" xr3:uid="{378533D2-B1FD-44C5-B565-7FA9D5600218}" name="Name " dataDxfId="21" totalsRowDxfId="9"/>
    <tableColumn id="2" xr3:uid="{EDDC7BD6-648A-46BE-9513-F98A04682A36}" name="Shift" dataDxfId="20" totalsRowDxfId="8" dataCellStyle="Normal 2"/>
    <tableColumn id="6" xr3:uid="{9D0943E1-8A10-4BC8-BCF0-9A4C12BC91ED}" name="Present" totalsRowFunction="custom" dataDxfId="19" totalsRowDxfId="7" dataCellStyle="Normal 2">
      <totalsRowFormula array="1">COUNTIF(G2:G95,x)</totalsRowFormula>
    </tableColumn>
    <tableColumn id="5" xr3:uid="{1B40A01E-A3F7-4A62-96A5-3CBA1141A8EB}" name="Recommended Task" dataDxfId="11" totalsRowDxfId="6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10" totalsRowDxfId="5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60" dataDxfId="59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58" dataCellStyle="Normal 2"/>
    <tableColumn id="7" xr3:uid="{1B9564C3-606B-44E7-9409-BBBC732828D9}" name="Shift " dataDxfId="57" dataCellStyle="Normal 2"/>
    <tableColumn id="9" xr3:uid="{52A2F257-AC52-42E7-B8AD-26B7C5CDEA18}" name="Weekday/Weekend" dataDxfId="56" dataCellStyle="Normal 2"/>
    <tableColumn id="2" xr3:uid="{4391CAFC-B806-47AE-97BA-FE4348B6BBE4}" name="Skills " dataDxfId="55"/>
    <tableColumn id="8" xr3:uid="{6F9C6788-F5C9-4125-950E-7F5BF4CAF572}" name="Forklift Certified" dataDxfId="54"/>
    <tableColumn id="3" xr3:uid="{F271F169-B8C4-4452-8F33-C7A685EAF739}" name="Best Fit" dataDxfId="53"/>
    <tableColumn id="4" xr3:uid="{CC83BD97-B371-42C0-A23B-0907A68EDCB5}" name="Classification" dataDxfId="52"/>
    <tableColumn id="6" xr3:uid="{75015F24-6915-4715-AEBE-AC40105A73DF}" name="Present" dataDxfId="51">
      <calculatedColumnFormula>IFERROR(VLOOKUP($A2,'Crew Sheet'!#REF!,2,FALSE),"")</calculatedColumnFormula>
    </tableColumn>
    <tableColumn id="12" xr3:uid="{FCA61B40-E6E6-4CAB-8923-1B26B7D7B332}" name="Recommended Task" dataDxfId="50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49" dataDxfId="48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47" dataCellStyle="Normal 2"/>
    <tableColumn id="7" xr3:uid="{9F31F817-5384-4EA3-8CCB-719BFB212D62}" name="Shift " dataDxfId="46" dataCellStyle="Normal 2"/>
    <tableColumn id="9" xr3:uid="{872D6743-106A-4EFA-A85C-0D0F0DD69C29}" name="Weekday/Weekend" dataDxfId="45" dataCellStyle="Normal 2"/>
    <tableColumn id="2" xr3:uid="{F93C46E1-679B-49EE-BF09-DB28F1CB55E4}" name="Skills " dataDxfId="44"/>
    <tableColumn id="8" xr3:uid="{D478939E-F43B-4495-957A-89D310F2057C}" name="Forklift Certified" dataDxfId="43"/>
    <tableColumn id="3" xr3:uid="{DF1EA81B-3A8F-4DC0-B1DD-5EF399424F3C}" name="Best Fit" dataDxfId="42"/>
    <tableColumn id="4" xr3:uid="{B7BE5BE4-3821-4CC8-9BD1-9C75D4BFB9E7}" name="Classification" dataDxfId="41"/>
    <tableColumn id="6" xr3:uid="{2416C68C-97B7-44FC-9013-30D70CF8C9CB}" name="Present" dataDxfId="40">
      <calculatedColumnFormula>IFERROR(VLOOKUP($A2,'Crew Sheet'!#REF!,2,FALSE),"")</calculatedColumnFormula>
    </tableColumn>
    <tableColumn id="12" xr3:uid="{3E60B2E9-94F9-4227-99CF-817F62A8E8EC}" name="Recommended Task" dataDxfId="39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38" dataDxfId="36" headerRowBorderDxfId="37" tableBorderDxfId="35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34"/>
    <tableColumn id="2" xr3:uid="{15BC200D-2A7D-42A9-816F-F61F2B352644}" name="Date" dataDxfId="33"/>
    <tableColumn id="3" xr3:uid="{6E8128F9-ADFB-4EFB-8B49-1C4E71DD7EF0}" name="1st Pallets" dataDxfId="32">
      <calculatedColumnFormula>O29*$P$27</calculatedColumnFormula>
    </tableColumn>
    <tableColumn id="4" xr3:uid="{90F78137-FFC5-41E3-A9D9-5A0EC5FE4975}" name="1st Cases" dataDxfId="31"/>
    <tableColumn id="5" xr3:uid="{8200FF7F-BCF8-48C8-B0CB-303683386417}" name="2nd Pallets" dataDxfId="30">
      <calculatedColumnFormula>R29*$P$27</calculatedColumnFormula>
    </tableColumn>
    <tableColumn id="6" xr3:uid="{02468058-7DEC-41C7-8DCB-CF982D43399D}" name="2nd Cases" dataDxfId="29"/>
    <tableColumn id="7" xr3:uid="{BBC0DD35-D943-46F1-B706-5784D7369796}" name="Total Cases" dataDxfId="28">
      <calculatedColumnFormula>SUM(C4:F4)</calculatedColumnFormula>
    </tableColumn>
    <tableColumn id="8" xr3:uid="{D9CAC310-34BD-45FD-8673-1F1D643911B2}" name="Pallets 1st" dataDxfId="27">
      <calculatedColumnFormula>IFERROR(C4/G4,0)</calculatedColumnFormula>
    </tableColumn>
    <tableColumn id="9" xr3:uid="{A5ECACF9-8EA9-40BA-8495-E5D08AA0FB8C}" name="Pallets 2nd" dataDxfId="26">
      <calculatedColumnFormula>IFERROR(E4/G4,0)</calculatedColumnFormula>
    </tableColumn>
    <tableColumn id="10" xr3:uid="{8DEA38E9-29BD-4BB9-99DC-B451FD1006E7}" name="Cases 1st" dataDxfId="25">
      <calculatedColumnFormula>IFERROR(D4/G4,0)</calculatedColumnFormula>
    </tableColumn>
    <tableColumn id="11" xr3:uid="{6945D6B2-198F-483D-A794-06650B4628CF}" name="Cases 2nd" dataDxfId="24">
      <calculatedColumnFormula>IFERROR(F4/G4,0)</calculatedColumnFormula>
    </tableColumn>
    <tableColumn id="12" xr3:uid="{F0AE8DE5-4171-4614-8CC7-F76DDB35C172}" name="Total Pallets" dataDxfId="23">
      <calculatedColumnFormula>IFERROR((C4+E4)/G4, 0)</calculatedColumnFormula>
    </tableColumn>
    <tableColumn id="13" xr3:uid="{7AFE8EA3-98E3-469A-8F81-658415A70ED8}" name="Total Case Pick" dataDxfId="22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6"/>
  <sheetViews>
    <sheetView tabSelected="1" workbookViewId="0">
      <selection activeCell="B6" sqref="B6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212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219</v>
      </c>
      <c r="M1" s="88">
        <f>COUNTIF(G3:G51, "x") + COUNTIF(P3:P51,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8" t="s">
        <v>0</v>
      </c>
      <c r="F2" s="129" t="s">
        <v>13</v>
      </c>
      <c r="G2" s="130" t="s">
        <v>200</v>
      </c>
      <c r="H2" s="37" t="s">
        <v>211</v>
      </c>
      <c r="I2" s="76"/>
      <c r="J2" t="s">
        <v>211</v>
      </c>
      <c r="K2">
        <v>2</v>
      </c>
      <c r="O2" s="97"/>
      <c r="P2" s="134"/>
    </row>
    <row r="3" spans="1:17" ht="15.75" x14ac:dyDescent="0.25">
      <c r="A3" s="90" t="s">
        <v>20</v>
      </c>
      <c r="B3" s="62"/>
      <c r="C3" s="78"/>
      <c r="D3" s="79"/>
      <c r="E3" s="116" t="s">
        <v>171</v>
      </c>
      <c r="F3" s="81">
        <v>1</v>
      </c>
      <c r="G3" s="124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210</v>
      </c>
      <c r="B4" s="62">
        <v>9.5</v>
      </c>
      <c r="C4" s="37"/>
      <c r="E4" s="117" t="s">
        <v>16</v>
      </c>
      <c r="F4" s="81">
        <v>1</v>
      </c>
      <c r="G4" s="125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144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209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7" t="s">
        <v>191</v>
      </c>
      <c r="F6" s="81">
        <v>1</v>
      </c>
      <c r="G6" s="125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189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7" t="s">
        <v>22</v>
      </c>
      <c r="F8" s="81">
        <v>1</v>
      </c>
      <c r="G8" s="125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6" t="s">
        <v>27</v>
      </c>
      <c r="F9" s="81">
        <v>1</v>
      </c>
      <c r="G9" s="124"/>
      <c r="O9" s="95"/>
      <c r="P9" s="55"/>
    </row>
    <row r="10" spans="1:17" ht="15.75" x14ac:dyDescent="0.25">
      <c r="A10" s="89" t="s">
        <v>87</v>
      </c>
      <c r="B10" s="84"/>
      <c r="E10" s="117" t="s">
        <v>46</v>
      </c>
      <c r="F10" s="81">
        <v>1</v>
      </c>
      <c r="G10" s="125"/>
      <c r="O10" s="95"/>
      <c r="P10" s="55"/>
    </row>
    <row r="11" spans="1:17" ht="15.75" x14ac:dyDescent="0.25">
      <c r="E11" s="116" t="s">
        <v>49</v>
      </c>
      <c r="F11" s="81">
        <v>1</v>
      </c>
      <c r="G11" s="124"/>
      <c r="O11" s="95"/>
      <c r="P11" s="55"/>
    </row>
    <row r="12" spans="1:17" ht="15.75" x14ac:dyDescent="0.25">
      <c r="E12" s="117" t="s">
        <v>51</v>
      </c>
      <c r="F12" s="81">
        <v>1</v>
      </c>
      <c r="G12" s="125"/>
      <c r="O12" s="95"/>
      <c r="P12" s="55"/>
    </row>
    <row r="13" spans="1:17" ht="15.75" x14ac:dyDescent="0.25">
      <c r="A13" s="86" t="s">
        <v>213</v>
      </c>
      <c r="E13" s="116" t="s">
        <v>53</v>
      </c>
      <c r="F13" s="81">
        <v>1</v>
      </c>
      <c r="G13" s="124"/>
      <c r="O13" s="95"/>
      <c r="P13" s="55"/>
    </row>
    <row r="14" spans="1:17" ht="15.75" x14ac:dyDescent="0.25">
      <c r="A14" s="37" t="s">
        <v>141</v>
      </c>
      <c r="E14" s="117" t="s">
        <v>55</v>
      </c>
      <c r="F14" s="81">
        <v>1</v>
      </c>
      <c r="G14" s="125"/>
      <c r="O14" s="95"/>
      <c r="P14" s="55"/>
    </row>
    <row r="15" spans="1:17" ht="15.75" x14ac:dyDescent="0.25">
      <c r="A15" s="37" t="s">
        <v>170</v>
      </c>
      <c r="E15" s="116" t="s">
        <v>172</v>
      </c>
      <c r="F15" s="81">
        <v>1</v>
      </c>
      <c r="G15" s="124"/>
      <c r="O15" s="95"/>
      <c r="P15" s="55"/>
    </row>
    <row r="16" spans="1:17" ht="15.75" x14ac:dyDescent="0.25">
      <c r="E16" s="117" t="s">
        <v>56</v>
      </c>
      <c r="F16" s="81">
        <v>1</v>
      </c>
      <c r="G16" s="125"/>
      <c r="O16" s="95"/>
      <c r="P16" s="55"/>
    </row>
    <row r="17" spans="3:16" ht="15.75" x14ac:dyDescent="0.25">
      <c r="E17" s="116" t="s">
        <v>173</v>
      </c>
      <c r="F17" s="81">
        <v>1</v>
      </c>
      <c r="G17" s="124"/>
      <c r="O17" s="95"/>
      <c r="P17" s="55"/>
    </row>
    <row r="18" spans="3:16" ht="15.75" x14ac:dyDescent="0.25">
      <c r="E18" s="117" t="s">
        <v>174</v>
      </c>
      <c r="F18" s="81">
        <v>1</v>
      </c>
      <c r="G18" s="125"/>
      <c r="O18" s="95"/>
      <c r="P18" s="55"/>
    </row>
    <row r="19" spans="3:16" ht="15.75" x14ac:dyDescent="0.25">
      <c r="C19" s="82"/>
      <c r="E19" s="116" t="s">
        <v>181</v>
      </c>
      <c r="F19" s="81">
        <v>1</v>
      </c>
      <c r="G19" s="124"/>
      <c r="O19" s="95"/>
      <c r="P19" s="55"/>
    </row>
    <row r="20" spans="3:16" ht="15.75" x14ac:dyDescent="0.25">
      <c r="E20" s="117" t="s">
        <v>60</v>
      </c>
      <c r="F20" s="81">
        <v>1</v>
      </c>
      <c r="G20" s="125"/>
      <c r="O20" s="95"/>
      <c r="P20" s="55"/>
    </row>
    <row r="21" spans="3:16" ht="15.75" x14ac:dyDescent="0.25">
      <c r="E21" s="116" t="s">
        <v>61</v>
      </c>
      <c r="F21" s="81">
        <v>1</v>
      </c>
      <c r="G21" s="124"/>
      <c r="O21" s="95"/>
      <c r="P21" s="55"/>
    </row>
    <row r="22" spans="3:16" ht="15.75" x14ac:dyDescent="0.25">
      <c r="E22" s="117" t="s">
        <v>146</v>
      </c>
      <c r="F22" s="81">
        <v>1</v>
      </c>
      <c r="G22" s="125"/>
      <c r="O22" s="95"/>
      <c r="P22" s="55"/>
    </row>
    <row r="23" spans="3:16" ht="15.75" x14ac:dyDescent="0.25">
      <c r="E23" s="116" t="s">
        <v>147</v>
      </c>
      <c r="F23" s="81">
        <v>1</v>
      </c>
      <c r="G23" s="124"/>
      <c r="O23" s="95"/>
      <c r="P23" s="55"/>
    </row>
    <row r="24" spans="3:16" ht="15.75" x14ac:dyDescent="0.25">
      <c r="E24" s="117" t="s">
        <v>204</v>
      </c>
      <c r="F24" s="81">
        <v>1</v>
      </c>
      <c r="G24" s="125"/>
      <c r="O24" s="95"/>
      <c r="P24" s="55"/>
    </row>
    <row r="25" spans="3:16" ht="15.75" x14ac:dyDescent="0.25">
      <c r="E25" s="116" t="s">
        <v>66</v>
      </c>
      <c r="F25" s="81">
        <v>1</v>
      </c>
      <c r="G25" s="124"/>
      <c r="O25" s="95"/>
      <c r="P25" s="55"/>
    </row>
    <row r="26" spans="3:16" ht="15.75" x14ac:dyDescent="0.25">
      <c r="E26" s="117" t="s">
        <v>175</v>
      </c>
      <c r="F26" s="81">
        <v>1</v>
      </c>
      <c r="G26" s="125"/>
      <c r="O26" s="95"/>
      <c r="P26" s="55"/>
    </row>
    <row r="27" spans="3:16" ht="15.75" x14ac:dyDescent="0.25">
      <c r="E27" s="116" t="s">
        <v>184</v>
      </c>
      <c r="F27" s="81">
        <v>1</v>
      </c>
      <c r="G27" s="124"/>
      <c r="O27" s="95"/>
      <c r="P27" s="55"/>
    </row>
    <row r="28" spans="3:16" ht="15.75" x14ac:dyDescent="0.25">
      <c r="E28" s="117" t="s">
        <v>203</v>
      </c>
      <c r="F28" s="81">
        <v>1</v>
      </c>
      <c r="G28" s="125"/>
      <c r="O28" s="95"/>
      <c r="P28" s="55"/>
    </row>
    <row r="29" spans="3:16" ht="15.75" x14ac:dyDescent="0.25">
      <c r="E29" s="116" t="s">
        <v>182</v>
      </c>
      <c r="F29" s="81">
        <v>1</v>
      </c>
      <c r="G29" s="124"/>
      <c r="O29" s="95"/>
      <c r="P29" s="55"/>
    </row>
    <row r="30" spans="3:16" ht="15.75" x14ac:dyDescent="0.25">
      <c r="E30" s="117" t="s">
        <v>145</v>
      </c>
      <c r="F30" s="81">
        <v>1</v>
      </c>
      <c r="G30" s="125"/>
      <c r="O30" s="95"/>
      <c r="P30" s="55"/>
    </row>
    <row r="31" spans="3:16" ht="15.75" x14ac:dyDescent="0.25">
      <c r="E31" s="116" t="s">
        <v>163</v>
      </c>
      <c r="F31" s="81">
        <v>1</v>
      </c>
      <c r="G31" s="124"/>
      <c r="O31" s="95"/>
      <c r="P31" s="55"/>
    </row>
    <row r="32" spans="3:16" ht="15.75" x14ac:dyDescent="0.25">
      <c r="E32" s="117" t="s">
        <v>67</v>
      </c>
      <c r="F32" s="81">
        <v>1</v>
      </c>
      <c r="G32" s="125"/>
      <c r="O32" s="95"/>
      <c r="P32" s="55"/>
    </row>
    <row r="33" spans="5:16" ht="15.75" x14ac:dyDescent="0.25">
      <c r="E33" s="116" t="s">
        <v>69</v>
      </c>
      <c r="F33" s="81">
        <v>1</v>
      </c>
      <c r="G33" s="124"/>
      <c r="O33" s="95"/>
      <c r="P33" s="55"/>
    </row>
    <row r="34" spans="5:16" ht="15.75" x14ac:dyDescent="0.25">
      <c r="E34" s="117" t="s">
        <v>70</v>
      </c>
      <c r="F34" s="81">
        <v>1</v>
      </c>
      <c r="G34" s="125"/>
      <c r="O34" s="95"/>
      <c r="P34" s="55"/>
    </row>
    <row r="35" spans="5:16" ht="15.75" x14ac:dyDescent="0.25">
      <c r="E35" s="116" t="s">
        <v>71</v>
      </c>
      <c r="F35" s="81">
        <v>1</v>
      </c>
      <c r="G35" s="124"/>
      <c r="O35" s="95"/>
      <c r="P35" s="55"/>
    </row>
    <row r="36" spans="5:16" ht="15.75" x14ac:dyDescent="0.25">
      <c r="E36" s="117" t="s">
        <v>72</v>
      </c>
      <c r="F36" s="81">
        <v>1</v>
      </c>
      <c r="G36" s="125"/>
      <c r="O36" s="95"/>
      <c r="P36" s="55"/>
    </row>
    <row r="37" spans="5:16" ht="15.75" x14ac:dyDescent="0.25">
      <c r="E37" s="116" t="s">
        <v>143</v>
      </c>
      <c r="F37" s="81">
        <v>1</v>
      </c>
      <c r="G37" s="124"/>
      <c r="O37" s="95"/>
      <c r="P37" s="55"/>
    </row>
    <row r="38" spans="5:16" ht="15.75" x14ac:dyDescent="0.25">
      <c r="E38" s="117" t="s">
        <v>142</v>
      </c>
      <c r="F38" s="81">
        <v>1</v>
      </c>
      <c r="G38" s="125"/>
      <c r="O38" s="95"/>
      <c r="P38" s="55"/>
    </row>
    <row r="39" spans="5:16" ht="15.75" x14ac:dyDescent="0.25">
      <c r="E39" s="116" t="s">
        <v>177</v>
      </c>
      <c r="F39" s="81">
        <v>1</v>
      </c>
      <c r="G39" s="124"/>
      <c r="O39" s="95"/>
      <c r="P39" s="55"/>
    </row>
    <row r="40" spans="5:16" ht="15.75" x14ac:dyDescent="0.25">
      <c r="E40" s="117" t="s">
        <v>178</v>
      </c>
      <c r="F40" s="81">
        <v>1</v>
      </c>
      <c r="G40" s="125"/>
      <c r="O40" s="95"/>
      <c r="P40" s="55"/>
    </row>
    <row r="41" spans="5:16" ht="15.75" x14ac:dyDescent="0.25">
      <c r="E41" s="116" t="s">
        <v>73</v>
      </c>
      <c r="F41" s="81">
        <v>1</v>
      </c>
      <c r="G41" s="124"/>
      <c r="O41" s="95"/>
      <c r="P41" s="55"/>
    </row>
    <row r="42" spans="5:16" ht="15.75" x14ac:dyDescent="0.25">
      <c r="E42" s="117" t="s">
        <v>179</v>
      </c>
      <c r="F42" s="81">
        <v>1</v>
      </c>
      <c r="G42" s="125"/>
      <c r="O42" s="95"/>
      <c r="P42" s="55"/>
    </row>
    <row r="43" spans="5:16" ht="15.75" x14ac:dyDescent="0.25">
      <c r="E43" s="116" t="s">
        <v>74</v>
      </c>
      <c r="F43" s="81">
        <v>1</v>
      </c>
      <c r="G43" s="124"/>
      <c r="O43" s="95"/>
      <c r="P43" s="55"/>
    </row>
    <row r="44" spans="5:16" ht="15.75" x14ac:dyDescent="0.25">
      <c r="E44" s="117" t="s">
        <v>180</v>
      </c>
      <c r="F44" s="81">
        <v>1</v>
      </c>
      <c r="G44" s="125"/>
      <c r="O44" s="95"/>
      <c r="P44" s="55"/>
    </row>
    <row r="45" spans="5:16" ht="15.75" x14ac:dyDescent="0.25">
      <c r="E45" s="116" t="s">
        <v>206</v>
      </c>
      <c r="F45" s="81">
        <v>1</v>
      </c>
      <c r="G45" s="124"/>
      <c r="O45" s="95"/>
      <c r="P45" s="55"/>
    </row>
    <row r="46" spans="5:16" ht="15.75" x14ac:dyDescent="0.25">
      <c r="E46" s="116" t="s">
        <v>220</v>
      </c>
      <c r="F46" s="81">
        <v>1</v>
      </c>
      <c r="G46" s="126"/>
      <c r="O46" s="95"/>
      <c r="P46" s="55"/>
    </row>
    <row r="47" spans="5:16" ht="15.75" x14ac:dyDescent="0.25">
      <c r="E47" s="55" t="s">
        <v>221</v>
      </c>
      <c r="F47" s="81">
        <v>1</v>
      </c>
      <c r="G47" s="124"/>
      <c r="O47" s="95"/>
      <c r="P47" s="55"/>
    </row>
    <row r="48" spans="5:16" ht="15.75" x14ac:dyDescent="0.25">
      <c r="E48" s="116" t="s">
        <v>222</v>
      </c>
      <c r="F48" s="81">
        <v>1</v>
      </c>
      <c r="G48" s="125"/>
      <c r="O48" s="95"/>
      <c r="P48" s="55"/>
    </row>
    <row r="49" spans="5:16" ht="15.75" x14ac:dyDescent="0.25">
      <c r="E49" s="117" t="s">
        <v>223</v>
      </c>
      <c r="F49" s="81">
        <v>1</v>
      </c>
      <c r="G49" s="124"/>
      <c r="O49" s="95"/>
      <c r="P49" s="55"/>
    </row>
    <row r="50" spans="5:16" ht="15.75" x14ac:dyDescent="0.25">
      <c r="E50" s="118" t="s">
        <v>224</v>
      </c>
      <c r="F50" s="115">
        <v>2</v>
      </c>
      <c r="G50" s="125"/>
      <c r="O50" s="95"/>
      <c r="P50" s="55"/>
    </row>
    <row r="51" spans="5:16" ht="15.75" x14ac:dyDescent="0.25">
      <c r="E51" s="119" t="s">
        <v>225</v>
      </c>
      <c r="F51" s="115">
        <v>2</v>
      </c>
      <c r="G51" s="124"/>
      <c r="O51" s="95"/>
      <c r="P51" s="95"/>
    </row>
    <row r="52" spans="5:16" x14ac:dyDescent="0.25">
      <c r="E52" s="120" t="s">
        <v>226</v>
      </c>
      <c r="F52" s="115">
        <v>2</v>
      </c>
      <c r="G52" s="127"/>
    </row>
    <row r="53" spans="5:16" x14ac:dyDescent="0.25">
      <c r="E53" s="120" t="s">
        <v>227</v>
      </c>
      <c r="F53" s="115">
        <v>2</v>
      </c>
      <c r="G53" s="127"/>
    </row>
    <row r="54" spans="5:16" x14ac:dyDescent="0.25">
      <c r="E54" s="121" t="s">
        <v>228</v>
      </c>
      <c r="F54" s="115">
        <v>2</v>
      </c>
      <c r="G54" s="127"/>
    </row>
    <row r="55" spans="5:16" x14ac:dyDescent="0.25">
      <c r="E55" s="119" t="s">
        <v>229</v>
      </c>
      <c r="F55" s="115">
        <v>2</v>
      </c>
      <c r="G55" s="127"/>
    </row>
    <row r="56" spans="5:16" x14ac:dyDescent="0.25">
      <c r="E56" s="119" t="s">
        <v>230</v>
      </c>
      <c r="F56" s="115">
        <v>2</v>
      </c>
      <c r="G56" s="127"/>
    </row>
    <row r="57" spans="5:16" x14ac:dyDescent="0.25">
      <c r="E57" s="119" t="s">
        <v>231</v>
      </c>
      <c r="F57" s="115">
        <v>2</v>
      </c>
      <c r="G57" s="127"/>
    </row>
    <row r="58" spans="5:16" x14ac:dyDescent="0.25">
      <c r="E58" s="119" t="s">
        <v>232</v>
      </c>
      <c r="F58" s="115">
        <v>2</v>
      </c>
      <c r="G58" s="127"/>
    </row>
    <row r="59" spans="5:16" x14ac:dyDescent="0.25">
      <c r="E59" s="120" t="s">
        <v>233</v>
      </c>
      <c r="F59" s="115">
        <v>2</v>
      </c>
      <c r="G59" s="127"/>
    </row>
    <row r="60" spans="5:16" x14ac:dyDescent="0.25">
      <c r="E60" s="120" t="s">
        <v>234</v>
      </c>
      <c r="F60" s="115">
        <v>2</v>
      </c>
      <c r="G60" s="127"/>
    </row>
    <row r="61" spans="5:16" x14ac:dyDescent="0.25">
      <c r="E61" s="119" t="s">
        <v>235</v>
      </c>
      <c r="F61" s="115">
        <v>2</v>
      </c>
      <c r="G61" s="127"/>
    </row>
    <row r="62" spans="5:16" x14ac:dyDescent="0.25">
      <c r="E62" s="120" t="s">
        <v>236</v>
      </c>
      <c r="F62" s="115">
        <v>2</v>
      </c>
      <c r="G62" s="127"/>
    </row>
    <row r="63" spans="5:16" x14ac:dyDescent="0.25">
      <c r="E63" s="120" t="s">
        <v>237</v>
      </c>
      <c r="F63" s="115">
        <v>2</v>
      </c>
      <c r="G63" s="127"/>
    </row>
    <row r="64" spans="5:16" x14ac:dyDescent="0.25">
      <c r="E64" s="120" t="s">
        <v>238</v>
      </c>
      <c r="F64" s="115">
        <v>2</v>
      </c>
      <c r="G64" s="127"/>
    </row>
    <row r="65" spans="5:7" x14ac:dyDescent="0.25">
      <c r="E65" s="120" t="s">
        <v>239</v>
      </c>
      <c r="F65" s="115">
        <v>2</v>
      </c>
      <c r="G65" s="127"/>
    </row>
    <row r="66" spans="5:7" x14ac:dyDescent="0.25">
      <c r="E66" s="120" t="s">
        <v>240</v>
      </c>
      <c r="F66" s="115">
        <v>2</v>
      </c>
      <c r="G66" s="127"/>
    </row>
    <row r="67" spans="5:7" x14ac:dyDescent="0.25">
      <c r="E67" s="120" t="s">
        <v>241</v>
      </c>
      <c r="F67" s="115">
        <v>2</v>
      </c>
      <c r="G67" s="127"/>
    </row>
    <row r="68" spans="5:7" x14ac:dyDescent="0.25">
      <c r="E68" s="119" t="s">
        <v>242</v>
      </c>
      <c r="F68" s="115">
        <v>2</v>
      </c>
      <c r="G68" s="127"/>
    </row>
    <row r="69" spans="5:7" x14ac:dyDescent="0.25">
      <c r="E69" s="119" t="s">
        <v>243</v>
      </c>
      <c r="F69" s="115">
        <v>2</v>
      </c>
      <c r="G69" s="127"/>
    </row>
    <row r="70" spans="5:7" x14ac:dyDescent="0.25">
      <c r="E70" s="120" t="s">
        <v>244</v>
      </c>
      <c r="F70" s="115">
        <v>2</v>
      </c>
      <c r="G70" s="127"/>
    </row>
    <row r="71" spans="5:7" x14ac:dyDescent="0.25">
      <c r="E71" s="119" t="s">
        <v>245</v>
      </c>
      <c r="F71" s="115">
        <v>2</v>
      </c>
      <c r="G71" s="127"/>
    </row>
    <row r="72" spans="5:7" x14ac:dyDescent="0.25">
      <c r="E72" s="119" t="s">
        <v>246</v>
      </c>
      <c r="F72" s="115">
        <v>2</v>
      </c>
      <c r="G72" s="127"/>
    </row>
    <row r="73" spans="5:7" x14ac:dyDescent="0.25">
      <c r="E73" s="119" t="s">
        <v>247</v>
      </c>
      <c r="F73" s="115">
        <v>2</v>
      </c>
      <c r="G73" s="127"/>
    </row>
    <row r="74" spans="5:7" x14ac:dyDescent="0.25">
      <c r="E74" s="119" t="s">
        <v>248</v>
      </c>
      <c r="F74" s="115">
        <v>2</v>
      </c>
      <c r="G74" s="127"/>
    </row>
    <row r="75" spans="5:7" x14ac:dyDescent="0.25">
      <c r="E75" s="120" t="s">
        <v>249</v>
      </c>
      <c r="F75" s="115">
        <v>2</v>
      </c>
      <c r="G75" s="127"/>
    </row>
    <row r="76" spans="5:7" x14ac:dyDescent="0.25">
      <c r="E76" s="118" t="s">
        <v>250</v>
      </c>
      <c r="F76" s="115">
        <v>2</v>
      </c>
      <c r="G76" s="127"/>
    </row>
    <row r="77" spans="5:7" x14ac:dyDescent="0.25">
      <c r="E77" s="118" t="s">
        <v>251</v>
      </c>
      <c r="F77" s="115">
        <v>2</v>
      </c>
      <c r="G77" s="127"/>
    </row>
    <row r="78" spans="5:7" x14ac:dyDescent="0.25">
      <c r="E78" s="120" t="s">
        <v>252</v>
      </c>
      <c r="F78" s="115">
        <v>2</v>
      </c>
      <c r="G78" s="127"/>
    </row>
    <row r="79" spans="5:7" x14ac:dyDescent="0.25">
      <c r="E79" s="119" t="s">
        <v>253</v>
      </c>
      <c r="F79" s="115">
        <v>2</v>
      </c>
      <c r="G79" s="127"/>
    </row>
    <row r="80" spans="5:7" x14ac:dyDescent="0.25">
      <c r="E80" s="120" t="s">
        <v>254</v>
      </c>
      <c r="F80" s="115">
        <v>2</v>
      </c>
      <c r="G80" s="127"/>
    </row>
    <row r="81" spans="5:7" x14ac:dyDescent="0.25">
      <c r="E81" s="120" t="s">
        <v>255</v>
      </c>
      <c r="F81" s="115">
        <v>2</v>
      </c>
      <c r="G81" s="127"/>
    </row>
    <row r="82" spans="5:7" x14ac:dyDescent="0.25">
      <c r="E82" s="120" t="s">
        <v>256</v>
      </c>
      <c r="F82" s="115">
        <v>2</v>
      </c>
      <c r="G82" s="127"/>
    </row>
    <row r="83" spans="5:7" x14ac:dyDescent="0.25">
      <c r="E83" s="120" t="s">
        <v>257</v>
      </c>
      <c r="F83" s="115">
        <v>2</v>
      </c>
      <c r="G83" s="127"/>
    </row>
    <row r="84" spans="5:7" x14ac:dyDescent="0.25">
      <c r="E84" s="120" t="s">
        <v>258</v>
      </c>
      <c r="F84" s="115">
        <v>2</v>
      </c>
      <c r="G84" s="127"/>
    </row>
    <row r="85" spans="5:7" x14ac:dyDescent="0.25">
      <c r="E85" s="122" t="s">
        <v>259</v>
      </c>
      <c r="F85" s="115">
        <v>2</v>
      </c>
      <c r="G85" s="127"/>
    </row>
    <row r="86" spans="5:7" x14ac:dyDescent="0.25">
      <c r="E86" s="122" t="s">
        <v>260</v>
      </c>
      <c r="F86" s="115">
        <v>2</v>
      </c>
      <c r="G86" s="127"/>
    </row>
    <row r="87" spans="5:7" x14ac:dyDescent="0.25">
      <c r="E87" s="120" t="s">
        <v>261</v>
      </c>
      <c r="F87" s="115">
        <v>2</v>
      </c>
      <c r="G87" s="127"/>
    </row>
    <row r="88" spans="5:7" x14ac:dyDescent="0.25">
      <c r="E88" s="118" t="s">
        <v>262</v>
      </c>
      <c r="F88" s="115">
        <v>2</v>
      </c>
      <c r="G88" s="127"/>
    </row>
    <row r="89" spans="5:7" x14ac:dyDescent="0.25">
      <c r="E89" s="118" t="s">
        <v>263</v>
      </c>
      <c r="F89" s="115">
        <v>2</v>
      </c>
      <c r="G89" s="127"/>
    </row>
    <row r="90" spans="5:7" x14ac:dyDescent="0.25">
      <c r="E90" s="122" t="s">
        <v>264</v>
      </c>
      <c r="F90" s="115">
        <v>2</v>
      </c>
      <c r="G90" s="127"/>
    </row>
    <row r="91" spans="5:7" x14ac:dyDescent="0.25">
      <c r="E91" s="118" t="s">
        <v>265</v>
      </c>
      <c r="F91" s="115">
        <v>2</v>
      </c>
      <c r="G91" s="127"/>
    </row>
    <row r="92" spans="5:7" x14ac:dyDescent="0.25">
      <c r="E92" s="122" t="s">
        <v>266</v>
      </c>
      <c r="F92" s="115">
        <v>2</v>
      </c>
      <c r="G92" s="127"/>
    </row>
    <row r="93" spans="5:7" x14ac:dyDescent="0.25">
      <c r="E93" s="122" t="s">
        <v>267</v>
      </c>
      <c r="F93" s="115">
        <v>2</v>
      </c>
      <c r="G93" s="127"/>
    </row>
    <row r="94" spans="5:7" x14ac:dyDescent="0.25">
      <c r="E94" s="122" t="s">
        <v>268</v>
      </c>
      <c r="F94" s="115">
        <v>2</v>
      </c>
      <c r="G94" s="127"/>
    </row>
    <row r="95" spans="5:7" x14ac:dyDescent="0.25">
      <c r="E95" s="123" t="s">
        <v>269</v>
      </c>
      <c r="F95" s="115">
        <v>2</v>
      </c>
      <c r="G95" s="127"/>
    </row>
    <row r="96" spans="5:7" x14ac:dyDescent="0.25">
      <c r="E96" s="131" t="s">
        <v>270</v>
      </c>
      <c r="F96" s="132">
        <v>2</v>
      </c>
      <c r="G96" s="133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46"/>
  <sheetViews>
    <sheetView zoomScale="80" zoomScaleNormal="80" workbookViewId="0">
      <selection activeCell="L17" sqref="L17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214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171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215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x14ac:dyDescent="0.2">
      <c r="A3" s="39" t="s">
        <v>16</v>
      </c>
      <c r="B3" s="39">
        <v>1</v>
      </c>
      <c r="C3" s="44">
        <f>Inputs!G4</f>
        <v>0</v>
      </c>
      <c r="D3" s="39"/>
      <c r="E3" s="39"/>
      <c r="H3" s="45" t="s">
        <v>216</v>
      </c>
      <c r="I3" s="76">
        <f>I10</f>
        <v>0</v>
      </c>
      <c r="J3" s="47"/>
      <c r="K3" s="76"/>
      <c r="T3" s="37" t="s">
        <v>23</v>
      </c>
      <c r="V3" s="43"/>
      <c r="W3" s="37" t="s">
        <v>209</v>
      </c>
    </row>
    <row r="4" spans="1:23" x14ac:dyDescent="0.2">
      <c r="A4" s="39" t="s">
        <v>144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 t="str">
        <f>Table200[[#This Row],[Recommended Task]]</f>
        <v/>
      </c>
      <c r="H4" s="45" t="s">
        <v>217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191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218</v>
      </c>
      <c r="I5" s="77">
        <f>I15</f>
        <v>0</v>
      </c>
      <c r="J5" s="49" t="s">
        <v>26</v>
      </c>
      <c r="T5" s="37" t="s">
        <v>17</v>
      </c>
      <c r="W5" s="37" t="s">
        <v>208</v>
      </c>
    </row>
    <row r="6" spans="1:23" x14ac:dyDescent="0.2">
      <c r="A6" s="39" t="s">
        <v>189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22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39" t="s">
        <v>27</v>
      </c>
      <c r="B8" s="39">
        <v>1</v>
      </c>
      <c r="C8" s="44">
        <f>Inputs!G9</f>
        <v>0</v>
      </c>
      <c r="D8" s="39" t="str">
        <f>IF($C8&lt;&gt;"x","",IFERROR(_xlfn.XLOOKUP($A8,'Staffing sheet 1ST Shift'!$A:$A,'Staffing sheet 1ST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207</v>
      </c>
    </row>
    <row r="9" spans="1:23" x14ac:dyDescent="0.25">
      <c r="A9" s="39" t="s">
        <v>222</v>
      </c>
      <c r="B9" s="39">
        <v>1</v>
      </c>
      <c r="C9" s="44">
        <f>Inputs!G48</f>
        <v>0</v>
      </c>
      <c r="D9" s="39" t="str">
        <f>IF($C9&lt;&gt;"x","",IFERROR(_xlfn.XLOOKUP($A9,'Staffing sheet 1ST Shift'!$A:$A,'Staffing sheet 1ST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39" t="s">
        <v>46</v>
      </c>
      <c r="B10" s="39">
        <v>1</v>
      </c>
      <c r="C10" s="44">
        <f>Inputs!G10</f>
        <v>0</v>
      </c>
      <c r="D10" s="39"/>
      <c r="E10" s="39">
        <f>Table200[[#This Row],[Recommended Task]]</f>
        <v>0</v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49</v>
      </c>
      <c r="B11" s="39">
        <v>1</v>
      </c>
      <c r="C11" s="44">
        <f>Inputs!G11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51</v>
      </c>
      <c r="B12" s="39">
        <v>1</v>
      </c>
      <c r="C12" s="44">
        <f>Inputs!G12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COUNTIF(E2:E49,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39" t="s">
        <v>53</v>
      </c>
      <c r="B13" s="39">
        <v>1</v>
      </c>
      <c r="C13" s="44">
        <f>Inputs!G13</f>
        <v>0</v>
      </c>
      <c r="D13" s="39" t="str">
        <f>IF($C13&lt;&gt;"x","",IFERROR(_xlfn.XLOOKUP($A13,'Staffing sheet 1ST Shift'!$A:$A,'Staffing sheet 1ST Shift'!$I:$I,""),""))</f>
        <v/>
      </c>
      <c r="E13" s="39" t="str">
        <f>Table200[[#This Row],[Recommended Task]]</f>
        <v/>
      </c>
      <c r="H13" s="40" t="s">
        <v>32</v>
      </c>
      <c r="I13" s="37">
        <f>COUNTIF(E2:E50,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39" t="s">
        <v>55</v>
      </c>
      <c r="B14" s="39">
        <v>1</v>
      </c>
      <c r="C14" s="44">
        <f>Inputs!G14</f>
        <v>0</v>
      </c>
      <c r="D14" s="39" t="str">
        <f>IF($C14&lt;&gt;"x","",IFERROR(_xlfn.XLOOKUP($A14,'Staffing sheet 1ST Shift'!$A:$A,'Staffing sheet 1ST Shift'!$I:$I,""),""))</f>
        <v/>
      </c>
      <c r="E14" s="39" t="str">
        <f>Table200[[#This Row],[Recommended Task]]</f>
        <v/>
      </c>
      <c r="H14" s="40" t="s">
        <v>57</v>
      </c>
      <c r="I14" s="37">
        <f>COUNTIF(E2:E51,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172</v>
      </c>
      <c r="B15" s="39">
        <v>1</v>
      </c>
      <c r="C15" s="44">
        <f>Inputs!G15</f>
        <v>0</v>
      </c>
      <c r="D15" s="39" t="str">
        <f>IF($C15&lt;&gt;"x","",IFERROR(_xlfn.XLOOKUP($A15,'Staffing sheet 1ST Shift'!$A:$A,'Staffing sheet 1ST Shift'!$I:$I,""),""))</f>
        <v/>
      </c>
      <c r="E15" s="39" t="str">
        <f>Table200[[#This Row],[Recommended Task]]</f>
        <v/>
      </c>
      <c r="H15" s="40" t="s">
        <v>58</v>
      </c>
      <c r="I15" s="37">
        <f>COUNTIF(E2:E52,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39" t="s">
        <v>56</v>
      </c>
      <c r="B16" s="39">
        <v>1</v>
      </c>
      <c r="C16" s="44">
        <f>Inputs!G16</f>
        <v>0</v>
      </c>
      <c r="D16" s="39" t="str">
        <f>IF($C16&lt;&gt;"x","",IFERROR(_xlfn.XLOOKUP($A16,'Staffing sheet 1ST Shift'!$A:$A,'Staffing sheet 1ST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39" t="s">
        <v>173</v>
      </c>
      <c r="B17" s="39">
        <v>1</v>
      </c>
      <c r="C17" s="44">
        <f>Inputs!G17</f>
        <v>0</v>
      </c>
      <c r="D17" s="39" t="str">
        <f>IF($C17&lt;&gt;"x","",IFERROR(_xlfn.XLOOKUP($A17,'Staffing sheet 1ST Shift'!$A:$A,'Staffing sheet 1ST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39" t="s">
        <v>174</v>
      </c>
      <c r="B18" s="39">
        <v>1</v>
      </c>
      <c r="C18" s="44">
        <f>Inputs!G18</f>
        <v>0</v>
      </c>
      <c r="D18" s="39" t="str">
        <f>IF($C18&lt;&gt;"x","",IFERROR(_xlfn.XLOOKUP($A18,'Staffing sheet 1ST Shift'!$A:$A,'Staffing sheet 1ST Shift'!$I:$I,""),""))</f>
        <v/>
      </c>
      <c r="E18" s="39" t="str">
        <f>Table200[[#This Row],[Recommended Task]]</f>
        <v/>
      </c>
    </row>
    <row r="19" spans="1:15" x14ac:dyDescent="0.2">
      <c r="A19" s="39" t="s">
        <v>181</v>
      </c>
      <c r="B19" s="39">
        <v>1</v>
      </c>
      <c r="C19" s="44">
        <f>Inputs!G19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60</v>
      </c>
      <c r="B20" s="39">
        <v>1</v>
      </c>
      <c r="C20" s="44">
        <f>Inputs!G20</f>
        <v>0</v>
      </c>
      <c r="D20" s="39" t="str">
        <f>IF($C20&lt;&gt;"x","",IFERROR(_xlfn.XLOOKUP($A20,'Staffing sheet 1ST Shift'!$A:$A,'Staffing sheet 1ST Shift'!$I:$I,""),""))</f>
        <v/>
      </c>
      <c r="E20" s="39" t="str">
        <f>Table200[[#This Row],[Recommended Task]]</f>
        <v/>
      </c>
    </row>
    <row r="21" spans="1:15" x14ac:dyDescent="0.2">
      <c r="A21" s="39" t="s">
        <v>61</v>
      </c>
      <c r="B21" s="39">
        <v>1</v>
      </c>
      <c r="C21" s="44">
        <f>Inputs!G21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146</v>
      </c>
      <c r="B22" s="39">
        <v>1</v>
      </c>
      <c r="C22" s="44">
        <f>Inputs!G22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39" t="s">
        <v>147</v>
      </c>
      <c r="B23" s="39">
        <v>1</v>
      </c>
      <c r="C23" s="44">
        <f>Inputs!G23</f>
        <v>0</v>
      </c>
      <c r="D23" s="39" t="str">
        <f>IF($C23&lt;&gt;"x","",IFERROR(_xlfn.XLOOKUP($A23,'Staffing sheet 1ST Shift'!$A:$A,'Staffing sheet 1ST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204</v>
      </c>
      <c r="B24" s="39">
        <v>1</v>
      </c>
      <c r="C24" s="44">
        <f>Inputs!G24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66</v>
      </c>
      <c r="B25" s="39">
        <v>1</v>
      </c>
      <c r="C25" s="44">
        <f>Inputs!G25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39" t="s">
        <v>223</v>
      </c>
      <c r="B26" s="39">
        <v>1</v>
      </c>
      <c r="C26" s="44">
        <f>Inputs!G49</f>
        <v>0</v>
      </c>
      <c r="D26" s="39" t="str">
        <f>IF($C26&lt;&gt;"x","",IFERROR(_xlfn.XLOOKUP($A26,'Staffing sheet 1ST Shift'!$A:$A,'Staffing sheet 1ST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39" t="s">
        <v>175</v>
      </c>
      <c r="B27" s="39">
        <v>1</v>
      </c>
      <c r="C27" s="44">
        <f>Inputs!G26</f>
        <v>0</v>
      </c>
      <c r="D27" s="39" t="str">
        <f>IF($C27&lt;&gt;"x","",IFERROR(_xlfn.XLOOKUP($A27,'Staffing sheet 1ST Shift'!$A:$A,'Staffing sheet 1ST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39" t="s">
        <v>184</v>
      </c>
      <c r="B28" s="39">
        <v>1</v>
      </c>
      <c r="C28" s="44">
        <f>Inputs!G27</f>
        <v>0</v>
      </c>
      <c r="D28" s="39" t="str">
        <f>IF($C28&lt;&gt;"x","",IFERROR(_xlfn.XLOOKUP($A28,'Staffing sheet 1ST Shift'!$A:$A,'Staffing sheet 1ST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203</v>
      </c>
      <c r="B29" s="39">
        <v>1</v>
      </c>
      <c r="C29" s="44">
        <f>Inputs!G28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182</v>
      </c>
      <c r="B30" s="39">
        <v>1</v>
      </c>
      <c r="C30" s="44">
        <f>Inputs!G29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145</v>
      </c>
      <c r="B31" s="39">
        <v>1</v>
      </c>
      <c r="C31" s="44">
        <f>Inputs!G30</f>
        <v>0</v>
      </c>
      <c r="D31" s="39" t="str">
        <f>IF($C31&lt;&gt;"x","",IFERROR(_xlfn.XLOOKUP($A31,'Staffing sheet 1ST Shift'!$A:$A,'Staffing sheet 1ST Shift'!$I:$I,""),""))</f>
        <v/>
      </c>
      <c r="E31" s="39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39" t="s">
        <v>163</v>
      </c>
      <c r="B32" s="39">
        <v>1</v>
      </c>
      <c r="C32" s="44">
        <f>Inputs!G31</f>
        <v>0</v>
      </c>
      <c r="D32" s="39" t="str">
        <f>IF($C32&lt;&gt;"x","",IFERROR(_xlfn.XLOOKUP($A32,'Staffing sheet 1ST Shift'!$A:$A,'Staffing sheet 1ST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39" t="s">
        <v>67</v>
      </c>
      <c r="B33" s="39">
        <v>1</v>
      </c>
      <c r="C33" s="44">
        <f>Inputs!G32</f>
        <v>0</v>
      </c>
      <c r="D33" s="39" t="str">
        <f>IF($C33&lt;&gt;"x","",IFERROR(_xlfn.XLOOKUP($A33,'Staffing sheet 1ST Shift'!$A:$A,'Staffing sheet 1ST Shift'!$I:$I,""),""))</f>
        <v/>
      </c>
      <c r="E33" s="39" t="str">
        <f>Table200[[#This Row],[Recommended Task]]</f>
        <v/>
      </c>
    </row>
    <row r="34" spans="1:5" x14ac:dyDescent="0.2">
      <c r="A34" s="39" t="s">
        <v>69</v>
      </c>
      <c r="B34" s="39">
        <v>1</v>
      </c>
      <c r="C34" s="44">
        <f>Inputs!G33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70</v>
      </c>
      <c r="B35" s="39">
        <v>1</v>
      </c>
      <c r="C35" s="44">
        <f>Inputs!G34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71</v>
      </c>
      <c r="B36" s="39">
        <v>1</v>
      </c>
      <c r="C36" s="44">
        <f>Inputs!G35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39" t="s">
        <v>72</v>
      </c>
      <c r="B37" s="39">
        <v>1</v>
      </c>
      <c r="C37" s="44">
        <f>Inputs!G36</f>
        <v>0</v>
      </c>
      <c r="D37" s="39" t="str">
        <f>IF($C37&lt;&gt;"x","",IFERROR(_xlfn.XLOOKUP($A37,'Staffing sheet 1ST Shift'!$A:$A,'Staffing sheet 1ST Shift'!$I:$I,""),""))</f>
        <v/>
      </c>
      <c r="E37" s="39" t="str">
        <f>Table200[[#This Row],[Recommended Task]]</f>
        <v/>
      </c>
    </row>
    <row r="38" spans="1:5" x14ac:dyDescent="0.2">
      <c r="A38" s="39" t="s">
        <v>220</v>
      </c>
      <c r="B38" s="39">
        <v>1</v>
      </c>
      <c r="C38" s="44">
        <f>Inputs!G46</f>
        <v>0</v>
      </c>
      <c r="D38" s="39" t="str">
        <f>IF($C38&lt;&gt;"x","",IFERROR(_xlfn.XLOOKUP($A38,'Staffing sheet 1ST Shift'!$A:$A,'Staffing sheet 1ST Shift'!$I:$I,""),""))</f>
        <v/>
      </c>
      <c r="E38" s="39" t="str">
        <f>Table200[[#This Row],[Recommended Task]]</f>
        <v/>
      </c>
    </row>
    <row r="39" spans="1:5" x14ac:dyDescent="0.2">
      <c r="A39" s="39" t="s">
        <v>143</v>
      </c>
      <c r="B39" s="39">
        <v>1</v>
      </c>
      <c r="C39" s="44">
        <f>Inputs!G37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39" t="s">
        <v>142</v>
      </c>
      <c r="B40" s="39">
        <v>1</v>
      </c>
      <c r="C40" s="44">
        <f>Inputs!G38</f>
        <v>0</v>
      </c>
      <c r="D40" s="39" t="str">
        <f>IF($C40&lt;&gt;"x","",IFERROR(_xlfn.XLOOKUP($A40,'Staffing sheet 1ST Shift'!$A:$A,'Staffing sheet 1ST Shift'!$I:$I,""),""))</f>
        <v/>
      </c>
      <c r="E40" s="39" t="str">
        <f>Table200[[#This Row],[Recommended Task]]</f>
        <v/>
      </c>
    </row>
    <row r="41" spans="1:5" x14ac:dyDescent="0.2">
      <c r="A41" s="39" t="s">
        <v>177</v>
      </c>
      <c r="B41" s="39">
        <v>1</v>
      </c>
      <c r="C41" s="44">
        <f>Inputs!G39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178</v>
      </c>
      <c r="B42" s="39">
        <v>1</v>
      </c>
      <c r="C42" s="44">
        <f>Inputs!G40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73</v>
      </c>
      <c r="B43" s="39">
        <v>1</v>
      </c>
      <c r="C43" s="44">
        <f>Inputs!G41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39" t="s">
        <v>179</v>
      </c>
      <c r="B44" s="39">
        <v>1</v>
      </c>
      <c r="C44" s="44">
        <f>Inputs!G42</f>
        <v>0</v>
      </c>
      <c r="D44" s="39" t="str">
        <f>IF($C44&lt;&gt;"x","",IFERROR(_xlfn.XLOOKUP($A44,'Staffing sheet 1ST Shift'!$A:$A,'Staffing sheet 1ST Shift'!$I:$I,""),""))</f>
        <v/>
      </c>
      <c r="E44" s="39" t="str">
        <f>Table200[[#This Row],[Recommended Task]]</f>
        <v/>
      </c>
    </row>
    <row r="45" spans="1:5" x14ac:dyDescent="0.2">
      <c r="A45" s="39" t="s">
        <v>74</v>
      </c>
      <c r="B45" s="39">
        <v>1</v>
      </c>
      <c r="C45" s="44">
        <f>Inputs!G43</f>
        <v>0</v>
      </c>
      <c r="D45" s="39" t="str">
        <f>IF($C45&lt;&gt;"x","",IFERROR(_xlfn.XLOOKUP($A45,'Staffing sheet 1ST Shift'!$A:$A,'Staffing sheet 1ST Shift'!$I:$I,""),""))</f>
        <v/>
      </c>
      <c r="E45" s="39" t="str">
        <f>Table200[[#This Row],[Recommended Task]]</f>
        <v/>
      </c>
    </row>
    <row r="46" spans="1:5" x14ac:dyDescent="0.2">
      <c r="A46" s="39" t="s">
        <v>180</v>
      </c>
      <c r="B46" s="39">
        <v>1</v>
      </c>
      <c r="C46" s="44">
        <f>Inputs!G44</f>
        <v>0</v>
      </c>
      <c r="D46" s="39" t="str">
        <f>IF($C46&lt;&gt;"x","",IFERROR(_xlfn.XLOOKUP($A46,'Staffing sheet 1ST Shift'!$A:$A,'Staffing sheet 1ST Shift'!$I:$I,""),""))</f>
        <v/>
      </c>
      <c r="E46" s="39" t="str">
        <f>Table200[[#This Row],[Recommended Task]]</f>
        <v/>
      </c>
    </row>
    <row r="47" spans="1:5" x14ac:dyDescent="0.2">
      <c r="A47" s="39" t="s">
        <v>221</v>
      </c>
      <c r="B47" s="39">
        <v>1</v>
      </c>
      <c r="C47" s="44">
        <f>Inputs!G47</f>
        <v>0</v>
      </c>
      <c r="D47" s="39" t="str">
        <f>IF($C47&lt;&gt;"x","",IFERROR(_xlfn.XLOOKUP($A47,'Staffing sheet 1ST Shift'!$A:$A,'Staffing sheet 1ST Shift'!$I:$I,""),""))</f>
        <v/>
      </c>
      <c r="E47" s="39" t="str">
        <f>Table200[[#This Row],[Recommended Task]]</f>
        <v/>
      </c>
    </row>
    <row r="48" spans="1:5" x14ac:dyDescent="0.2">
      <c r="A48" s="39" t="s">
        <v>206</v>
      </c>
      <c r="B48" s="39">
        <v>1</v>
      </c>
      <c r="C48" s="44">
        <f>Inputs!G45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5">
      <c r="A49" s="109" t="s">
        <v>224</v>
      </c>
      <c r="B49" s="39">
        <v>2</v>
      </c>
      <c r="C49" s="44">
        <f>Inputs!G49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10" t="s">
        <v>225</v>
      </c>
      <c r="B50" s="39">
        <v>2</v>
      </c>
      <c r="C50" s="44">
        <f>Inputs!G50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x14ac:dyDescent="0.2">
      <c r="A51" s="111" t="s">
        <v>226</v>
      </c>
      <c r="B51" s="39">
        <v>2</v>
      </c>
      <c r="C51" s="44">
        <f>Inputs!G51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11" t="s">
        <v>227</v>
      </c>
      <c r="B52" s="39">
        <v>2</v>
      </c>
      <c r="C52" s="44">
        <f>Inputs!G52</f>
        <v>0</v>
      </c>
      <c r="D52" s="39" t="str">
        <f>IF($C52&lt;&gt;"x","",IFERROR(_xlfn.XLOOKUP($A52,'Staffing Sheet 2nd Shift'!$A:$A,'Staffing Sheet 2nd Shift'!$I:$I,""),""))</f>
        <v/>
      </c>
      <c r="E52" s="39" t="str">
        <f>Table200[[#This Row],[Recommended Task]]</f>
        <v/>
      </c>
    </row>
    <row r="53" spans="1:5" x14ac:dyDescent="0.2">
      <c r="A53" s="112" t="s">
        <v>228</v>
      </c>
      <c r="B53" s="39">
        <v>2</v>
      </c>
      <c r="C53" s="44">
        <f>Inputs!G53</f>
        <v>0</v>
      </c>
      <c r="D53" s="39" t="str">
        <f>IF($C53&lt;&gt;"x","",IFERROR(_xlfn.XLOOKUP($A53,'Staffing Sheet 2nd Shift'!$A:$A,'Staffing Sheet 2nd Shift'!$I:$I,""),""))</f>
        <v/>
      </c>
      <c r="E53" s="39" t="str">
        <f>Table200[[#This Row],[Recommended Task]]</f>
        <v/>
      </c>
    </row>
    <row r="54" spans="1:5" x14ac:dyDescent="0.2">
      <c r="A54" s="110" t="s">
        <v>229</v>
      </c>
      <c r="B54" s="39">
        <v>2</v>
      </c>
      <c r="C54" s="44">
        <f>Inputs!G54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x14ac:dyDescent="0.2">
      <c r="A55" s="110" t="s">
        <v>230</v>
      </c>
      <c r="B55" s="39">
        <v>2</v>
      </c>
      <c r="C55" s="44">
        <f>Inputs!G55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10" t="s">
        <v>231</v>
      </c>
      <c r="B56" s="39">
        <v>2</v>
      </c>
      <c r="C56" s="44">
        <f>Inputs!G56</f>
        <v>0</v>
      </c>
      <c r="D56" s="39" t="str">
        <f>IF($C56&lt;&gt;"x","",IFERROR(_xlfn.XLOOKUP($A56,'Staffing Sheet 2nd Shift'!$A:$A,'Staffing Sheet 2nd Shift'!$I:$I,""),""))</f>
        <v/>
      </c>
      <c r="E56" s="39" t="str">
        <f>Table200[[#This Row],[Recommended Task]]</f>
        <v/>
      </c>
    </row>
    <row r="57" spans="1:5" x14ac:dyDescent="0.2">
      <c r="A57" s="110" t="s">
        <v>232</v>
      </c>
      <c r="B57" s="39">
        <v>2</v>
      </c>
      <c r="C57" s="44">
        <f>Inputs!G57</f>
        <v>0</v>
      </c>
      <c r="D57" s="39" t="str">
        <f>IF($C57&lt;&gt;"x","",IFERROR(_xlfn.XLOOKUP($A57,'Staffing Sheet 2nd Shift'!$A:$A,'Staffing Sheet 2nd Shift'!$I:$I,""),""))</f>
        <v/>
      </c>
      <c r="E57" s="39" t="str">
        <f>Table200[[#This Row],[Recommended Task]]</f>
        <v/>
      </c>
    </row>
    <row r="58" spans="1:5" x14ac:dyDescent="0.2">
      <c r="A58" s="111" t="s">
        <v>233</v>
      </c>
      <c r="B58" s="39">
        <v>2</v>
      </c>
      <c r="C58" s="44">
        <f>Inputs!G58</f>
        <v>0</v>
      </c>
      <c r="D58" s="39" t="str">
        <f>IF($C58&lt;&gt;"x","",IFERROR(_xlfn.XLOOKUP($A58,'Staffing Sheet 2nd Shift'!$A:$A,'Staffing Sheet 2nd Shift'!$I:$I,""),""))</f>
        <v/>
      </c>
      <c r="E58" s="39" t="str">
        <f>Table200[[#This Row],[Recommended Task]]</f>
        <v/>
      </c>
    </row>
    <row r="59" spans="1:5" x14ac:dyDescent="0.2">
      <c r="A59" s="111" t="s">
        <v>234</v>
      </c>
      <c r="B59" s="39">
        <v>2</v>
      </c>
      <c r="C59" s="44">
        <f>Inputs!G59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0" t="s">
        <v>235</v>
      </c>
      <c r="B60" s="39">
        <v>2</v>
      </c>
      <c r="C60" s="44">
        <f>Inputs!G60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1" t="s">
        <v>236</v>
      </c>
      <c r="B61" s="39">
        <v>2</v>
      </c>
      <c r="C61" s="44">
        <f>Inputs!G61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11" t="s">
        <v>237</v>
      </c>
      <c r="B62" s="39">
        <v>2</v>
      </c>
      <c r="C62" s="44">
        <f>Inputs!G62</f>
        <v>0</v>
      </c>
      <c r="D62" s="39" t="str">
        <f>IF($C62&lt;&gt;"x","",IFERROR(_xlfn.XLOOKUP($A62,'Staffing Sheet 2nd Shift'!$A:$A,'Staffing Sheet 2nd Shift'!$I:$I,""),""))</f>
        <v/>
      </c>
      <c r="E62" s="39" t="str">
        <f>Table200[[#This Row],[Recommended Task]]</f>
        <v/>
      </c>
    </row>
    <row r="63" spans="1:5" x14ac:dyDescent="0.2">
      <c r="A63" s="111" t="s">
        <v>238</v>
      </c>
      <c r="B63" s="39">
        <v>2</v>
      </c>
      <c r="C63" s="44">
        <f>Inputs!G63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239</v>
      </c>
      <c r="B64" s="39">
        <v>2</v>
      </c>
      <c r="C64" s="44">
        <f>Inputs!G64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11" t="s">
        <v>240</v>
      </c>
      <c r="B65" s="39">
        <v>2</v>
      </c>
      <c r="C65" s="44">
        <f>Inputs!G65</f>
        <v>0</v>
      </c>
      <c r="D65" s="39" t="str">
        <f>IF($C65&lt;&gt;"x","",IFERROR(_xlfn.XLOOKUP($A65,'Staffing Sheet 2nd Shift'!$A:$A,'Staffing Sheet 2nd Shift'!$I:$I,""),""))</f>
        <v/>
      </c>
      <c r="E65" s="39" t="str">
        <f>Table200[[#This Row],[Recommended Task]]</f>
        <v/>
      </c>
    </row>
    <row r="66" spans="1:5" x14ac:dyDescent="0.2">
      <c r="A66" s="111" t="s">
        <v>241</v>
      </c>
      <c r="B66" s="39">
        <v>2</v>
      </c>
      <c r="C66" s="44">
        <f>Inputs!G66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0" t="s">
        <v>242</v>
      </c>
      <c r="B67" s="39">
        <v>2</v>
      </c>
      <c r="C67" s="44">
        <f>Inputs!G67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0" t="s">
        <v>243</v>
      </c>
      <c r="B68" s="39">
        <v>2</v>
      </c>
      <c r="C68" s="44">
        <f>Inputs!G68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11" t="s">
        <v>244</v>
      </c>
      <c r="B69" s="39">
        <v>2</v>
      </c>
      <c r="C69" s="44">
        <f>Inputs!G69</f>
        <v>0</v>
      </c>
      <c r="D69" s="39" t="str">
        <f>IF($C69&lt;&gt;"x","",IFERROR(_xlfn.XLOOKUP($A69,'Staffing Sheet 2nd Shift'!$A:$A,'Staffing Sheet 2nd Shift'!$I:$I,""),""))</f>
        <v/>
      </c>
      <c r="E69" s="39" t="str">
        <f>Table200[[#This Row],[Recommended Task]]</f>
        <v/>
      </c>
    </row>
    <row r="70" spans="1:5" x14ac:dyDescent="0.2">
      <c r="A70" s="110" t="s">
        <v>245</v>
      </c>
      <c r="B70" s="39">
        <v>2</v>
      </c>
      <c r="C70" s="44">
        <f>Inputs!G70</f>
        <v>0</v>
      </c>
      <c r="D70" s="39" t="str">
        <f>IF($C70&lt;&gt;"x","",IFERROR(_xlfn.XLOOKUP($A70,'Staffing Sheet 2nd Shift'!$A:$A,'Staffing Sheet 2nd Shift'!$I:$I,""),""))</f>
        <v/>
      </c>
      <c r="E70" s="39" t="str">
        <f>Table200[[#This Row],[Recommended Task]]</f>
        <v/>
      </c>
    </row>
    <row r="71" spans="1:5" x14ac:dyDescent="0.2">
      <c r="A71" s="110" t="s">
        <v>246</v>
      </c>
      <c r="B71" s="39">
        <v>2</v>
      </c>
      <c r="C71" s="44">
        <f>Inputs!G71</f>
        <v>0</v>
      </c>
      <c r="D71" s="39" t="str">
        <f>IF($C71&lt;&gt;"x","",IFERROR(_xlfn.XLOOKUP($A71,'Staffing Sheet 2nd Shift'!$A:$A,'Staffing Sheet 2nd Shift'!$I:$I,""),""))</f>
        <v/>
      </c>
      <c r="E71" s="39" t="str">
        <f>Table200[[#This Row],[Recommended Task]]</f>
        <v/>
      </c>
    </row>
    <row r="72" spans="1:5" x14ac:dyDescent="0.2">
      <c r="A72" s="110" t="s">
        <v>247</v>
      </c>
      <c r="B72" s="39">
        <v>2</v>
      </c>
      <c r="C72" s="44">
        <f>Inputs!G72</f>
        <v>0</v>
      </c>
      <c r="D72" s="39" t="str">
        <f>IF($C72&lt;&gt;"x","",IFERROR(_xlfn.XLOOKUP($A72,'Staffing Sheet 2nd Shift'!$A:$A,'Staffing Sheet 2nd Shift'!$I:$I,""),""))</f>
        <v/>
      </c>
      <c r="E72" s="39" t="str">
        <f>Table200[[#This Row],[Recommended Task]]</f>
        <v/>
      </c>
    </row>
    <row r="73" spans="1:5" x14ac:dyDescent="0.2">
      <c r="A73" s="110" t="s">
        <v>248</v>
      </c>
      <c r="B73" s="39">
        <v>2</v>
      </c>
      <c r="C73" s="44">
        <f>Inputs!G73</f>
        <v>0</v>
      </c>
      <c r="D73" s="39" t="str">
        <f>IF($C73&lt;&gt;"x","",IFERROR(_xlfn.XLOOKUP($A73,'Staffing Sheet 2nd Shift'!$A:$A,'Staffing Sheet 2nd Shift'!$I:$I,""),""))</f>
        <v/>
      </c>
      <c r="E73" s="39" t="str">
        <f>Table200[[#This Row],[Recommended Task]]</f>
        <v/>
      </c>
    </row>
    <row r="74" spans="1:5" x14ac:dyDescent="0.2">
      <c r="A74" s="111" t="s">
        <v>249</v>
      </c>
      <c r="B74" s="39">
        <v>2</v>
      </c>
      <c r="C74" s="44">
        <f>Inputs!G74</f>
        <v>0</v>
      </c>
      <c r="D74" s="39" t="str">
        <f>IF($C74&lt;&gt;"x","",IFERROR(_xlfn.XLOOKUP($A74,'Staffing Sheet 2nd Shift'!$A:$A,'Staffing Sheet 2nd Shift'!$I:$I,""),""))</f>
        <v/>
      </c>
      <c r="E74" s="39" t="str">
        <f>Table200[[#This Row],[Recommended Task]]</f>
        <v/>
      </c>
    </row>
    <row r="75" spans="1:5" x14ac:dyDescent="0.25">
      <c r="A75" s="109" t="s">
        <v>250</v>
      </c>
      <c r="B75" s="39">
        <v>2</v>
      </c>
      <c r="C75" s="44">
        <f>Inputs!G75</f>
        <v>0</v>
      </c>
      <c r="D75" s="39" t="str">
        <f>IF($C75&lt;&gt;"x","",IFERROR(_xlfn.XLOOKUP($A75,'Staffing Sheet 2nd Shift'!$A:$A,'Staffing Sheet 2nd Shift'!$I:$I,""),""))</f>
        <v/>
      </c>
      <c r="E75" s="39" t="str">
        <f>Table200[[#This Row],[Recommended Task]]</f>
        <v/>
      </c>
    </row>
    <row r="76" spans="1:5" x14ac:dyDescent="0.25">
      <c r="A76" s="109" t="s">
        <v>251</v>
      </c>
      <c r="B76" s="39">
        <v>2</v>
      </c>
      <c r="C76" s="44">
        <f>Inputs!G76</f>
        <v>0</v>
      </c>
      <c r="D76" s="39" t="str">
        <f>IF($C76&lt;&gt;"x","",IFERROR(_xlfn.XLOOKUP($A76,'Staffing Sheet 2nd Shift'!$A:$A,'Staffing Sheet 2nd Shift'!$I:$I,""),""))</f>
        <v/>
      </c>
      <c r="E76" s="39" t="str">
        <f>Table200[[#This Row],[Recommended Task]]</f>
        <v/>
      </c>
    </row>
    <row r="77" spans="1:5" x14ac:dyDescent="0.2">
      <c r="A77" s="111" t="s">
        <v>252</v>
      </c>
      <c r="B77" s="39">
        <v>2</v>
      </c>
      <c r="C77" s="44">
        <f>Inputs!G77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x14ac:dyDescent="0.2">
      <c r="A78" s="110" t="s">
        <v>253</v>
      </c>
      <c r="B78" s="39">
        <v>2</v>
      </c>
      <c r="C78" s="44">
        <f>Inputs!G78</f>
        <v>0</v>
      </c>
      <c r="D78" s="39" t="str">
        <f>IF($C78&lt;&gt;"x","",IFERROR(_xlfn.XLOOKUP($A78,'Staffing Sheet 2nd Shift'!$A:$A,'Staffing Sheet 2nd Shift'!$I:$I,""),""))</f>
        <v/>
      </c>
      <c r="E78" s="39" t="str">
        <f>Table200[[#This Row],[Recommended Task]]</f>
        <v/>
      </c>
    </row>
    <row r="79" spans="1:5" x14ac:dyDescent="0.2">
      <c r="A79" s="111" t="s">
        <v>254</v>
      </c>
      <c r="B79" s="39">
        <v>2</v>
      </c>
      <c r="C79" s="44">
        <f>Inputs!G79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255</v>
      </c>
      <c r="B80" s="39">
        <v>2</v>
      </c>
      <c r="C80" s="44">
        <f>Inputs!G80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11" t="s">
        <v>256</v>
      </c>
      <c r="B81" s="39">
        <v>2</v>
      </c>
      <c r="C81" s="44">
        <f>Inputs!G81</f>
        <v>0</v>
      </c>
      <c r="D81" s="39" t="str">
        <f>IF($C81&lt;&gt;"x","",IFERROR(_xlfn.XLOOKUP($A81,'Staffing Sheet 2nd Shift'!$A:$A,'Staffing Sheet 2nd Shift'!$I:$I,""),""))</f>
        <v/>
      </c>
      <c r="E81" s="39" t="str">
        <f>Table200[[#This Row],[Recommended Task]]</f>
        <v/>
      </c>
    </row>
    <row r="82" spans="1:5" x14ac:dyDescent="0.2">
      <c r="A82" s="111" t="s">
        <v>257</v>
      </c>
      <c r="B82" s="39">
        <v>2</v>
      </c>
      <c r="C82" s="44">
        <f>Inputs!G82</f>
        <v>0</v>
      </c>
      <c r="D82" s="39" t="str">
        <f>IF($C82&lt;&gt;"x","",IFERROR(_xlfn.XLOOKUP($A82,'Staffing Sheet 2nd Shift'!$A:$A,'Staffing Sheet 2nd Shift'!$I:$I,""),""))</f>
        <v/>
      </c>
      <c r="E82" s="39" t="str">
        <f>Table200[[#This Row],[Recommended Task]]</f>
        <v/>
      </c>
    </row>
    <row r="83" spans="1:5" x14ac:dyDescent="0.2">
      <c r="A83" s="111" t="s">
        <v>258</v>
      </c>
      <c r="B83" s="39">
        <v>2</v>
      </c>
      <c r="C83" s="44">
        <f>Inputs!G83</f>
        <v>0</v>
      </c>
      <c r="D83" s="39" t="str">
        <f>IF($C83&lt;&gt;"x","",IFERROR(_xlfn.XLOOKUP($A83,'Staffing Sheet 2nd Shift'!$A:$A,'Staffing Sheet 2nd Shift'!$I:$I,""),""))</f>
        <v/>
      </c>
      <c r="E83" s="39" t="str">
        <f>Table200[[#This Row],[Recommended Task]]</f>
        <v/>
      </c>
    </row>
    <row r="84" spans="1:5" x14ac:dyDescent="0.25">
      <c r="A84" s="113" t="s">
        <v>259</v>
      </c>
      <c r="B84" s="39">
        <v>2</v>
      </c>
      <c r="C84" s="44">
        <f>Inputs!G84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5">
      <c r="A85" s="113" t="s">
        <v>260</v>
      </c>
      <c r="B85" s="39">
        <v>2</v>
      </c>
      <c r="C85" s="44">
        <f>Inputs!G85</f>
        <v>0</v>
      </c>
      <c r="D85" s="39" t="str">
        <f>IF($C85&lt;&gt;"x","",IFERROR(_xlfn.XLOOKUP($A85,'Staffing Sheet 2nd Shift'!$A:$A,'Staffing Sheet 2nd Shift'!$I:$I,""),""))</f>
        <v/>
      </c>
      <c r="E85" s="39" t="str">
        <f>Table200[[#This Row],[Recommended Task]]</f>
        <v/>
      </c>
    </row>
    <row r="86" spans="1:5" x14ac:dyDescent="0.2">
      <c r="A86" s="111" t="s">
        <v>261</v>
      </c>
      <c r="B86" s="39">
        <v>2</v>
      </c>
      <c r="C86" s="44">
        <f>Inputs!G86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09" t="s">
        <v>262</v>
      </c>
      <c r="B87" s="39">
        <v>2</v>
      </c>
      <c r="C87" s="44">
        <f>Inputs!G87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x14ac:dyDescent="0.25">
      <c r="A88" s="109" t="s">
        <v>263</v>
      </c>
      <c r="B88" s="39">
        <v>2</v>
      </c>
      <c r="C88" s="44">
        <f>Inputs!G88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3" t="s">
        <v>264</v>
      </c>
      <c r="B89" s="39">
        <v>2</v>
      </c>
      <c r="C89" s="44">
        <f>Inputs!G89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09" t="s">
        <v>265</v>
      </c>
      <c r="B90" s="39">
        <v>2</v>
      </c>
      <c r="C90" s="44">
        <f>Inputs!G90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3" t="s">
        <v>266</v>
      </c>
      <c r="B91" s="39">
        <v>2</v>
      </c>
      <c r="C91" s="44">
        <f>Inputs!G91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x14ac:dyDescent="0.25">
      <c r="A92" s="113" t="s">
        <v>267</v>
      </c>
      <c r="B92" s="39">
        <v>2</v>
      </c>
      <c r="C92" s="44">
        <f>Inputs!G92</f>
        <v>0</v>
      </c>
      <c r="D92" s="39" t="str">
        <f>IF($C92&lt;&gt;"x","",IFERROR(_xlfn.XLOOKUP($A92,'Staffing Sheet 2nd Shift'!$A:$A,'Staffing Sheet 2nd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Inputs!G93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4" t="s">
        <v>269</v>
      </c>
      <c r="B94" s="39">
        <v>2</v>
      </c>
      <c r="C94" s="44">
        <f>Inputs!G94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x14ac:dyDescent="0.25">
      <c r="A95" s="113" t="s">
        <v>270</v>
      </c>
      <c r="B95" s="39">
        <v>2</v>
      </c>
      <c r="C95" s="44">
        <f>Inputs!G95</f>
        <v>0</v>
      </c>
      <c r="D95" s="39" t="str">
        <f>IF($C95&lt;&gt;"x","",IFERROR(_xlfn.XLOOKUP($A95,'Staffing Sheet 2nd Shift'!$A:$A,'Staffing Sheet 2nd Shift'!$I:$I,""),""))</f>
        <v/>
      </c>
      <c r="E95" s="39" t="str">
        <f>Table200[[#This Row],[Recommended Task]]</f>
        <v/>
      </c>
    </row>
    <row r="96" spans="1:5" x14ac:dyDescent="0.25">
      <c r="A96" s="73"/>
      <c r="B96" s="73"/>
      <c r="C96" s="75" cm="1">
        <f t="array" ref="C96">COUNTIF(G2:G95,x)</f>
        <v>0</v>
      </c>
      <c r="D96" s="74"/>
      <c r="E96" s="11"/>
    </row>
    <row r="146" spans="3:3" x14ac:dyDescent="0.2">
      <c r="C146" s="37">
        <f>COUNTIF(C2:C48,"X")</f>
        <v>0</v>
      </c>
    </row>
  </sheetData>
  <conditionalFormatting sqref="K17">
    <cfRule type="containsText" dxfId="18" priority="2" operator="containsText" text="Overstaffed">
      <formula>NOT(ISERROR(SEARCH("Overstaffed",K17)))</formula>
    </cfRule>
    <cfRule type="containsText" dxfId="17" priority="3" operator="containsText" text="Good">
      <formula>NOT(ISERROR(SEARCH("Good",K17)))</formula>
    </cfRule>
    <cfRule type="containsText" dxfId="16" priority="4" operator="containsText" text="Understaffed">
      <formula>NOT(ISERROR(SEARCH("Understaffed",K17)))</formula>
    </cfRule>
  </conditionalFormatting>
  <conditionalFormatting sqref="E2:E95">
    <cfRule type="cellIs" dxfId="15" priority="1" operator="equal">
      <formula>"Tasking"</formula>
    </cfRule>
  </conditionalFormatting>
  <dataValidations count="4">
    <dataValidation type="list" allowBlank="1" showInputMessage="1" showErrorMessage="1" sqref="WVO983061:WVO983088 JC65557:JC65584 SY65557:SY65584 ACU65557:ACU65584 AMQ65557:AMQ65584 AWM65557:AWM65584 BGI65557:BGI65584 BQE65557:BQE65584 CAA65557:CAA65584 CJW65557:CJW65584 CTS65557:CTS65584 DDO65557:DDO65584 DNK65557:DNK65584 DXG65557:DXG65584 EHC65557:EHC65584 EQY65557:EQY65584 FAU65557:FAU65584 FKQ65557:FKQ65584 FUM65557:FUM65584 GEI65557:GEI65584 GOE65557:GOE65584 GYA65557:GYA65584 HHW65557:HHW65584 HRS65557:HRS65584 IBO65557:IBO65584 ILK65557:ILK65584 IVG65557:IVG65584 JFC65557:JFC65584 JOY65557:JOY65584 JYU65557:JYU65584 KIQ65557:KIQ65584 KSM65557:KSM65584 LCI65557:LCI65584 LME65557:LME65584 LWA65557:LWA65584 MFW65557:MFW65584 MPS65557:MPS65584 MZO65557:MZO65584 NJK65557:NJK65584 NTG65557:NTG65584 ODC65557:ODC65584 OMY65557:OMY65584 OWU65557:OWU65584 PGQ65557:PGQ65584 PQM65557:PQM65584 QAI65557:QAI65584 QKE65557:QKE65584 QUA65557:QUA65584 RDW65557:RDW65584 RNS65557:RNS65584 RXO65557:RXO65584 SHK65557:SHK65584 SRG65557:SRG65584 TBC65557:TBC65584 TKY65557:TKY65584 TUU65557:TUU65584 UEQ65557:UEQ65584 UOM65557:UOM65584 UYI65557:UYI65584 VIE65557:VIE65584 VSA65557:VSA65584 WBW65557:WBW65584 WLS65557:WLS65584 WVO65557:WVO65584 JC131093:JC131120 SY131093:SY131120 ACU131093:ACU131120 AMQ131093:AMQ131120 AWM131093:AWM131120 BGI131093:BGI131120 BQE131093:BQE131120 CAA131093:CAA131120 CJW131093:CJW131120 CTS131093:CTS131120 DDO131093:DDO131120 DNK131093:DNK131120 DXG131093:DXG131120 EHC131093:EHC131120 EQY131093:EQY131120 FAU131093:FAU131120 FKQ131093:FKQ131120 FUM131093:FUM131120 GEI131093:GEI131120 GOE131093:GOE131120 GYA131093:GYA131120 HHW131093:HHW131120 HRS131093:HRS131120 IBO131093:IBO131120 ILK131093:ILK131120 IVG131093:IVG131120 JFC131093:JFC131120 JOY131093:JOY131120 JYU131093:JYU131120 KIQ131093:KIQ131120 KSM131093:KSM131120 LCI131093:LCI131120 LME131093:LME131120 LWA131093:LWA131120 MFW131093:MFW131120 MPS131093:MPS131120 MZO131093:MZO131120 NJK131093:NJK131120 NTG131093:NTG131120 ODC131093:ODC131120 OMY131093:OMY131120 OWU131093:OWU131120 PGQ131093:PGQ131120 PQM131093:PQM131120 QAI131093:QAI131120 QKE131093:QKE131120 QUA131093:QUA131120 RDW131093:RDW131120 RNS131093:RNS131120 RXO131093:RXO131120 SHK131093:SHK131120 SRG131093:SRG131120 TBC131093:TBC131120 TKY131093:TKY131120 TUU131093:TUU131120 UEQ131093:UEQ131120 UOM131093:UOM131120 UYI131093:UYI131120 VIE131093:VIE131120 VSA131093:VSA131120 WBW131093:WBW131120 WLS131093:WLS131120 WVO131093:WVO131120 JC196629:JC196656 SY196629:SY196656 ACU196629:ACU196656 AMQ196629:AMQ196656 AWM196629:AWM196656 BGI196629:BGI196656 BQE196629:BQE196656 CAA196629:CAA196656 CJW196629:CJW196656 CTS196629:CTS196656 DDO196629:DDO196656 DNK196629:DNK196656 DXG196629:DXG196656 EHC196629:EHC196656 EQY196629:EQY196656 FAU196629:FAU196656 FKQ196629:FKQ196656 FUM196629:FUM196656 GEI196629:GEI196656 GOE196629:GOE196656 GYA196629:GYA196656 HHW196629:HHW196656 HRS196629:HRS196656 IBO196629:IBO196656 ILK196629:ILK196656 IVG196629:IVG196656 JFC196629:JFC196656 JOY196629:JOY196656 JYU196629:JYU196656 KIQ196629:KIQ196656 KSM196629:KSM196656 LCI196629:LCI196656 LME196629:LME196656 LWA196629:LWA196656 MFW196629:MFW196656 MPS196629:MPS196656 MZO196629:MZO196656 NJK196629:NJK196656 NTG196629:NTG196656 ODC196629:ODC196656 OMY196629:OMY196656 OWU196629:OWU196656 PGQ196629:PGQ196656 PQM196629:PQM196656 QAI196629:QAI196656 QKE196629:QKE196656 QUA196629:QUA196656 RDW196629:RDW196656 RNS196629:RNS196656 RXO196629:RXO196656 SHK196629:SHK196656 SRG196629:SRG196656 TBC196629:TBC196656 TKY196629:TKY196656 TUU196629:TUU196656 UEQ196629:UEQ196656 UOM196629:UOM196656 UYI196629:UYI196656 VIE196629:VIE196656 VSA196629:VSA196656 WBW196629:WBW196656 WLS196629:WLS196656 WVO196629:WVO196656 JC262165:JC262192 SY262165:SY262192 ACU262165:ACU262192 AMQ262165:AMQ262192 AWM262165:AWM262192 BGI262165:BGI262192 BQE262165:BQE262192 CAA262165:CAA262192 CJW262165:CJW262192 CTS262165:CTS262192 DDO262165:DDO262192 DNK262165:DNK262192 DXG262165:DXG262192 EHC262165:EHC262192 EQY262165:EQY262192 FAU262165:FAU262192 FKQ262165:FKQ262192 FUM262165:FUM262192 GEI262165:GEI262192 GOE262165:GOE262192 GYA262165:GYA262192 HHW262165:HHW262192 HRS262165:HRS262192 IBO262165:IBO262192 ILK262165:ILK262192 IVG262165:IVG262192 JFC262165:JFC262192 JOY262165:JOY262192 JYU262165:JYU262192 KIQ262165:KIQ262192 KSM262165:KSM262192 LCI262165:LCI262192 LME262165:LME262192 LWA262165:LWA262192 MFW262165:MFW262192 MPS262165:MPS262192 MZO262165:MZO262192 NJK262165:NJK262192 NTG262165:NTG262192 ODC262165:ODC262192 OMY262165:OMY262192 OWU262165:OWU262192 PGQ262165:PGQ262192 PQM262165:PQM262192 QAI262165:QAI262192 QKE262165:QKE262192 QUA262165:QUA262192 RDW262165:RDW262192 RNS262165:RNS262192 RXO262165:RXO262192 SHK262165:SHK262192 SRG262165:SRG262192 TBC262165:TBC262192 TKY262165:TKY262192 TUU262165:TUU262192 UEQ262165:UEQ262192 UOM262165:UOM262192 UYI262165:UYI262192 VIE262165:VIE262192 VSA262165:VSA262192 WBW262165:WBW262192 WLS262165:WLS262192 WVO262165:WVO262192 JC327701:JC327728 SY327701:SY327728 ACU327701:ACU327728 AMQ327701:AMQ327728 AWM327701:AWM327728 BGI327701:BGI327728 BQE327701:BQE327728 CAA327701:CAA327728 CJW327701:CJW327728 CTS327701:CTS327728 DDO327701:DDO327728 DNK327701:DNK327728 DXG327701:DXG327728 EHC327701:EHC327728 EQY327701:EQY327728 FAU327701:FAU327728 FKQ327701:FKQ327728 FUM327701:FUM327728 GEI327701:GEI327728 GOE327701:GOE327728 GYA327701:GYA327728 HHW327701:HHW327728 HRS327701:HRS327728 IBO327701:IBO327728 ILK327701:ILK327728 IVG327701:IVG327728 JFC327701:JFC327728 JOY327701:JOY327728 JYU327701:JYU327728 KIQ327701:KIQ327728 KSM327701:KSM327728 LCI327701:LCI327728 LME327701:LME327728 LWA327701:LWA327728 MFW327701:MFW327728 MPS327701:MPS327728 MZO327701:MZO327728 NJK327701:NJK327728 NTG327701:NTG327728 ODC327701:ODC327728 OMY327701:OMY327728 OWU327701:OWU327728 PGQ327701:PGQ327728 PQM327701:PQM327728 QAI327701:QAI327728 QKE327701:QKE327728 QUA327701:QUA327728 RDW327701:RDW327728 RNS327701:RNS327728 RXO327701:RXO327728 SHK327701:SHK327728 SRG327701:SRG327728 TBC327701:TBC327728 TKY327701:TKY327728 TUU327701:TUU327728 UEQ327701:UEQ327728 UOM327701:UOM327728 UYI327701:UYI327728 VIE327701:VIE327728 VSA327701:VSA327728 WBW327701:WBW327728 WLS327701:WLS327728 WVO327701:WVO327728 JC393237:JC393264 SY393237:SY393264 ACU393237:ACU393264 AMQ393237:AMQ393264 AWM393237:AWM393264 BGI393237:BGI393264 BQE393237:BQE393264 CAA393237:CAA393264 CJW393237:CJW393264 CTS393237:CTS393264 DDO393237:DDO393264 DNK393237:DNK393264 DXG393237:DXG393264 EHC393237:EHC393264 EQY393237:EQY393264 FAU393237:FAU393264 FKQ393237:FKQ393264 FUM393237:FUM393264 GEI393237:GEI393264 GOE393237:GOE393264 GYA393237:GYA393264 HHW393237:HHW393264 HRS393237:HRS393264 IBO393237:IBO393264 ILK393237:ILK393264 IVG393237:IVG393264 JFC393237:JFC393264 JOY393237:JOY393264 JYU393237:JYU393264 KIQ393237:KIQ393264 KSM393237:KSM393264 LCI393237:LCI393264 LME393237:LME393264 LWA393237:LWA393264 MFW393237:MFW393264 MPS393237:MPS393264 MZO393237:MZO393264 NJK393237:NJK393264 NTG393237:NTG393264 ODC393237:ODC393264 OMY393237:OMY393264 OWU393237:OWU393264 PGQ393237:PGQ393264 PQM393237:PQM393264 QAI393237:QAI393264 QKE393237:QKE393264 QUA393237:QUA393264 RDW393237:RDW393264 RNS393237:RNS393264 RXO393237:RXO393264 SHK393237:SHK393264 SRG393237:SRG393264 TBC393237:TBC393264 TKY393237:TKY393264 TUU393237:TUU393264 UEQ393237:UEQ393264 UOM393237:UOM393264 UYI393237:UYI393264 VIE393237:VIE393264 VSA393237:VSA393264 WBW393237:WBW393264 WLS393237:WLS393264 WVO393237:WVO393264 JC458773:JC458800 SY458773:SY458800 ACU458773:ACU458800 AMQ458773:AMQ458800 AWM458773:AWM458800 BGI458773:BGI458800 BQE458773:BQE458800 CAA458773:CAA458800 CJW458773:CJW458800 CTS458773:CTS458800 DDO458773:DDO458800 DNK458773:DNK458800 DXG458773:DXG458800 EHC458773:EHC458800 EQY458773:EQY458800 FAU458773:FAU458800 FKQ458773:FKQ458800 FUM458773:FUM458800 GEI458773:GEI458800 GOE458773:GOE458800 GYA458773:GYA458800 HHW458773:HHW458800 HRS458773:HRS458800 IBO458773:IBO458800 ILK458773:ILK458800 IVG458773:IVG458800 JFC458773:JFC458800 JOY458773:JOY458800 JYU458773:JYU458800 KIQ458773:KIQ458800 KSM458773:KSM458800 LCI458773:LCI458800 LME458773:LME458800 LWA458773:LWA458800 MFW458773:MFW458800 MPS458773:MPS458800 MZO458773:MZO458800 NJK458773:NJK458800 NTG458773:NTG458800 ODC458773:ODC458800 OMY458773:OMY458800 OWU458773:OWU458800 PGQ458773:PGQ458800 PQM458773:PQM458800 QAI458773:QAI458800 QKE458773:QKE458800 QUA458773:QUA458800 RDW458773:RDW458800 RNS458773:RNS458800 RXO458773:RXO458800 SHK458773:SHK458800 SRG458773:SRG458800 TBC458773:TBC458800 TKY458773:TKY458800 TUU458773:TUU458800 UEQ458773:UEQ458800 UOM458773:UOM458800 UYI458773:UYI458800 VIE458773:VIE458800 VSA458773:VSA458800 WBW458773:WBW458800 WLS458773:WLS458800 WVO458773:WVO458800 JC524309:JC524336 SY524309:SY524336 ACU524309:ACU524336 AMQ524309:AMQ524336 AWM524309:AWM524336 BGI524309:BGI524336 BQE524309:BQE524336 CAA524309:CAA524336 CJW524309:CJW524336 CTS524309:CTS524336 DDO524309:DDO524336 DNK524309:DNK524336 DXG524309:DXG524336 EHC524309:EHC524336 EQY524309:EQY524336 FAU524309:FAU524336 FKQ524309:FKQ524336 FUM524309:FUM524336 GEI524309:GEI524336 GOE524309:GOE524336 GYA524309:GYA524336 HHW524309:HHW524336 HRS524309:HRS524336 IBO524309:IBO524336 ILK524309:ILK524336 IVG524309:IVG524336 JFC524309:JFC524336 JOY524309:JOY524336 JYU524309:JYU524336 KIQ524309:KIQ524336 KSM524309:KSM524336 LCI524309:LCI524336 LME524309:LME524336 LWA524309:LWA524336 MFW524309:MFW524336 MPS524309:MPS524336 MZO524309:MZO524336 NJK524309:NJK524336 NTG524309:NTG524336 ODC524309:ODC524336 OMY524309:OMY524336 OWU524309:OWU524336 PGQ524309:PGQ524336 PQM524309:PQM524336 QAI524309:QAI524336 QKE524309:QKE524336 QUA524309:QUA524336 RDW524309:RDW524336 RNS524309:RNS524336 RXO524309:RXO524336 SHK524309:SHK524336 SRG524309:SRG524336 TBC524309:TBC524336 TKY524309:TKY524336 TUU524309:TUU524336 UEQ524309:UEQ524336 UOM524309:UOM524336 UYI524309:UYI524336 VIE524309:VIE524336 VSA524309:VSA524336 WBW524309:WBW524336 WLS524309:WLS524336 WVO524309:WVO524336 JC589845:JC589872 SY589845:SY589872 ACU589845:ACU589872 AMQ589845:AMQ589872 AWM589845:AWM589872 BGI589845:BGI589872 BQE589845:BQE589872 CAA589845:CAA589872 CJW589845:CJW589872 CTS589845:CTS589872 DDO589845:DDO589872 DNK589845:DNK589872 DXG589845:DXG589872 EHC589845:EHC589872 EQY589845:EQY589872 FAU589845:FAU589872 FKQ589845:FKQ589872 FUM589845:FUM589872 GEI589845:GEI589872 GOE589845:GOE589872 GYA589845:GYA589872 HHW589845:HHW589872 HRS589845:HRS589872 IBO589845:IBO589872 ILK589845:ILK589872 IVG589845:IVG589872 JFC589845:JFC589872 JOY589845:JOY589872 JYU589845:JYU589872 KIQ589845:KIQ589872 KSM589845:KSM589872 LCI589845:LCI589872 LME589845:LME589872 LWA589845:LWA589872 MFW589845:MFW589872 MPS589845:MPS589872 MZO589845:MZO589872 NJK589845:NJK589872 NTG589845:NTG589872 ODC589845:ODC589872 OMY589845:OMY589872 OWU589845:OWU589872 PGQ589845:PGQ589872 PQM589845:PQM589872 QAI589845:QAI589872 QKE589845:QKE589872 QUA589845:QUA589872 RDW589845:RDW589872 RNS589845:RNS589872 RXO589845:RXO589872 SHK589845:SHK589872 SRG589845:SRG589872 TBC589845:TBC589872 TKY589845:TKY589872 TUU589845:TUU589872 UEQ589845:UEQ589872 UOM589845:UOM589872 UYI589845:UYI589872 VIE589845:VIE589872 VSA589845:VSA589872 WBW589845:WBW589872 WLS589845:WLS589872 WVO589845:WVO589872 JC655381:JC655408 SY655381:SY655408 ACU655381:ACU655408 AMQ655381:AMQ655408 AWM655381:AWM655408 BGI655381:BGI655408 BQE655381:BQE655408 CAA655381:CAA655408 CJW655381:CJW655408 CTS655381:CTS655408 DDO655381:DDO655408 DNK655381:DNK655408 DXG655381:DXG655408 EHC655381:EHC655408 EQY655381:EQY655408 FAU655381:FAU655408 FKQ655381:FKQ655408 FUM655381:FUM655408 GEI655381:GEI655408 GOE655381:GOE655408 GYA655381:GYA655408 HHW655381:HHW655408 HRS655381:HRS655408 IBO655381:IBO655408 ILK655381:ILK655408 IVG655381:IVG655408 JFC655381:JFC655408 JOY655381:JOY655408 JYU655381:JYU655408 KIQ655381:KIQ655408 KSM655381:KSM655408 LCI655381:LCI655408 LME655381:LME655408 LWA655381:LWA655408 MFW655381:MFW655408 MPS655381:MPS655408 MZO655381:MZO655408 NJK655381:NJK655408 NTG655381:NTG655408 ODC655381:ODC655408 OMY655381:OMY655408 OWU655381:OWU655408 PGQ655381:PGQ655408 PQM655381:PQM655408 QAI655381:QAI655408 QKE655381:QKE655408 QUA655381:QUA655408 RDW655381:RDW655408 RNS655381:RNS655408 RXO655381:RXO655408 SHK655381:SHK655408 SRG655381:SRG655408 TBC655381:TBC655408 TKY655381:TKY655408 TUU655381:TUU655408 UEQ655381:UEQ655408 UOM655381:UOM655408 UYI655381:UYI655408 VIE655381:VIE655408 VSA655381:VSA655408 WBW655381:WBW655408 WLS655381:WLS655408 WVO655381:WVO655408 JC720917:JC720944 SY720917:SY720944 ACU720917:ACU720944 AMQ720917:AMQ720944 AWM720917:AWM720944 BGI720917:BGI720944 BQE720917:BQE720944 CAA720917:CAA720944 CJW720917:CJW720944 CTS720917:CTS720944 DDO720917:DDO720944 DNK720917:DNK720944 DXG720917:DXG720944 EHC720917:EHC720944 EQY720917:EQY720944 FAU720917:FAU720944 FKQ720917:FKQ720944 FUM720917:FUM720944 GEI720917:GEI720944 GOE720917:GOE720944 GYA720917:GYA720944 HHW720917:HHW720944 HRS720917:HRS720944 IBO720917:IBO720944 ILK720917:ILK720944 IVG720917:IVG720944 JFC720917:JFC720944 JOY720917:JOY720944 JYU720917:JYU720944 KIQ720917:KIQ720944 KSM720917:KSM720944 LCI720917:LCI720944 LME720917:LME720944 LWA720917:LWA720944 MFW720917:MFW720944 MPS720917:MPS720944 MZO720917:MZO720944 NJK720917:NJK720944 NTG720917:NTG720944 ODC720917:ODC720944 OMY720917:OMY720944 OWU720917:OWU720944 PGQ720917:PGQ720944 PQM720917:PQM720944 QAI720917:QAI720944 QKE720917:QKE720944 QUA720917:QUA720944 RDW720917:RDW720944 RNS720917:RNS720944 RXO720917:RXO720944 SHK720917:SHK720944 SRG720917:SRG720944 TBC720917:TBC720944 TKY720917:TKY720944 TUU720917:TUU720944 UEQ720917:UEQ720944 UOM720917:UOM720944 UYI720917:UYI720944 VIE720917:VIE720944 VSA720917:VSA720944 WBW720917:WBW720944 WLS720917:WLS720944 WVO720917:WVO720944 JC786453:JC786480 SY786453:SY786480 ACU786453:ACU786480 AMQ786453:AMQ786480 AWM786453:AWM786480 BGI786453:BGI786480 BQE786453:BQE786480 CAA786453:CAA786480 CJW786453:CJW786480 CTS786453:CTS786480 DDO786453:DDO786480 DNK786453:DNK786480 DXG786453:DXG786480 EHC786453:EHC786480 EQY786453:EQY786480 FAU786453:FAU786480 FKQ786453:FKQ786480 FUM786453:FUM786480 GEI786453:GEI786480 GOE786453:GOE786480 GYA786453:GYA786480 HHW786453:HHW786480 HRS786453:HRS786480 IBO786453:IBO786480 ILK786453:ILK786480 IVG786453:IVG786480 JFC786453:JFC786480 JOY786453:JOY786480 JYU786453:JYU786480 KIQ786453:KIQ786480 KSM786453:KSM786480 LCI786453:LCI786480 LME786453:LME786480 LWA786453:LWA786480 MFW786453:MFW786480 MPS786453:MPS786480 MZO786453:MZO786480 NJK786453:NJK786480 NTG786453:NTG786480 ODC786453:ODC786480 OMY786453:OMY786480 OWU786453:OWU786480 PGQ786453:PGQ786480 PQM786453:PQM786480 QAI786453:QAI786480 QKE786453:QKE786480 QUA786453:QUA786480 RDW786453:RDW786480 RNS786453:RNS786480 RXO786453:RXO786480 SHK786453:SHK786480 SRG786453:SRG786480 TBC786453:TBC786480 TKY786453:TKY786480 TUU786453:TUU786480 UEQ786453:UEQ786480 UOM786453:UOM786480 UYI786453:UYI786480 VIE786453:VIE786480 VSA786453:VSA786480 WBW786453:WBW786480 WLS786453:WLS786480 WVO786453:WVO786480 JC851989:JC852016 SY851989:SY852016 ACU851989:ACU852016 AMQ851989:AMQ852016 AWM851989:AWM852016 BGI851989:BGI852016 BQE851989:BQE852016 CAA851989:CAA852016 CJW851989:CJW852016 CTS851989:CTS852016 DDO851989:DDO852016 DNK851989:DNK852016 DXG851989:DXG852016 EHC851989:EHC852016 EQY851989:EQY852016 FAU851989:FAU852016 FKQ851989:FKQ852016 FUM851989:FUM852016 GEI851989:GEI852016 GOE851989:GOE852016 GYA851989:GYA852016 HHW851989:HHW852016 HRS851989:HRS852016 IBO851989:IBO852016 ILK851989:ILK852016 IVG851989:IVG852016 JFC851989:JFC852016 JOY851989:JOY852016 JYU851989:JYU852016 KIQ851989:KIQ852016 KSM851989:KSM852016 LCI851989:LCI852016 LME851989:LME852016 LWA851989:LWA852016 MFW851989:MFW852016 MPS851989:MPS852016 MZO851989:MZO852016 NJK851989:NJK852016 NTG851989:NTG852016 ODC851989:ODC852016 OMY851989:OMY852016 OWU851989:OWU852016 PGQ851989:PGQ852016 PQM851989:PQM852016 QAI851989:QAI852016 QKE851989:QKE852016 QUA851989:QUA852016 RDW851989:RDW852016 RNS851989:RNS852016 RXO851989:RXO852016 SHK851989:SHK852016 SRG851989:SRG852016 TBC851989:TBC852016 TKY851989:TKY852016 TUU851989:TUU852016 UEQ851989:UEQ852016 UOM851989:UOM852016 UYI851989:UYI852016 VIE851989:VIE852016 VSA851989:VSA852016 WBW851989:WBW852016 WLS851989:WLS852016 WVO851989:WVO852016 JC917525:JC917552 SY917525:SY917552 ACU917525:ACU917552 AMQ917525:AMQ917552 AWM917525:AWM917552 BGI917525:BGI917552 BQE917525:BQE917552 CAA917525:CAA917552 CJW917525:CJW917552 CTS917525:CTS917552 DDO917525:DDO917552 DNK917525:DNK917552 DXG917525:DXG917552 EHC917525:EHC917552 EQY917525:EQY917552 FAU917525:FAU917552 FKQ917525:FKQ917552 FUM917525:FUM917552 GEI917525:GEI917552 GOE917525:GOE917552 GYA917525:GYA917552 HHW917525:HHW917552 HRS917525:HRS917552 IBO917525:IBO917552 ILK917525:ILK917552 IVG917525:IVG917552 JFC917525:JFC917552 JOY917525:JOY917552 JYU917525:JYU917552 KIQ917525:KIQ917552 KSM917525:KSM917552 LCI917525:LCI917552 LME917525:LME917552 LWA917525:LWA917552 MFW917525:MFW917552 MPS917525:MPS917552 MZO917525:MZO917552 NJK917525:NJK917552 NTG917525:NTG917552 ODC917525:ODC917552 OMY917525:OMY917552 OWU917525:OWU917552 PGQ917525:PGQ917552 PQM917525:PQM917552 QAI917525:QAI917552 QKE917525:QKE917552 QUA917525:QUA917552 RDW917525:RDW917552 RNS917525:RNS917552 RXO917525:RXO917552 SHK917525:SHK917552 SRG917525:SRG917552 TBC917525:TBC917552 TKY917525:TKY917552 TUU917525:TUU917552 UEQ917525:UEQ917552 UOM917525:UOM917552 UYI917525:UYI917552 VIE917525:VIE917552 VSA917525:VSA917552 WBW917525:WBW917552 WLS917525:WLS917552 WVO917525:WVO917552 JC983061:JC983088 SY983061:SY983088 ACU983061:ACU983088 AMQ983061:AMQ983088 AWM983061:AWM983088 BGI983061:BGI983088 BQE983061:BQE983088 CAA983061:CAA983088 CJW983061:CJW983088 CTS983061:CTS983088 DDO983061:DDO983088 DNK983061:DNK983088 DXG983061:DXG983088 EHC983061:EHC983088 EQY983061:EQY983088 FAU983061:FAU983088 FKQ983061:FKQ983088 FUM983061:FUM983088 GEI983061:GEI983088 GOE983061:GOE983088 GYA983061:GYA983088 HHW983061:HHW983088 HRS983061:HRS983088 IBO983061:IBO983088 ILK983061:ILK983088 IVG983061:IVG983088 JFC983061:JFC983088 JOY983061:JOY983088 JYU983061:JYU983088 KIQ983061:KIQ983088 KSM983061:KSM983088 LCI983061:LCI983088 LME983061:LME983088 LWA983061:LWA983088 MFW983061:MFW983088 MPS983061:MPS983088 MZO983061:MZO983088 NJK983061:NJK983088 NTG983061:NTG983088 ODC983061:ODC983088 OMY983061:OMY983088 OWU983061:OWU983088 PGQ983061:PGQ983088 PQM983061:PQM983088 QAI983061:QAI983088 QKE983061:QKE983088 QUA983061:QUA983088 RDW983061:RDW983088 RNS983061:RNS983088 RXO983061:RXO983088 SHK983061:SHK983088 SRG983061:SRG983088 TBC983061:TBC983088 TKY983061:TKY983088 TUU983061:TUU983088 UEQ983061:UEQ983088 UOM983061:UOM983088 UYI983061:UYI983088 VIE983061:VIE983088 VSA983061:VSA983088 WBW983061:WBW983088 WLS983061:WLS983088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596:C65623 C131132:C131159 C196668:C196695 C262204:C262231 C327740:C327767 C393276:C393303 C458812:C458839 C524348:C524375 C589884:C589911 C655420:C655447 C720956:C720983 C786492:C786519 C852028:C852055 C917564:C917591 C983100:C983127 C1" xr:uid="{1CC7598A-C000-4646-8423-8FAFF9E82D21}">
      <formula1>#REF!</formula1>
    </dataValidation>
    <dataValidation type="list" allowBlank="1" showInputMessage="1" showErrorMessage="1" sqref="D65596:E65623 D131132:E131159 D196668:E196695 D262204:E262231 D327740:E327767 D393276:E393303 D458812:E458839 D524348:E524375 D589884:E589911 D655420:E655447 D720956:E720983 D786492:E786519 D852028:E852055 D917564:E917591 D983100:E983127" xr:uid="{F4E25A44-BCE6-4FE3-85BF-C9BC66C43997}">
      <formula1>$P$1:$P$6</formula1>
    </dataValidation>
    <dataValidation type="list" allowBlank="1" showInputMessage="1" showErrorMessage="1" sqref="WVP983061:WVP983088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1:WLT983088 WBX983061:WBX983088 VSB983061:VSB983088 VIF983061:VIF983088 UYJ983061:UYJ983088 UON983061:UON983088 UER983061:UER983088 TUV983061:TUV983088 TKZ983061:TKZ983088 TBD983061:TBD983088 SRH983061:SRH983088 SHL983061:SHL983088 RXP983061:RXP983088 RNT983061:RNT983088 RDX983061:RDX983088 QUB983061:QUB983088 QKF983061:QKF983088 QAJ983061:QAJ983088 PQN983061:PQN983088 PGR983061:PGR983088 OWV983061:OWV983088 OMZ983061:OMZ983088 ODD983061:ODD983088 NTH983061:NTH983088 NJL983061:NJL983088 MZP983061:MZP983088 MPT983061:MPT983088 MFX983061:MFX983088 LWB983061:LWB983088 LMF983061:LMF983088 LCJ983061:LCJ983088 KSN983061:KSN983088 KIR983061:KIR983088 JYV983061:JYV983088 JOZ983061:JOZ983088 JFD983061:JFD983088 IVH983061:IVH983088 ILL983061:ILL983088 IBP983061:IBP983088 HRT983061:HRT983088 HHX983061:HHX983088 GYB983061:GYB983088 GOF983061:GOF983088 GEJ983061:GEJ983088 FUN983061:FUN983088 FKR983061:FKR983088 FAV983061:FAV983088 EQZ983061:EQZ983088 EHD983061:EHD983088 DXH983061:DXH983088 DNL983061:DNL983088 DDP983061:DDP983088 CTT983061:CTT983088 CJX983061:CJX983088 CAB983061:CAB983088 BQF983061:BQF983088 BGJ983061:BGJ983088 AWN983061:AWN983088 AMR983061:AMR983088 ACV983061:ACV983088 SZ983061:SZ983088 JD983061:JD983088 SZ1:SZ34 WVP917525:WVP917552 WLT917525:WLT917552 WBX917525:WBX917552 VSB917525:VSB917552 VIF917525:VIF917552 UYJ917525:UYJ917552 UON917525:UON917552 UER917525:UER917552 TUV917525:TUV917552 TKZ917525:TKZ917552 TBD917525:TBD917552 SRH917525:SRH917552 SHL917525:SHL917552 RXP917525:RXP917552 RNT917525:RNT917552 RDX917525:RDX917552 QUB917525:QUB917552 QKF917525:QKF917552 QAJ917525:QAJ917552 PQN917525:PQN917552 PGR917525:PGR917552 OWV917525:OWV917552 OMZ917525:OMZ917552 ODD917525:ODD917552 NTH917525:NTH917552 NJL917525:NJL917552 MZP917525:MZP917552 MPT917525:MPT917552 MFX917525:MFX917552 LWB917525:LWB917552 LMF917525:LMF917552 LCJ917525:LCJ917552 KSN917525:KSN917552 KIR917525:KIR917552 JYV917525:JYV917552 JOZ917525:JOZ917552 JFD917525:JFD917552 IVH917525:IVH917552 ILL917525:ILL917552 IBP917525:IBP917552 HRT917525:HRT917552 HHX917525:HHX917552 GYB917525:GYB917552 GOF917525:GOF917552 GEJ917525:GEJ917552 FUN917525:FUN917552 FKR917525:FKR917552 FAV917525:FAV917552 EQZ917525:EQZ917552 EHD917525:EHD917552 DXH917525:DXH917552 DNL917525:DNL917552 DDP917525:DDP917552 CTT917525:CTT917552 CJX917525:CJX917552 CAB917525:CAB917552 BQF917525:BQF917552 BGJ917525:BGJ917552 AWN917525:AWN917552 AMR917525:AMR917552 ACV917525:ACV917552 SZ917525:SZ917552 JD917525:JD917552 WVP851989:WVP852016 WLT851989:WLT852016 WBX851989:WBX852016 VSB851989:VSB852016 VIF851989:VIF852016 UYJ851989:UYJ852016 UON851989:UON852016 UER851989:UER852016 TUV851989:TUV852016 TKZ851989:TKZ852016 TBD851989:TBD852016 SRH851989:SRH852016 SHL851989:SHL852016 RXP851989:RXP852016 RNT851989:RNT852016 RDX851989:RDX852016 QUB851989:QUB852016 QKF851989:QKF852016 QAJ851989:QAJ852016 PQN851989:PQN852016 PGR851989:PGR852016 OWV851989:OWV852016 OMZ851989:OMZ852016 ODD851989:ODD852016 NTH851989:NTH852016 NJL851989:NJL852016 MZP851989:MZP852016 MPT851989:MPT852016 MFX851989:MFX852016 LWB851989:LWB852016 LMF851989:LMF852016 LCJ851989:LCJ852016 KSN851989:KSN852016 KIR851989:KIR852016 JYV851989:JYV852016 JOZ851989:JOZ852016 JFD851989:JFD852016 IVH851989:IVH852016 ILL851989:ILL852016 IBP851989:IBP852016 HRT851989:HRT852016 HHX851989:HHX852016 GYB851989:GYB852016 GOF851989:GOF852016 GEJ851989:GEJ852016 FUN851989:FUN852016 FKR851989:FKR852016 FAV851989:FAV852016 EQZ851989:EQZ852016 EHD851989:EHD852016 DXH851989:DXH852016 DNL851989:DNL852016 DDP851989:DDP852016 CTT851989:CTT852016 CJX851989:CJX852016 CAB851989:CAB852016 BQF851989:BQF852016 BGJ851989:BGJ852016 AWN851989:AWN852016 AMR851989:AMR852016 ACV851989:ACV852016 SZ851989:SZ852016 JD851989:JD852016 WVP786453:WVP786480 WLT786453:WLT786480 WBX786453:WBX786480 VSB786453:VSB786480 VIF786453:VIF786480 UYJ786453:UYJ786480 UON786453:UON786480 UER786453:UER786480 TUV786453:TUV786480 TKZ786453:TKZ786480 TBD786453:TBD786480 SRH786453:SRH786480 SHL786453:SHL786480 RXP786453:RXP786480 RNT786453:RNT786480 RDX786453:RDX786480 QUB786453:QUB786480 QKF786453:QKF786480 QAJ786453:QAJ786480 PQN786453:PQN786480 PGR786453:PGR786480 OWV786453:OWV786480 OMZ786453:OMZ786480 ODD786453:ODD786480 NTH786453:NTH786480 NJL786453:NJL786480 MZP786453:MZP786480 MPT786453:MPT786480 MFX786453:MFX786480 LWB786453:LWB786480 LMF786453:LMF786480 LCJ786453:LCJ786480 KSN786453:KSN786480 KIR786453:KIR786480 JYV786453:JYV786480 JOZ786453:JOZ786480 JFD786453:JFD786480 IVH786453:IVH786480 ILL786453:ILL786480 IBP786453:IBP786480 HRT786453:HRT786480 HHX786453:HHX786480 GYB786453:GYB786480 GOF786453:GOF786480 GEJ786453:GEJ786480 FUN786453:FUN786480 FKR786453:FKR786480 FAV786453:FAV786480 EQZ786453:EQZ786480 EHD786453:EHD786480 DXH786453:DXH786480 DNL786453:DNL786480 DDP786453:DDP786480 CTT786453:CTT786480 CJX786453:CJX786480 CAB786453:CAB786480 BQF786453:BQF786480 BGJ786453:BGJ786480 AWN786453:AWN786480 AMR786453:AMR786480 ACV786453:ACV786480 SZ786453:SZ786480 JD786453:JD786480 WVP720917:WVP720944 WLT720917:WLT720944 WBX720917:WBX720944 VSB720917:VSB720944 VIF720917:VIF720944 UYJ720917:UYJ720944 UON720917:UON720944 UER720917:UER720944 TUV720917:TUV720944 TKZ720917:TKZ720944 TBD720917:TBD720944 SRH720917:SRH720944 SHL720917:SHL720944 RXP720917:RXP720944 RNT720917:RNT720944 RDX720917:RDX720944 QUB720917:QUB720944 QKF720917:QKF720944 QAJ720917:QAJ720944 PQN720917:PQN720944 PGR720917:PGR720944 OWV720917:OWV720944 OMZ720917:OMZ720944 ODD720917:ODD720944 NTH720917:NTH720944 NJL720917:NJL720944 MZP720917:MZP720944 MPT720917:MPT720944 MFX720917:MFX720944 LWB720917:LWB720944 LMF720917:LMF720944 LCJ720917:LCJ720944 KSN720917:KSN720944 KIR720917:KIR720944 JYV720917:JYV720944 JOZ720917:JOZ720944 JFD720917:JFD720944 IVH720917:IVH720944 ILL720917:ILL720944 IBP720917:IBP720944 HRT720917:HRT720944 HHX720917:HHX720944 GYB720917:GYB720944 GOF720917:GOF720944 GEJ720917:GEJ720944 FUN720917:FUN720944 FKR720917:FKR720944 FAV720917:FAV720944 EQZ720917:EQZ720944 EHD720917:EHD720944 DXH720917:DXH720944 DNL720917:DNL720944 DDP720917:DDP720944 CTT720917:CTT720944 CJX720917:CJX720944 CAB720917:CAB720944 BQF720917:BQF720944 BGJ720917:BGJ720944 AWN720917:AWN720944 AMR720917:AMR720944 ACV720917:ACV720944 SZ720917:SZ720944 JD720917:JD720944 WVP655381:WVP655408 WLT655381:WLT655408 WBX655381:WBX655408 VSB655381:VSB655408 VIF655381:VIF655408 UYJ655381:UYJ655408 UON655381:UON655408 UER655381:UER655408 TUV655381:TUV655408 TKZ655381:TKZ655408 TBD655381:TBD655408 SRH655381:SRH655408 SHL655381:SHL655408 RXP655381:RXP655408 RNT655381:RNT655408 RDX655381:RDX655408 QUB655381:QUB655408 QKF655381:QKF655408 QAJ655381:QAJ655408 PQN655381:PQN655408 PGR655381:PGR655408 OWV655381:OWV655408 OMZ655381:OMZ655408 ODD655381:ODD655408 NTH655381:NTH655408 NJL655381:NJL655408 MZP655381:MZP655408 MPT655381:MPT655408 MFX655381:MFX655408 LWB655381:LWB655408 LMF655381:LMF655408 LCJ655381:LCJ655408 KSN655381:KSN655408 KIR655381:KIR655408 JYV655381:JYV655408 JOZ655381:JOZ655408 JFD655381:JFD655408 IVH655381:IVH655408 ILL655381:ILL655408 IBP655381:IBP655408 HRT655381:HRT655408 HHX655381:HHX655408 GYB655381:GYB655408 GOF655381:GOF655408 GEJ655381:GEJ655408 FUN655381:FUN655408 FKR655381:FKR655408 FAV655381:FAV655408 EQZ655381:EQZ655408 EHD655381:EHD655408 DXH655381:DXH655408 DNL655381:DNL655408 DDP655381:DDP655408 CTT655381:CTT655408 CJX655381:CJX655408 CAB655381:CAB655408 BQF655381:BQF655408 BGJ655381:BGJ655408 AWN655381:AWN655408 AMR655381:AMR655408 ACV655381:ACV655408 SZ655381:SZ655408 JD655381:JD655408 WVP589845:WVP589872 WLT589845:WLT589872 WBX589845:WBX589872 VSB589845:VSB589872 VIF589845:VIF589872 UYJ589845:UYJ589872 UON589845:UON589872 UER589845:UER589872 TUV589845:TUV589872 TKZ589845:TKZ589872 TBD589845:TBD589872 SRH589845:SRH589872 SHL589845:SHL589872 RXP589845:RXP589872 RNT589845:RNT589872 RDX589845:RDX589872 QUB589845:QUB589872 QKF589845:QKF589872 QAJ589845:QAJ589872 PQN589845:PQN589872 PGR589845:PGR589872 OWV589845:OWV589872 OMZ589845:OMZ589872 ODD589845:ODD589872 NTH589845:NTH589872 NJL589845:NJL589872 MZP589845:MZP589872 MPT589845:MPT589872 MFX589845:MFX589872 LWB589845:LWB589872 LMF589845:LMF589872 LCJ589845:LCJ589872 KSN589845:KSN589872 KIR589845:KIR589872 JYV589845:JYV589872 JOZ589845:JOZ589872 JFD589845:JFD589872 IVH589845:IVH589872 ILL589845:ILL589872 IBP589845:IBP589872 HRT589845:HRT589872 HHX589845:HHX589872 GYB589845:GYB589872 GOF589845:GOF589872 GEJ589845:GEJ589872 FUN589845:FUN589872 FKR589845:FKR589872 FAV589845:FAV589872 EQZ589845:EQZ589872 EHD589845:EHD589872 DXH589845:DXH589872 DNL589845:DNL589872 DDP589845:DDP589872 CTT589845:CTT589872 CJX589845:CJX589872 CAB589845:CAB589872 BQF589845:BQF589872 BGJ589845:BGJ589872 AWN589845:AWN589872 AMR589845:AMR589872 ACV589845:ACV589872 SZ589845:SZ589872 JD589845:JD589872 WVP524309:WVP524336 WLT524309:WLT524336 WBX524309:WBX524336 VSB524309:VSB524336 VIF524309:VIF524336 UYJ524309:UYJ524336 UON524309:UON524336 UER524309:UER524336 TUV524309:TUV524336 TKZ524309:TKZ524336 TBD524309:TBD524336 SRH524309:SRH524336 SHL524309:SHL524336 RXP524309:RXP524336 RNT524309:RNT524336 RDX524309:RDX524336 QUB524309:QUB524336 QKF524309:QKF524336 QAJ524309:QAJ524336 PQN524309:PQN524336 PGR524309:PGR524336 OWV524309:OWV524336 OMZ524309:OMZ524336 ODD524309:ODD524336 NTH524309:NTH524336 NJL524309:NJL524336 MZP524309:MZP524336 MPT524309:MPT524336 MFX524309:MFX524336 LWB524309:LWB524336 LMF524309:LMF524336 LCJ524309:LCJ524336 KSN524309:KSN524336 KIR524309:KIR524336 JYV524309:JYV524336 JOZ524309:JOZ524336 JFD524309:JFD524336 IVH524309:IVH524336 ILL524309:ILL524336 IBP524309:IBP524336 HRT524309:HRT524336 HHX524309:HHX524336 GYB524309:GYB524336 GOF524309:GOF524336 GEJ524309:GEJ524336 FUN524309:FUN524336 FKR524309:FKR524336 FAV524309:FAV524336 EQZ524309:EQZ524336 EHD524309:EHD524336 DXH524309:DXH524336 DNL524309:DNL524336 DDP524309:DDP524336 CTT524309:CTT524336 CJX524309:CJX524336 CAB524309:CAB524336 BQF524309:BQF524336 BGJ524309:BGJ524336 AWN524309:AWN524336 AMR524309:AMR524336 ACV524309:ACV524336 SZ524309:SZ524336 JD524309:JD524336 WVP458773:WVP458800 WLT458773:WLT458800 WBX458773:WBX458800 VSB458773:VSB458800 VIF458773:VIF458800 UYJ458773:UYJ458800 UON458773:UON458800 UER458773:UER458800 TUV458773:TUV458800 TKZ458773:TKZ458800 TBD458773:TBD458800 SRH458773:SRH458800 SHL458773:SHL458800 RXP458773:RXP458800 RNT458773:RNT458800 RDX458773:RDX458800 QUB458773:QUB458800 QKF458773:QKF458800 QAJ458773:QAJ458800 PQN458773:PQN458800 PGR458773:PGR458800 OWV458773:OWV458800 OMZ458773:OMZ458800 ODD458773:ODD458800 NTH458773:NTH458800 NJL458773:NJL458800 MZP458773:MZP458800 MPT458773:MPT458800 MFX458773:MFX458800 LWB458773:LWB458800 LMF458773:LMF458800 LCJ458773:LCJ458800 KSN458773:KSN458800 KIR458773:KIR458800 JYV458773:JYV458800 JOZ458773:JOZ458800 JFD458773:JFD458800 IVH458773:IVH458800 ILL458773:ILL458800 IBP458773:IBP458800 HRT458773:HRT458800 HHX458773:HHX458800 GYB458773:GYB458800 GOF458773:GOF458800 GEJ458773:GEJ458800 FUN458773:FUN458800 FKR458773:FKR458800 FAV458773:FAV458800 EQZ458773:EQZ458800 EHD458773:EHD458800 DXH458773:DXH458800 DNL458773:DNL458800 DDP458773:DDP458800 CTT458773:CTT458800 CJX458773:CJX458800 CAB458773:CAB458800 BQF458773:BQF458800 BGJ458773:BGJ458800 AWN458773:AWN458800 AMR458773:AMR458800 ACV458773:ACV458800 SZ458773:SZ458800 JD458773:JD458800 WVP393237:WVP393264 WLT393237:WLT393264 WBX393237:WBX393264 VSB393237:VSB393264 VIF393237:VIF393264 UYJ393237:UYJ393264 UON393237:UON393264 UER393237:UER393264 TUV393237:TUV393264 TKZ393237:TKZ393264 TBD393237:TBD393264 SRH393237:SRH393264 SHL393237:SHL393264 RXP393237:RXP393264 RNT393237:RNT393264 RDX393237:RDX393264 QUB393237:QUB393264 QKF393237:QKF393264 QAJ393237:QAJ393264 PQN393237:PQN393264 PGR393237:PGR393264 OWV393237:OWV393264 OMZ393237:OMZ393264 ODD393237:ODD393264 NTH393237:NTH393264 NJL393237:NJL393264 MZP393237:MZP393264 MPT393237:MPT393264 MFX393237:MFX393264 LWB393237:LWB393264 LMF393237:LMF393264 LCJ393237:LCJ393264 KSN393237:KSN393264 KIR393237:KIR393264 JYV393237:JYV393264 JOZ393237:JOZ393264 JFD393237:JFD393264 IVH393237:IVH393264 ILL393237:ILL393264 IBP393237:IBP393264 HRT393237:HRT393264 HHX393237:HHX393264 GYB393237:GYB393264 GOF393237:GOF393264 GEJ393237:GEJ393264 FUN393237:FUN393264 FKR393237:FKR393264 FAV393237:FAV393264 EQZ393237:EQZ393264 EHD393237:EHD393264 DXH393237:DXH393264 DNL393237:DNL393264 DDP393237:DDP393264 CTT393237:CTT393264 CJX393237:CJX393264 CAB393237:CAB393264 BQF393237:BQF393264 BGJ393237:BGJ393264 AWN393237:AWN393264 AMR393237:AMR393264 ACV393237:ACV393264 SZ393237:SZ393264 JD393237:JD393264 WVP327701:WVP327728 WLT327701:WLT327728 WBX327701:WBX327728 VSB327701:VSB327728 VIF327701:VIF327728 UYJ327701:UYJ327728 UON327701:UON327728 UER327701:UER327728 TUV327701:TUV327728 TKZ327701:TKZ327728 TBD327701:TBD327728 SRH327701:SRH327728 SHL327701:SHL327728 RXP327701:RXP327728 RNT327701:RNT327728 RDX327701:RDX327728 QUB327701:QUB327728 QKF327701:QKF327728 QAJ327701:QAJ327728 PQN327701:PQN327728 PGR327701:PGR327728 OWV327701:OWV327728 OMZ327701:OMZ327728 ODD327701:ODD327728 NTH327701:NTH327728 NJL327701:NJL327728 MZP327701:MZP327728 MPT327701:MPT327728 MFX327701:MFX327728 LWB327701:LWB327728 LMF327701:LMF327728 LCJ327701:LCJ327728 KSN327701:KSN327728 KIR327701:KIR327728 JYV327701:JYV327728 JOZ327701:JOZ327728 JFD327701:JFD327728 IVH327701:IVH327728 ILL327701:ILL327728 IBP327701:IBP327728 HRT327701:HRT327728 HHX327701:HHX327728 GYB327701:GYB327728 GOF327701:GOF327728 GEJ327701:GEJ327728 FUN327701:FUN327728 FKR327701:FKR327728 FAV327701:FAV327728 EQZ327701:EQZ327728 EHD327701:EHD327728 DXH327701:DXH327728 DNL327701:DNL327728 DDP327701:DDP327728 CTT327701:CTT327728 CJX327701:CJX327728 CAB327701:CAB327728 BQF327701:BQF327728 BGJ327701:BGJ327728 AWN327701:AWN327728 AMR327701:AMR327728 ACV327701:ACV327728 SZ327701:SZ327728 JD327701:JD327728 WVP262165:WVP262192 WLT262165:WLT262192 WBX262165:WBX262192 VSB262165:VSB262192 VIF262165:VIF262192 UYJ262165:UYJ262192 UON262165:UON262192 UER262165:UER262192 TUV262165:TUV262192 TKZ262165:TKZ262192 TBD262165:TBD262192 SRH262165:SRH262192 SHL262165:SHL262192 RXP262165:RXP262192 RNT262165:RNT262192 RDX262165:RDX262192 QUB262165:QUB262192 QKF262165:QKF262192 QAJ262165:QAJ262192 PQN262165:PQN262192 PGR262165:PGR262192 OWV262165:OWV262192 OMZ262165:OMZ262192 ODD262165:ODD262192 NTH262165:NTH262192 NJL262165:NJL262192 MZP262165:MZP262192 MPT262165:MPT262192 MFX262165:MFX262192 LWB262165:LWB262192 LMF262165:LMF262192 LCJ262165:LCJ262192 KSN262165:KSN262192 KIR262165:KIR262192 JYV262165:JYV262192 JOZ262165:JOZ262192 JFD262165:JFD262192 IVH262165:IVH262192 ILL262165:ILL262192 IBP262165:IBP262192 HRT262165:HRT262192 HHX262165:HHX262192 GYB262165:GYB262192 GOF262165:GOF262192 GEJ262165:GEJ262192 FUN262165:FUN262192 FKR262165:FKR262192 FAV262165:FAV262192 EQZ262165:EQZ262192 EHD262165:EHD262192 DXH262165:DXH262192 DNL262165:DNL262192 DDP262165:DDP262192 CTT262165:CTT262192 CJX262165:CJX262192 CAB262165:CAB262192 BQF262165:BQF262192 BGJ262165:BGJ262192 AWN262165:AWN262192 AMR262165:AMR262192 ACV262165:ACV262192 SZ262165:SZ262192 JD262165:JD262192 WVP196629:WVP196656 WLT196629:WLT196656 WBX196629:WBX196656 VSB196629:VSB196656 VIF196629:VIF196656 UYJ196629:UYJ196656 UON196629:UON196656 UER196629:UER196656 TUV196629:TUV196656 TKZ196629:TKZ196656 TBD196629:TBD196656 SRH196629:SRH196656 SHL196629:SHL196656 RXP196629:RXP196656 RNT196629:RNT196656 RDX196629:RDX196656 QUB196629:QUB196656 QKF196629:QKF196656 QAJ196629:QAJ196656 PQN196629:PQN196656 PGR196629:PGR196656 OWV196629:OWV196656 OMZ196629:OMZ196656 ODD196629:ODD196656 NTH196629:NTH196656 NJL196629:NJL196656 MZP196629:MZP196656 MPT196629:MPT196656 MFX196629:MFX196656 LWB196629:LWB196656 LMF196629:LMF196656 LCJ196629:LCJ196656 KSN196629:KSN196656 KIR196629:KIR196656 JYV196629:JYV196656 JOZ196629:JOZ196656 JFD196629:JFD196656 IVH196629:IVH196656 ILL196629:ILL196656 IBP196629:IBP196656 HRT196629:HRT196656 HHX196629:HHX196656 GYB196629:GYB196656 GOF196629:GOF196656 GEJ196629:GEJ196656 FUN196629:FUN196656 FKR196629:FKR196656 FAV196629:FAV196656 EQZ196629:EQZ196656 EHD196629:EHD196656 DXH196629:DXH196656 DNL196629:DNL196656 DDP196629:DDP196656 CTT196629:CTT196656 CJX196629:CJX196656 CAB196629:CAB196656 BQF196629:BQF196656 BGJ196629:BGJ196656 AWN196629:AWN196656 AMR196629:AMR196656 ACV196629:ACV196656 SZ196629:SZ196656 JD196629:JD196656 WVP131093:WVP131120 WLT131093:WLT131120 WBX131093:WBX131120 VSB131093:VSB131120 VIF131093:VIF131120 UYJ131093:UYJ131120 UON131093:UON131120 UER131093:UER131120 TUV131093:TUV131120 TKZ131093:TKZ131120 TBD131093:TBD131120 SRH131093:SRH131120 SHL131093:SHL131120 RXP131093:RXP131120 RNT131093:RNT131120 RDX131093:RDX131120 QUB131093:QUB131120 QKF131093:QKF131120 QAJ131093:QAJ131120 PQN131093:PQN131120 PGR131093:PGR131120 OWV131093:OWV131120 OMZ131093:OMZ131120 ODD131093:ODD131120 NTH131093:NTH131120 NJL131093:NJL131120 MZP131093:MZP131120 MPT131093:MPT131120 MFX131093:MFX131120 LWB131093:LWB131120 LMF131093:LMF131120 LCJ131093:LCJ131120 KSN131093:KSN131120 KIR131093:KIR131120 JYV131093:JYV131120 JOZ131093:JOZ131120 JFD131093:JFD131120 IVH131093:IVH131120 ILL131093:ILL131120 IBP131093:IBP131120 HRT131093:HRT131120 HHX131093:HHX131120 GYB131093:GYB131120 GOF131093:GOF131120 GEJ131093:GEJ131120 FUN131093:FUN131120 FKR131093:FKR131120 FAV131093:FAV131120 EQZ131093:EQZ131120 EHD131093:EHD131120 DXH131093:DXH131120 DNL131093:DNL131120 DDP131093:DDP131120 CTT131093:CTT131120 CJX131093:CJX131120 CAB131093:CAB131120 BQF131093:BQF131120 BGJ131093:BGJ131120 AWN131093:AWN131120 AMR131093:AMR131120 ACV131093:ACV131120 SZ131093:SZ131120 JD131093:JD131120 WVP65557:WVP65584 WLT65557:WLT65584 WBX65557:WBX65584 VSB65557:VSB65584 VIF65557:VIF65584 UYJ65557:UYJ65584 UON65557:UON65584 UER65557:UER65584 TUV65557:TUV65584 TKZ65557:TKZ65584 TBD65557:TBD65584 SRH65557:SRH65584 SHL65557:SHL65584 RXP65557:RXP65584 RNT65557:RNT65584 RDX65557:RDX65584 QUB65557:QUB65584 QKF65557:QKF65584 QAJ65557:QAJ65584 PQN65557:PQN65584 PGR65557:PGR65584 OWV65557:OWV65584 OMZ65557:OMZ65584 ODD65557:ODD65584 NTH65557:NTH65584 NJL65557:NJL65584 MZP65557:MZP65584 MPT65557:MPT65584 MFX65557:MFX65584 LWB65557:LWB65584 LMF65557:LMF65584 LCJ65557:LCJ65584 KSN65557:KSN65584 KIR65557:KIR65584 JYV65557:JYV65584 JOZ65557:JOZ65584 JFD65557:JFD65584 IVH65557:IVH65584 ILL65557:ILL65584 IBP65557:IBP65584 HRT65557:HRT65584 HHX65557:HHX65584 GYB65557:GYB65584 GOF65557:GOF65584 GEJ65557:GEJ65584 FUN65557:FUN65584 FKR65557:FKR65584 FAV65557:FAV65584 EQZ65557:EQZ65584 EHD65557:EHD65584 DXH65557:DXH65584 DNL65557:DNL65584 DDP65557:DDP65584 CTT65557:CTT65584 CJX65557:CJX65584 CAB65557:CAB65584 BQF65557:BQF65584 BGJ65557:BGJ65584 AWN65557:AWN65584 AMR65557:AMR65584 ACV65557:ACV65584 SZ65557:SZ65584 JD65557:JD65584" xr:uid="{0305C507-2669-4718-B1EE-E244BFD6F82C}">
      <formula1>$L$1:$L$6</formula1>
    </dataValidation>
    <dataValidation type="list" errorStyle="information" showInputMessage="1" sqref="E2:E95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45" t="s">
        <v>76</v>
      </c>
      <c r="F2" s="145"/>
      <c r="G2" s="10"/>
      <c r="H2" s="145" t="s">
        <v>77</v>
      </c>
      <c r="I2" s="145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46">
        <f>C27*C4</f>
        <v>0</v>
      </c>
      <c r="F3" s="147"/>
      <c r="G3" s="10"/>
      <c r="H3" s="146">
        <f>D27*C4</f>
        <v>38</v>
      </c>
      <c r="I3" s="14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48"/>
      <c r="F4" s="149"/>
      <c r="G4" s="10"/>
      <c r="H4" s="148"/>
      <c r="I4" s="14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41" t="s">
        <v>84</v>
      </c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6"/>
      <c r="R9" s="10"/>
      <c r="S9" s="15"/>
      <c r="T9" s="141" t="s">
        <v>85</v>
      </c>
      <c r="U9" s="141"/>
      <c r="V9" s="141"/>
      <c r="W9" s="141"/>
      <c r="X9" s="141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9"/>
      <c r="R10" s="10"/>
      <c r="S10" s="18"/>
      <c r="T10" s="142"/>
      <c r="U10" s="142"/>
      <c r="V10" s="142"/>
      <c r="W10" s="142"/>
      <c r="X10" s="142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36" t="s">
        <v>79</v>
      </c>
      <c r="G11" s="136" t="s">
        <v>88</v>
      </c>
      <c r="H11" s="20"/>
      <c r="I11" s="137" t="s">
        <v>78</v>
      </c>
      <c r="J11" s="137" t="s">
        <v>89</v>
      </c>
      <c r="K11" s="21"/>
      <c r="L11" s="143" t="s">
        <v>90</v>
      </c>
      <c r="M11" s="143" t="s">
        <v>91</v>
      </c>
      <c r="N11" s="21"/>
      <c r="O11" s="144" t="s">
        <v>92</v>
      </c>
      <c r="P11" s="144" t="s">
        <v>93</v>
      </c>
      <c r="Q11" s="19"/>
      <c r="R11" s="10"/>
      <c r="S11" s="18"/>
      <c r="T11" s="136" t="s">
        <v>94</v>
      </c>
      <c r="U11" s="136" t="s">
        <v>95</v>
      </c>
      <c r="V11" s="20"/>
      <c r="W11" s="137" t="s">
        <v>96</v>
      </c>
      <c r="X11" s="137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36"/>
      <c r="G12" s="136"/>
      <c r="H12" s="20"/>
      <c r="I12" s="137"/>
      <c r="J12" s="137"/>
      <c r="K12" s="21"/>
      <c r="L12" s="143"/>
      <c r="M12" s="143"/>
      <c r="N12" s="21"/>
      <c r="O12" s="144"/>
      <c r="P12" s="144"/>
      <c r="Q12" s="19"/>
      <c r="R12" s="10"/>
      <c r="S12" s="18"/>
      <c r="T12" s="136"/>
      <c r="U12" s="136"/>
      <c r="V12" s="20"/>
      <c r="W12" s="137"/>
      <c r="X12" s="137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38">
        <f>C6</f>
        <v>0</v>
      </c>
      <c r="G13" s="139">
        <f>C6/(25*C4)</f>
        <v>0</v>
      </c>
      <c r="H13" s="10"/>
      <c r="I13" s="151">
        <f>C5</f>
        <v>0</v>
      </c>
      <c r="J13" s="135">
        <f>C5/(185*C4)</f>
        <v>0</v>
      </c>
      <c r="K13" s="23"/>
      <c r="L13" s="150">
        <f>C7</f>
        <v>0</v>
      </c>
      <c r="M13" s="150">
        <f>C7/(25*C4)</f>
        <v>0</v>
      </c>
      <c r="N13" s="23"/>
      <c r="O13" s="152">
        <f>C8</f>
        <v>0</v>
      </c>
      <c r="P13" s="152">
        <f>C8/(1*C4)</f>
        <v>0</v>
      </c>
      <c r="Q13" s="19"/>
      <c r="R13" s="10"/>
      <c r="S13" s="18"/>
      <c r="T13" s="138">
        <f>(C9="YES")*('Percentage Data'!R21)+(C10="YES")*('Percentage Data'!R22)+(C11="YES")*('Percentage Data'!R23)</f>
        <v>0</v>
      </c>
      <c r="U13" s="139">
        <f>((((C9="YES")*('Percentage Data'!R21)+(C10="YES")*('Percentage Data'!R22)+(C11="YES")*('Percentage Data'!R23))/C4)/C14)/2</f>
        <v>0</v>
      </c>
      <c r="V13" s="10"/>
      <c r="W13" s="140">
        <f>(C9="YES")*('Percentage Data'!R21)+(C10="YES")*('Percentage Data'!R22)+(C11="YES")*('Percentage Data'!R23)</f>
        <v>0</v>
      </c>
      <c r="X13" s="135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38"/>
      <c r="G14" s="139"/>
      <c r="H14" s="10"/>
      <c r="I14" s="140"/>
      <c r="J14" s="135"/>
      <c r="K14" s="23"/>
      <c r="L14" s="150"/>
      <c r="M14" s="150"/>
      <c r="N14" s="23"/>
      <c r="O14" s="152"/>
      <c r="P14" s="152"/>
      <c r="Q14" s="19"/>
      <c r="R14" s="10"/>
      <c r="S14" s="18"/>
      <c r="T14" s="138"/>
      <c r="U14" s="139" t="e">
        <f>((((#REF!="YES")*('Percentage Data'!AC4)+(#REF!="YES")*('Percentage Data'!AC5)+(#REF!="YES")*('Percentage Data'!AC6))/#REF!)/#REF!)/2</f>
        <v>#REF!</v>
      </c>
      <c r="V14" s="10"/>
      <c r="W14" s="140"/>
      <c r="X14" s="135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205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workbookViewId="0">
      <selection activeCell="T2" sqref="T2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208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204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206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220</v>
      </c>
      <c r="B45" s="39"/>
      <c r="C45" s="39"/>
      <c r="D45" s="39" t="s">
        <v>190</v>
      </c>
      <c r="E45" s="39" t="s">
        <v>12</v>
      </c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221</v>
      </c>
      <c r="B46" s="39"/>
      <c r="C46" s="39"/>
      <c r="D46" s="39" t="s">
        <v>188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222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223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/>
      <c r="B50" s="39"/>
      <c r="C50" s="39"/>
      <c r="D50" s="39"/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P2" sqref="P2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276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224</v>
      </c>
      <c r="B3" s="39"/>
      <c r="C3" s="39"/>
      <c r="D3" s="39" t="s">
        <v>190</v>
      </c>
      <c r="E3" s="39" t="s">
        <v>83</v>
      </c>
      <c r="F3" s="39" t="s">
        <v>198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225</v>
      </c>
      <c r="B4" s="39"/>
      <c r="C4" s="39"/>
      <c r="D4" s="39" t="s">
        <v>192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226</v>
      </c>
      <c r="B5" s="39"/>
      <c r="C5" s="39"/>
      <c r="D5" s="39" t="s">
        <v>192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227</v>
      </c>
      <c r="B6" s="39"/>
      <c r="C6" s="39"/>
      <c r="D6" s="39" t="s">
        <v>190</v>
      </c>
      <c r="E6" s="39" t="s">
        <v>83</v>
      </c>
      <c r="F6" s="39" t="s">
        <v>198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228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229</v>
      </c>
      <c r="B8" s="39"/>
      <c r="C8" s="39"/>
      <c r="D8" s="39" t="s">
        <v>190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230</v>
      </c>
      <c r="B9" s="39"/>
      <c r="C9" s="39"/>
      <c r="D9" s="39" t="s">
        <v>192</v>
      </c>
      <c r="E9" s="39" t="s">
        <v>83</v>
      </c>
      <c r="F9" s="39" t="s">
        <v>198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231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232</v>
      </c>
      <c r="B11" s="39"/>
      <c r="C11" s="39"/>
      <c r="D11" s="39" t="s">
        <v>165</v>
      </c>
      <c r="E11" s="39" t="s">
        <v>83</v>
      </c>
      <c r="F11" s="39" t="s">
        <v>198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233</v>
      </c>
      <c r="B12" s="39"/>
      <c r="C12" s="39"/>
      <c r="D12" s="39" t="s">
        <v>195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234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235</v>
      </c>
      <c r="B14" s="39"/>
      <c r="C14" s="39"/>
      <c r="D14" s="39" t="s">
        <v>190</v>
      </c>
      <c r="E14" s="39" t="s">
        <v>83</v>
      </c>
      <c r="F14" s="39" t="s">
        <v>198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236</v>
      </c>
      <c r="B15" s="39"/>
      <c r="C15" s="39"/>
      <c r="D15" s="39" t="s">
        <v>275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237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238</v>
      </c>
      <c r="B17" s="67"/>
      <c r="C17" s="67"/>
      <c r="D17" s="39" t="s">
        <v>275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239</v>
      </c>
      <c r="B18" s="39"/>
      <c r="C18" s="39"/>
      <c r="D18" s="39" t="s">
        <v>190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19" spans="1:9" ht="15.75" x14ac:dyDescent="0.25">
      <c r="A19" s="100" t="s">
        <v>240</v>
      </c>
      <c r="B19" s="39"/>
      <c r="C19" s="39"/>
      <c r="D19" s="39" t="s">
        <v>164</v>
      </c>
      <c r="E19" s="39" t="s">
        <v>132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</row>
    <row r="20" spans="1:9" ht="15.75" x14ac:dyDescent="0.25">
      <c r="A20" s="100" t="s">
        <v>241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242</v>
      </c>
      <c r="B21" s="39"/>
      <c r="C21" s="39"/>
      <c r="D21" s="39" t="s">
        <v>190</v>
      </c>
      <c r="E21" s="39" t="s">
        <v>83</v>
      </c>
      <c r="F21" s="39" t="s">
        <v>198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243</v>
      </c>
      <c r="B22" s="39"/>
      <c r="C22" s="39"/>
      <c r="D22" s="39" t="s">
        <v>190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244</v>
      </c>
      <c r="B23" s="39"/>
      <c r="C23" s="39"/>
      <c r="D23" s="39" t="s">
        <v>192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245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246</v>
      </c>
      <c r="B25" s="39"/>
      <c r="C25" s="39"/>
      <c r="D25" s="39" t="s">
        <v>190</v>
      </c>
      <c r="E25" s="39" t="s">
        <v>83</v>
      </c>
      <c r="F25" s="39" t="s">
        <v>198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247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248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249</v>
      </c>
      <c r="B28" s="39"/>
      <c r="C28" s="39"/>
      <c r="D28" s="39" t="s">
        <v>192</v>
      </c>
      <c r="E28" s="39"/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250</v>
      </c>
      <c r="B29" s="39"/>
      <c r="C29" s="39"/>
      <c r="D29" s="39" t="s">
        <v>192</v>
      </c>
      <c r="E29" s="39" t="s">
        <v>83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251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252</v>
      </c>
      <c r="B31" s="39"/>
      <c r="C31" s="39"/>
      <c r="D31" s="39" t="s">
        <v>195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253</v>
      </c>
      <c r="B32" s="39"/>
      <c r="C32" s="39"/>
      <c r="D32" s="39" t="s">
        <v>190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254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255</v>
      </c>
      <c r="B34" s="39"/>
      <c r="C34" s="39"/>
      <c r="D34" s="39" t="s">
        <v>190</v>
      </c>
      <c r="E34" s="39" t="s">
        <v>83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256</v>
      </c>
      <c r="B35" s="39"/>
      <c r="C35" s="39"/>
      <c r="D35" s="39" t="s">
        <v>187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257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258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273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259</v>
      </c>
      <c r="B39" s="39"/>
      <c r="C39" s="39"/>
      <c r="D39" s="39" t="s">
        <v>190</v>
      </c>
      <c r="E39" s="39" t="s">
        <v>132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261</v>
      </c>
      <c r="B40" s="39"/>
      <c r="C40" s="39"/>
      <c r="D40" s="39" t="s">
        <v>192</v>
      </c>
      <c r="E40" s="39" t="s">
        <v>83</v>
      </c>
      <c r="F40" s="39" t="s">
        <v>198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262</v>
      </c>
      <c r="B41" s="39"/>
      <c r="C41" s="39"/>
      <c r="D41" s="39" t="s">
        <v>190</v>
      </c>
      <c r="E41" s="39" t="s">
        <v>83</v>
      </c>
      <c r="F41" s="39" t="s">
        <v>198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263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264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265</v>
      </c>
      <c r="B44" s="67"/>
      <c r="C44" s="67"/>
      <c r="D44" s="39" t="s">
        <v>275</v>
      </c>
      <c r="E44" s="39" t="s">
        <v>132</v>
      </c>
      <c r="F44" s="39" t="s">
        <v>198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266</v>
      </c>
      <c r="B45" s="39"/>
      <c r="C45" s="39"/>
      <c r="D45" s="39" t="s">
        <v>192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267</v>
      </c>
      <c r="B46" s="39"/>
      <c r="C46" s="39"/>
      <c r="D46" s="39" t="s">
        <v>271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268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269</v>
      </c>
      <c r="B48" s="39"/>
      <c r="C48" s="39"/>
      <c r="D48" s="39" t="s">
        <v>194</v>
      </c>
      <c r="E48" s="39"/>
      <c r="F48" s="39" t="s">
        <v>198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270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274</v>
      </c>
      <c r="B50" s="39"/>
      <c r="C50" s="39"/>
      <c r="D50" s="39" t="s">
        <v>272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51" xr:uid="{01572EC7-69C1-47D1-8168-8C49CFE7A055}">
      <formula1>$S$1:$S$2</formula1>
    </dataValidation>
    <dataValidation type="list" allowBlank="1" showInputMessage="1" showErrorMessage="1" sqref="C2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53" t="s">
        <v>111</v>
      </c>
      <c r="I2" s="153"/>
      <c r="J2" s="153"/>
      <c r="K2" s="153"/>
      <c r="L2" s="154" t="s">
        <v>112</v>
      </c>
      <c r="M2" s="155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2026-06-03T17:43:04Z</dcterms:modified>
  <cp:category/>
  <cp:contentStatus/>
</cp:coreProperties>
</file>