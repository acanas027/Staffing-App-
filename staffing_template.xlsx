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resers-my.sharepoint.com/personal/andrescan_resers_com/Documents/Documents/"/>
    </mc:Choice>
  </mc:AlternateContent>
  <xr:revisionPtr revIDLastSave="13" documentId="8_{14FB0C2B-9A4D-4DB1-BB9A-CD41A88F67E5}" xr6:coauthVersionLast="47" xr6:coauthVersionMax="47" xr10:uidLastSave="{B32F3EE5-52CF-4F36-85F8-4E2A11E035B9}"/>
  <bookViews>
    <workbookView xWindow="-120" yWindow="-120" windowWidth="29040" windowHeight="15720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Warning-Recommendations" sheetId="5" r:id="rId5"/>
    <sheet name="Staffing sheet 1ST Shift" sheetId="4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L1" i="6"/>
  <c r="B5" i="6"/>
  <c r="B6" i="6"/>
  <c r="B7" i="6"/>
  <c r="I45" i="4" l="1"/>
  <c r="I46" i="4"/>
  <c r="I47" i="4"/>
  <c r="I48" i="4"/>
  <c r="I49" i="4"/>
  <c r="I50" i="4"/>
  <c r="K15" i="3"/>
  <c r="C4" i="2"/>
  <c r="C3" i="2"/>
  <c r="C2" i="2"/>
  <c r="C11" i="2"/>
  <c r="C9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2" i="3"/>
  <c r="K14" i="3"/>
  <c r="K13" i="3"/>
  <c r="C8" i="2" l="1"/>
  <c r="K12" i="3"/>
  <c r="C5" i="2"/>
  <c r="C6" i="2"/>
  <c r="B61" i="3" l="1"/>
  <c r="T3" i="4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C17" i="3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C35" i="3"/>
  <c r="C27" i="3"/>
  <c r="C25" i="3"/>
  <c r="C22" i="3"/>
  <c r="C21" i="3"/>
  <c r="C20" i="3"/>
  <c r="C19" i="3"/>
  <c r="C12" i="3"/>
  <c r="C7" i="3"/>
  <c r="T45" i="4"/>
  <c r="T46" i="4"/>
  <c r="T47" i="4"/>
  <c r="C14" i="3" l="1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P14" i="3"/>
  <c r="G13" i="2" l="1"/>
  <c r="J13" i="2"/>
  <c r="D23" i="2" s="1"/>
  <c r="P13" i="2"/>
  <c r="U13" i="2"/>
  <c r="C7" i="2"/>
  <c r="D21" i="2" l="1"/>
  <c r="D20" i="2"/>
  <c r="D26" i="2"/>
  <c r="D25" i="2"/>
  <c r="M13" i="2"/>
  <c r="D24" i="2" s="1"/>
  <c r="L13" i="2"/>
  <c r="P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H79" i="1" l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H3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K11" i="3" l="1"/>
  <c r="K10" i="3"/>
  <c r="I3" i="4" s="1"/>
  <c r="K9" i="3"/>
  <c r="AC13" i="2"/>
  <c r="I6" i="4" l="1"/>
  <c r="I18" i="4" s="1"/>
  <c r="K16" i="3"/>
  <c r="C4" i="3"/>
  <c r="I20" i="4" l="1"/>
  <c r="I21" i="4" s="1"/>
  <c r="C8" i="3"/>
  <c r="I24" i="4" l="1"/>
  <c r="I25" i="4" s="1"/>
  <c r="I27" i="4" s="1"/>
  <c r="I30" i="4" s="1"/>
  <c r="C15" i="3"/>
  <c r="C16" i="3"/>
  <c r="I33" i="4" l="1"/>
  <c r="I35" i="4" s="1"/>
  <c r="I36" i="4" s="1"/>
  <c r="I38" i="4" s="1"/>
  <c r="I39" i="4" s="1"/>
  <c r="C42" i="3" s="1"/>
  <c r="C13" i="3"/>
  <c r="C18" i="3"/>
  <c r="I44" i="4" l="1"/>
  <c r="C26" i="3"/>
  <c r="C28" i="3" l="1"/>
  <c r="C37" i="3" l="1"/>
  <c r="C38" i="3" l="1"/>
  <c r="C43" i="3" l="1"/>
  <c r="C41" i="3"/>
  <c r="C34" i="3" l="1"/>
  <c r="C6" i="3" l="1"/>
  <c r="C11" i="3"/>
  <c r="C29" i="3" l="1"/>
  <c r="C24" i="3"/>
  <c r="C32" i="3" l="1"/>
  <c r="C31" i="3"/>
  <c r="C39" i="3" l="1"/>
  <c r="C40" i="3" l="1"/>
  <c r="C9" i="3" l="1"/>
  <c r="C10" i="3" l="1"/>
  <c r="C36" i="3" l="1"/>
  <c r="C3" i="3" l="1"/>
  <c r="C23" i="3" l="1"/>
  <c r="C30" i="3" l="1"/>
  <c r="C33" i="3" l="1"/>
  <c r="C2" i="3" l="1"/>
  <c r="H2" i="3" l="1"/>
  <c r="P11" i="3" s="1"/>
  <c r="P10" i="3" s="1"/>
  <c r="C5" i="3"/>
  <c r="C44" i="3"/>
  <c r="H11" i="3"/>
  <c r="H15" i="3"/>
  <c r="H5" i="3" s="1"/>
  <c r="H13" i="3"/>
  <c r="H12" i="3"/>
  <c r="H1" i="3" s="1"/>
  <c r="H10" i="3"/>
  <c r="H3" i="3" s="1"/>
  <c r="H9" i="3"/>
  <c r="H4" i="3" s="1"/>
  <c r="H14" i="3"/>
  <c r="P9" i="3" l="1"/>
  <c r="P12" i="3"/>
  <c r="P13" i="3"/>
  <c r="M14" i="3"/>
  <c r="Q14" i="3"/>
  <c r="R14" i="3" s="1"/>
  <c r="C25" i="2"/>
  <c r="M9" i="3"/>
  <c r="C20" i="2"/>
  <c r="Q9" i="3"/>
  <c r="R9" i="3" s="1"/>
  <c r="H16" i="3"/>
  <c r="J17" i="3" s="1"/>
  <c r="Q12" i="3"/>
  <c r="R12" i="3" s="1"/>
  <c r="C23" i="2"/>
  <c r="M12" i="3"/>
  <c r="M10" i="3"/>
  <c r="Q10" i="3"/>
  <c r="R10" i="3" s="1"/>
  <c r="C21" i="2"/>
  <c r="C24" i="2"/>
  <c r="Q13" i="3"/>
  <c r="R13" i="3" s="1"/>
  <c r="M13" i="3"/>
  <c r="C22" i="2"/>
  <c r="M11" i="3"/>
  <c r="Q11" i="3"/>
  <c r="R11" i="3" s="1"/>
  <c r="M15" i="3"/>
  <c r="C26" i="2"/>
  <c r="Q15" i="3"/>
  <c r="R15" i="3" s="1"/>
  <c r="N9" i="3" l="1"/>
  <c r="O9" i="3"/>
  <c r="N25" i="3"/>
  <c r="T9" i="3"/>
  <c r="M16" i="3"/>
  <c r="K25" i="3"/>
  <c r="N13" i="3"/>
  <c r="M29" i="3" s="1"/>
  <c r="O13" i="3"/>
  <c r="K29" i="3"/>
  <c r="K26" i="3"/>
  <c r="N10" i="3"/>
  <c r="M26" i="3" s="1"/>
  <c r="O10" i="3"/>
  <c r="O12" i="3"/>
  <c r="N12" i="3"/>
  <c r="M28" i="3" s="1"/>
  <c r="K28" i="3"/>
  <c r="C27" i="2"/>
  <c r="E3" i="2" s="1"/>
  <c r="K27" i="3"/>
  <c r="N11" i="3"/>
  <c r="M27" i="3" s="1"/>
  <c r="O11" i="3"/>
  <c r="N27" i="3"/>
  <c r="T11" i="3"/>
  <c r="N15" i="3"/>
  <c r="M31" i="3" s="1"/>
  <c r="O15" i="3"/>
  <c r="K31" i="3"/>
  <c r="O14" i="3"/>
  <c r="N14" i="3"/>
  <c r="M30" i="3" s="1"/>
  <c r="K30" i="3"/>
  <c r="N31" i="3" l="1"/>
  <c r="T10" i="3"/>
  <c r="T15" i="3"/>
  <c r="N26" i="3"/>
  <c r="N29" i="3"/>
  <c r="T14" i="3"/>
  <c r="T13" i="3"/>
  <c r="N30" i="3"/>
  <c r="S13" i="3"/>
  <c r="J29" i="3"/>
  <c r="S11" i="3"/>
  <c r="J27" i="3"/>
  <c r="J26" i="3"/>
  <c r="S10" i="3"/>
  <c r="S15" i="3"/>
  <c r="J31" i="3"/>
  <c r="T12" i="3"/>
  <c r="S9" i="3"/>
  <c r="J25" i="3"/>
  <c r="N28" i="3"/>
  <c r="S14" i="3"/>
  <c r="J30" i="3"/>
  <c r="S12" i="3"/>
  <c r="J28" i="3"/>
  <c r="M25" i="3"/>
  <c r="G29" i="3" s="1"/>
  <c r="N16" i="3"/>
  <c r="G30" i="3" l="1"/>
  <c r="G31" i="3"/>
  <c r="G28" i="3"/>
  <c r="G25" i="3"/>
  <c r="G26" i="3"/>
  <c r="G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<sst xmlns="http://schemas.openxmlformats.org/spreadsheetml/2006/main" count="1528" uniqueCount="221">
  <si>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</si>
  <si>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</si>
  <si>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</si>
  <si>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</si>
  <si>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</si>
  <si>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</si>
  <si>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</si>
  <si>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</si>
  <si>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</si>
  <si>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</si>
  <si>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</si>
  <si>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</si>
  <si>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</si>
  <si>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</si>
  <si>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</si>
  <si>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</si>
  <si>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</si>
  <si>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</si>
  <si>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</si>
  <si>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</si>
  <si>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</si>
  <si>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</si>
  <si>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</si>
  <si>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</si>
  <si>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</si>
  <si>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</si>
  <si>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</si>
  <si>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</si>
  <si>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</si>
  <si>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</si>
  <si>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</si>
  <si>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</si>
  <si>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</si>
  <si>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</si>
  <si>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</si>
  <si>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</si>
  <si>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</si>
  <si>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</si>
  <si>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</si>
  <si>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</si>
  <si>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</si>
  <si>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</si>
  <si>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</si>
  <si>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</si>
  <si>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</si>
  <si>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</si>
  <si>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</si>
  <si>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</si>
  <si>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</si>
  <si>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</si>
  <si>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</si>
  <si>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</si>
  <si>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</si>
  <si>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</si>
  <si>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</si>
  <si>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</si>
  <si>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</si>
  <si>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</si>
  <si>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</si>
  <si>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</si>
  <si>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</si>
  <si>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</si>
  <si>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</si>
  <si>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</si>
  <si>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</si>
  <si>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</si>
  <si>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</si>
  <si>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</si>
  <si>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</si>
  <si>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</si>
  <si>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</si>
  <si>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</si>
  <si>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</si>
  <si>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</si>
  <si>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</si>
  <si>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</si>
  <si>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</si>
  <si>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</si>
  <si>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</si>
  <si>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</si>
  <si>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</si>
  <si>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</si>
  <si>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</si>
  <si>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</si>
  <si>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</si>
  <si>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</si>
  <si>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</si>
  <si>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</si>
  <si>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</si>
  <si>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</si>
  <si>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</si>
  <si>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</si>
  <si>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</si>
  <si>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</si>
  <si>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</si>
  <si>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</si>
  <si>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</si>
  <si>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</si>
  <si>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</si>
  <si>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</si>
  <si>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</si>
  <si>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</si>
  <si>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</si>
  <si>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</si>
  <si>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</si>
  <si>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</si>
  <si>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</si>
  <si>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</si>
  <si>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</si>
  <si>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</si>
  <si>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</si>
  <si>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</si>
  <si>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</si>
  <si>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</si>
  <si>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</si>
  <si>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</si>
  <si>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</si>
  <si>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</si>
  <si>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</si>
  <si>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</si>
  <si>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</si>
  <si>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</si>
  <si>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</si>
  <si>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</si>
  <si>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</si>
  <si>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</si>
  <si>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</si>
  <si>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</si>
  <si>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</si>
  <si>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</si>
  <si>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</si>
  <si>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</si>
  <si>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</si>
  <si>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</si>
  <si>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</si>
  <si>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</si>
  <si>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</si>
  <si>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</si>
  <si>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</si>
  <si>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</si>
  <si>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</si>
  <si>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</si>
  <si>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</si>
  <si>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</si>
  <si>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</si>
  <si>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</si>
  <si>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</si>
  <si>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</si>
  <si>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</si>
  <si>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</si>
  <si>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</si>
  <si>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</si>
  <si>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</si>
  <si>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</si>
  <si>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</si>
  <si>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</si>
  <si>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</si>
  <si>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</si>
  <si>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</si>
  <si>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</si>
  <si>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</si>
  <si>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</si>
  <si>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</si>
  <si>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</si>
  <si>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</si>
  <si>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</si>
  <si>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</si>
  <si>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</si>
  <si>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</si>
  <si>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</si>
  <si>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</si>
  <si>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</si>
  <si>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</si>
  <si>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</si>
  <si>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</si>
  <si>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</si>
  <si>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</si>
  <si>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</si>
  <si>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</si>
  <si>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</si>
  <si>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</si>
  <si>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</si>
  <si>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</si>
  <si>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</si>
  <si>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</si>
  <si>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</si>
  <si>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</si>
  <si>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</si>
  <si>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</si>
  <si>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</si>
  <si>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</si>
  <si>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</si>
  <si>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</si>
  <si>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</si>
  <si>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</si>
  <si>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</si>
  <si>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</si>
  <si>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</si>
  <si>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</si>
  <si>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</si>
  <si>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</si>
  <si>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</si>
  <si>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</si>
  <si>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</si>
  <si>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EXTRAS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</si>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</sst>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20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10" fillId="17" borderId="1" xfId="2" applyNumberFormat="1" applyFont="1" applyFill="1" applyBorder="1" applyAlignment="1">
      <alignment horizontal="center" vertical="center"/>
    </xf>
    <xf numFmtId="0" fontId="8" fillId="4" borderId="1" xfId="2" applyNumberFormat="1" applyFont="1" applyFill="1" applyBorder="1" applyAlignment="1">
      <alignment horizontal="left" vertical="center"/>
    </xf>
    <xf numFmtId="0" fontId="10" fillId="4" borderId="1" xfId="2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6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P8:T16" totalsRowShown="0" headerRowDxfId="63" dataDxfId="62" headerRowCellStyle="Normal 2" dataCellStyle="Normal 2">
  <autoFilter ref="P8:T16" xr:uid="{B211F10D-8B19-4A95-B055-F73F56DAC250}"/>
  <tableColumns count="5">
    <tableColumn id="1" xr3:uid="{30DC1EDA-5C0F-4F5E-9715-3F1FBFA8739D}" name="Expected Volume" dataDxfId="61" dataCellStyle="Normal 2">
      <calculatedColumnFormula>'Staffing Forecast'!AC13/4</calculatedColumnFormula>
    </tableColumn>
    <tableColumn id="2" xr3:uid="{23A260FE-14D0-4C6B-A71D-DF73ED9D6C69}" name="Expected Completed Cases" dataDxfId="60" dataCellStyle="Normal 2">
      <calculatedColumnFormula>44*'Crew Sheet'!H3</calculatedColumnFormula>
    </tableColumn>
    <tableColumn id="3" xr3:uid="{CD0A2822-1C1B-493E-A0E0-CF853FD8B971}" name="Completion % " dataDxfId="59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58" dataCellStyle="Percent">
      <calculatedColumnFormula>IF($G9="Picking","PROTECT - PICKING BOTTLENECK",IF($O9="Understaffed","URGENT - ADD STAFF",IF(AND($O9="Overstaffed",$R9&gt;=100%),"AVAILABLE TO MOVE",IF(AND($O9="Overstaffed",$R9&lt;100%),"HIGH - DO NOT PULL","OK"))))</calculatedColumnFormula>
    </tableColumn>
    <tableColumn id="4" xr3:uid="{3690F81C-480E-48AC-AA32-8BCA323E729F}" name="Recommendation " dataDxfId="57" dataCellStyle="Normal 2">
      <calculatedColumnFormula>IF(M9&lt;0,"Need "&amp;ROUND(ABS(M9),1)&amp;" more worker(s) / "&amp;ROUND(ABS(N9),1)&amp;" labor hrs",IF(M9&gt;0,"Can move "&amp;ROUND(M9,1)&amp;" worker(s) / "&amp;ROUND(N9,1)&amp;" labor hrs","Balanced Staffing"))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M8:O16" totalsRowShown="0" headerRowDxfId="56" headerRowCellStyle="Normal 2">
  <autoFilter ref="M8:O16" xr:uid="{D699CF4E-0805-4A18-95BC-59A0CDB5ABED}"/>
  <tableColumns count="3">
    <tableColumn id="1" xr3:uid="{73B9821D-E8F2-4CA4-8937-35662A0162B1}" name="Workers Gap" dataDxfId="55" dataCellStyle="Normal 2">
      <calculatedColumnFormula>Table2[[#This Row],[Available Staff ]]-Table2[[#This Row],[Needed ]]</calculatedColumnFormula>
    </tableColumn>
    <tableColumn id="3" xr3:uid="{8226F470-62FB-460F-95CD-48B00B714660}" name="Hours Gap" dataDxfId="54" dataCellStyle="Normal 2">
      <calculatedColumnFormula>Table5[[#This Row],[Workers Gap]]*H3</calculatedColumnFormula>
    </tableColumn>
    <tableColumn id="2" xr3:uid="{178486D8-FB3F-4CAE-ADBE-7A8D77938D5C}" name="Status" dataDxfId="53" dataCellStyle="Normal 2">
      <calculatedColumnFormula>IF(M9&lt;0,"Understaffed",IF(M9=0,"Good","Overstaffed"))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G8:K17" totalsRowCount="1" headerRowDxfId="52" dataDxfId="51" headerRowCellStyle="Normal 2" dataCellStyle="Normal 2">
  <autoFilter ref="G8:K16" xr:uid="{02D3F5C5-6765-4B7E-93A3-35A7E0BFEF2C}"/>
  <tableColumns count="5">
    <tableColumn id="1" xr3:uid="{BB926FF7-849C-4906-A4BD-F7F42866B088}" name="Task" dataDxfId="50" totalsRowDxfId="49" dataCellStyle="Normal 2 2" totalsRowCellStyle="Normal 2 2"/>
    <tableColumn id="2" xr3:uid="{0A22FFD1-2FA5-450C-A4B5-595ABFB04281}" name="Available Staff " dataDxfId="48" totalsRowDxfId="47" dataCellStyle="Normal 2" totalsRowCellStyle="Normal 2">
      <calculatedColumnFormula>COUNTIF(D1:D50, "Unloading")</calculatedColumnFormula>
    </tableColumn>
    <tableColumn id="3" xr3:uid="{C9F64942-2076-4AEE-8338-AD2243C06434}" name="Column1" dataDxfId="46" totalsRowDxfId="45" dataCellStyle="Normal 2" totalsRowCellStyle="Normal 2"/>
    <tableColumn id="4" xr3:uid="{C8A70DF0-CAA5-44DB-9BCE-B278C766B8F7}" name="Inbound/Outbound" totalsRowFunction="custom" dataDxfId="44" totalsRowDxfId="43" dataCellStyle="Normal 2" totalsRowCellStyle="Normal 2">
      <totalsRowFormula>IF(K16&gt;H16,"UnderStaffed",IF(K16=H16,"Good","Overstaffed"))</totalsRowFormula>
    </tableColumn>
    <tableColumn id="5" xr3:uid="{143AE701-55E6-42BA-B5A6-36AD4CA1B96B}" name="Needed " dataDxfId="42" totalsRowDxfId="41" dataCellStyle="Normal 2" totalsRow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D61" totalsRowCount="1" headerRowDxfId="40" dataDxfId="39">
  <autoFilter ref="A1:D60" xr:uid="{09E63B43-55FB-4662-9539-B7A6CCB4934C}"/>
  <sortState xmlns:xlrd2="http://schemas.microsoft.com/office/spreadsheetml/2017/richdata2" ref="A2:D60">
    <sortCondition ref="A1:A60"/>
  </sortState>
  <tableColumns count="4">
    <tableColumn id="1" xr3:uid="{378533D2-B1FD-44C5-B565-7FA9D5600218}" name="Name " dataDxfId="38" totalsRowDxfId="37"/>
    <tableColumn id="6" xr3:uid="{9D0943E1-8A10-4BC8-BCF0-9A4C12BC91ED}" name="Present" totalsRowFunction="custom" dataDxfId="36" totalsRowDxfId="35" dataCellStyle="Normal 2">
      <totalsRowFormula>COUNTIF(B2:B50,"X")</totalsRowFormula>
    </tableColumn>
    <tableColumn id="5" xr3:uid="{1B40A01E-A3F7-4A62-96A5-3CBA1141A8EB}" name="Recommended Task" dataDxfId="34" totalsRowDxfId="33">
      <calculatedColumnFormula>IF($B2&lt;&gt;"x","",IFERROR(_xlfn.XLOOKUP($A2,'Staffing sheet 1ST Shift'!$A:$A,'Staffing sheet 1ST Shift'!$I:$I,""),""))</calculatedColumnFormula>
    </tableColumn>
    <tableColumn id="4" xr3:uid="{88340427-7131-40BD-B9A8-B3A216E8CCAB}" name="Today's Task" dataDxfId="32" totalsRowDxfId="31">
      <calculatedColumnFormula>IF(Table200[[#This Row],[Recommended Task]]="Picker", "Picking",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30" dataDxfId="29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28" dataCellStyle="Normal 2"/>
    <tableColumn id="7" xr3:uid="{1B9564C3-606B-44E7-9409-BBBC732828D9}" name="Shift " dataDxfId="27" dataCellStyle="Normal 2"/>
    <tableColumn id="9" xr3:uid="{52A2F257-AC52-42E7-B8AD-26B7C5CDEA18}" name="Weekday/Weekend" dataDxfId="26" dataCellStyle="Normal 2"/>
    <tableColumn id="2" xr3:uid="{4391CAFC-B806-47AE-97BA-FE4348B6BBE4}" name="Skills " dataDxfId="25"/>
    <tableColumn id="8" xr3:uid="{6F9C6788-F5C9-4125-950E-7F5BF4CAF572}" name="Forklift Certified" dataDxfId="24"/>
    <tableColumn id="3" xr3:uid="{F271F169-B8C4-4452-8F33-C7A685EAF739}" name="Best Fit" dataDxfId="23"/>
    <tableColumn id="4" xr3:uid="{CC83BD97-B371-42C0-A23B-0907A68EDCB5}" name="Classification" dataDxfId="22"/>
    <tableColumn id="6" xr3:uid="{75015F24-6915-4715-AEBE-AC40105A73DF}" name="Present" dataDxfId="21">
      <calculatedColumnFormula>IFERROR(VLOOKUP($A2,'Crew Sheet'!#REF!,2,FALSE),"")</calculatedColumnFormula>
    </tableColumn>
    <tableColumn id="12" xr3:uid="{FCA61B40-E6E6-4CAB-8923-1B26B7D7B332}" name="Recommended Task" dataDxfId="20">
      <calculatedColumnFormula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19" dataDxfId="17" headerRowBorderDxfId="18" tableBorderDxfId="16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5"/>
    <tableColumn id="2" xr3:uid="{15BC200D-2A7D-42A9-816F-F61F2B352644}" name="Date" dataDxfId="14"/>
    <tableColumn id="3" xr3:uid="{6E8128F9-ADFB-4EFB-8B49-1C4E71DD7EF0}" name="1st Pallets" dataDxfId="13">
      <calculatedColumnFormula>O29*$P$27</calculatedColumnFormula>
    </tableColumn>
    <tableColumn id="4" xr3:uid="{90F78137-FFC5-41E3-A9D9-5A0EC5FE4975}" name="1st Cases" dataDxfId="12"/>
    <tableColumn id="5" xr3:uid="{8200FF7F-BCF8-48C8-B0CB-303683386417}" name="2nd Pallets" dataDxfId="11">
      <calculatedColumnFormula>R29*$P$27</calculatedColumnFormula>
    </tableColumn>
    <tableColumn id="6" xr3:uid="{02468058-7DEC-41C7-8DCB-CF982D43399D}" name="2nd Cases" dataDxfId="10"/>
    <tableColumn id="7" xr3:uid="{BBC0DD35-D943-46F1-B706-5784D7369796}" name="Total Cases" dataDxfId="9">
      <calculatedColumnFormula>SUM(C4:F4)</calculatedColumnFormula>
    </tableColumn>
    <tableColumn id="8" xr3:uid="{D9CAC310-34BD-45FD-8673-1F1D643911B2}" name="Pallets 1st" dataDxfId="8">
      <calculatedColumnFormula>IFERROR(C4/G4,0)</calculatedColumnFormula>
    </tableColumn>
    <tableColumn id="9" xr3:uid="{A5ECACF9-8EA9-40BA-8495-E5D08AA0FB8C}" name="Pallets 2nd" dataDxfId="7">
      <calculatedColumnFormula>IFERROR(E4/G4,0)</calculatedColumnFormula>
    </tableColumn>
    <tableColumn id="10" xr3:uid="{8DEA38E9-29BD-4BB9-99DC-B451FD1006E7}" name="Cases 1st" dataDxfId="6">
      <calculatedColumnFormula>IFERROR(D4/G4,0)</calculatedColumnFormula>
    </tableColumn>
    <tableColumn id="11" xr3:uid="{6945D6B2-198F-483D-A794-06650B4628CF}" name="Cases 2nd" dataDxfId="5">
      <calculatedColumnFormula>IFERROR(F4/G4,0)</calculatedColumnFormula>
    </tableColumn>
    <tableColumn id="12" xr3:uid="{F0AE8DE5-4171-4614-8CC7-F76DDB35C172}" name="Total Pallets" dataDxfId="4">
      <calculatedColumnFormula>IFERROR((C4+E4)/G4, 0)</calculatedColumnFormula>
    </tableColumn>
    <tableColumn id="13" xr3:uid="{7AFE8EA3-98E3-469A-8F81-658415A70ED8}" name="Total Case Pick" dataDxfId="3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L51"/>
  <sheetViews>
    <sheetView tabSelected="1" workbookViewId="0">
      <selection activeCell="C36" sqref="C36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3.7109375" bestFit="1" customWidth="1"/>
    <col min="6" max="6" width="8" bestFit="1" customWidth="1"/>
    <col min="7" max="7" width="21.85546875" hidden="1" customWidth="1"/>
    <col min="8" max="8" width="11.85546875" bestFit="1" customWidth="1"/>
    <col min="9" max="9" width="11.140625" hidden="1" customWidth="1"/>
    <col min="10" max="10" width="9.140625" hidden="1" customWidth="1"/>
    <col min="11" max="11" width="14.140625" bestFit="1" customWidth="1"/>
    <col min="13" max="13" width="21.85546875" bestFit="1" customWidth="1"/>
    <col min="14" max="14" width="11.85546875" bestFit="1" customWidth="1"/>
  </cols>
  <sheetData>
    <row r="1" spans="1:12" ht="15.75" x14ac:dyDescent="0.25">
      <c r="A1" s="94" t="s">
        <v>6</v>
      </c>
      <c r="B1" s="62"/>
      <c r="C1" s="78"/>
      <c r="D1" s="79"/>
      <c r="E1" s="97" t="s">
        <v>213</v>
      </c>
      <c r="F1" s="80"/>
      <c r="G1" s="37" t="s">
        <v>129</v>
      </c>
      <c r="H1" s="76"/>
      <c r="I1" t="s">
        <v>8</v>
      </c>
      <c r="J1">
        <v>1</v>
      </c>
      <c r="K1" s="98" t="s">
        <v>220</v>
      </c>
      <c r="L1" s="92">
        <f>COUNTIF(F3:F51, "x")</f>
        <v>0</v>
      </c>
    </row>
    <row r="2" spans="1:12" ht="15.75" x14ac:dyDescent="0.25">
      <c r="A2" s="94" t="s">
        <v>13</v>
      </c>
      <c r="B2" s="62"/>
      <c r="C2" s="76"/>
      <c r="D2" s="79"/>
      <c r="E2" s="97" t="s">
        <v>0</v>
      </c>
      <c r="F2" s="97" t="s">
        <v>200</v>
      </c>
      <c r="G2" s="37" t="s">
        <v>212</v>
      </c>
      <c r="H2" s="76"/>
      <c r="I2" t="s">
        <v>212</v>
      </c>
      <c r="J2">
        <v>2</v>
      </c>
    </row>
    <row r="3" spans="1:12" ht="15.75" x14ac:dyDescent="0.25">
      <c r="A3" s="94" t="s">
        <v>20</v>
      </c>
      <c r="B3" s="62"/>
      <c r="C3" s="78"/>
      <c r="D3" s="79"/>
      <c r="E3" s="81" t="s">
        <v>171</v>
      </c>
      <c r="F3" s="82"/>
      <c r="G3" s="37" t="s">
        <v>21</v>
      </c>
      <c r="H3" s="76"/>
      <c r="I3" t="s">
        <v>21</v>
      </c>
    </row>
    <row r="4" spans="1:12" ht="15.75" x14ac:dyDescent="0.25">
      <c r="A4" s="94" t="s">
        <v>211</v>
      </c>
      <c r="B4" s="62">
        <v>9.5</v>
      </c>
      <c r="C4" s="37"/>
      <c r="E4" s="83" t="s">
        <v>16</v>
      </c>
      <c r="F4" s="84"/>
      <c r="G4" s="37" t="s">
        <v>26</v>
      </c>
      <c r="H4" s="76"/>
    </row>
    <row r="5" spans="1:12" ht="15.75" x14ac:dyDescent="0.25">
      <c r="A5" s="95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81" t="s">
        <v>144</v>
      </c>
      <c r="F5" s="82"/>
      <c r="G5" s="37" t="s">
        <v>7</v>
      </c>
      <c r="H5" s="76"/>
      <c r="I5" t="s">
        <v>26</v>
      </c>
    </row>
    <row r="6" spans="1:12" ht="15.75" x14ac:dyDescent="0.25">
      <c r="A6" s="95" t="s">
        <v>210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83" t="s">
        <v>191</v>
      </c>
      <c r="F6" s="84"/>
      <c r="G6" s="37" t="s">
        <v>30</v>
      </c>
      <c r="H6" s="77"/>
      <c r="I6" t="s">
        <v>7</v>
      </c>
    </row>
    <row r="7" spans="1:12" ht="15.75" x14ac:dyDescent="0.25">
      <c r="A7" s="96" t="s">
        <v>29</v>
      </c>
      <c r="B7" s="87">
        <f>(B3/70) / 25 *0.52</f>
        <v>0</v>
      </c>
      <c r="C7" s="43"/>
      <c r="E7" s="81" t="s">
        <v>189</v>
      </c>
      <c r="F7" s="82"/>
      <c r="G7" s="37" t="s">
        <v>31</v>
      </c>
      <c r="H7" s="77"/>
      <c r="I7" t="s">
        <v>30</v>
      </c>
    </row>
    <row r="8" spans="1:12" ht="15.75" x14ac:dyDescent="0.25">
      <c r="A8" s="93" t="s">
        <v>82</v>
      </c>
      <c r="B8" s="88"/>
      <c r="E8" s="83" t="s">
        <v>22</v>
      </c>
      <c r="F8" s="84"/>
      <c r="G8" s="37"/>
      <c r="H8" s="77"/>
      <c r="I8" t="s">
        <v>31</v>
      </c>
    </row>
    <row r="9" spans="1:12" ht="15.75" x14ac:dyDescent="0.25">
      <c r="A9" s="93" t="s">
        <v>86</v>
      </c>
      <c r="B9" s="88"/>
      <c r="E9" s="81" t="s">
        <v>27</v>
      </c>
      <c r="F9" s="82"/>
    </row>
    <row r="10" spans="1:12" ht="15.75" x14ac:dyDescent="0.25">
      <c r="A10" s="93" t="s">
        <v>87</v>
      </c>
      <c r="B10" s="88"/>
      <c r="E10" s="83" t="s">
        <v>46</v>
      </c>
      <c r="F10" s="84"/>
    </row>
    <row r="11" spans="1:12" ht="15.75" x14ac:dyDescent="0.25">
      <c r="E11" s="81" t="s">
        <v>49</v>
      </c>
      <c r="F11" s="82"/>
    </row>
    <row r="12" spans="1:12" ht="15.75" x14ac:dyDescent="0.25">
      <c r="E12" s="83" t="s">
        <v>51</v>
      </c>
      <c r="F12" s="84"/>
    </row>
    <row r="13" spans="1:12" ht="15.75" x14ac:dyDescent="0.25">
      <c r="A13" s="90" t="s">
        <v>214</v>
      </c>
      <c r="E13" s="81" t="s">
        <v>53</v>
      </c>
      <c r="F13" s="82"/>
    </row>
    <row r="14" spans="1:12" ht="15.75" x14ac:dyDescent="0.25">
      <c r="A14" s="37" t="s">
        <v>141</v>
      </c>
      <c r="E14" s="83" t="s">
        <v>55</v>
      </c>
      <c r="F14" s="84"/>
    </row>
    <row r="15" spans="1:12" ht="15.75" x14ac:dyDescent="0.25">
      <c r="A15" s="37" t="s">
        <v>170</v>
      </c>
      <c r="E15" s="81" t="s">
        <v>172</v>
      </c>
      <c r="F15" s="82"/>
    </row>
    <row r="16" spans="1:12" ht="15.75" x14ac:dyDescent="0.25">
      <c r="E16" s="83" t="s">
        <v>56</v>
      </c>
      <c r="F16" s="84"/>
    </row>
    <row r="17" spans="3:6" ht="15.75" x14ac:dyDescent="0.25">
      <c r="E17" s="81" t="s">
        <v>173</v>
      </c>
      <c r="F17" s="82"/>
    </row>
    <row r="18" spans="3:6" ht="15.75" x14ac:dyDescent="0.25">
      <c r="E18" s="83" t="s">
        <v>174</v>
      </c>
      <c r="F18" s="84"/>
    </row>
    <row r="19" spans="3:6" ht="15.75" x14ac:dyDescent="0.25">
      <c r="C19" s="86"/>
      <c r="E19" s="81" t="s">
        <v>181</v>
      </c>
      <c r="F19" s="82"/>
    </row>
    <row r="20" spans="3:6" ht="15.75" x14ac:dyDescent="0.25">
      <c r="E20" s="83" t="s">
        <v>60</v>
      </c>
      <c r="F20" s="84"/>
    </row>
    <row r="21" spans="3:6" ht="15.75" x14ac:dyDescent="0.25">
      <c r="E21" s="81" t="s">
        <v>61</v>
      </c>
      <c r="F21" s="82"/>
    </row>
    <row r="22" spans="3:6" ht="15.75" x14ac:dyDescent="0.25">
      <c r="E22" s="83" t="s">
        <v>146</v>
      </c>
      <c r="F22" s="84"/>
    </row>
    <row r="23" spans="3:6" ht="15.75" x14ac:dyDescent="0.25">
      <c r="E23" s="81" t="s">
        <v>147</v>
      </c>
      <c r="F23" s="82"/>
    </row>
    <row r="24" spans="3:6" ht="15.75" x14ac:dyDescent="0.25">
      <c r="E24" s="83" t="s">
        <v>205</v>
      </c>
      <c r="F24" s="84"/>
    </row>
    <row r="25" spans="3:6" ht="15.75" x14ac:dyDescent="0.25">
      <c r="E25" s="81" t="s">
        <v>66</v>
      </c>
      <c r="F25" s="82"/>
    </row>
    <row r="26" spans="3:6" ht="15.75" x14ac:dyDescent="0.25">
      <c r="E26" s="83" t="s">
        <v>175</v>
      </c>
      <c r="F26" s="84"/>
    </row>
    <row r="27" spans="3:6" ht="15.75" x14ac:dyDescent="0.25">
      <c r="E27" s="81" t="s">
        <v>184</v>
      </c>
      <c r="F27" s="82"/>
    </row>
    <row r="28" spans="3:6" ht="15.75" x14ac:dyDescent="0.25">
      <c r="E28" s="83" t="s">
        <v>203</v>
      </c>
      <c r="F28" s="84"/>
    </row>
    <row r="29" spans="3:6" ht="15.75" x14ac:dyDescent="0.25">
      <c r="E29" s="81" t="s">
        <v>182</v>
      </c>
      <c r="F29" s="82"/>
    </row>
    <row r="30" spans="3:6" ht="15.75" x14ac:dyDescent="0.25">
      <c r="E30" s="83" t="s">
        <v>145</v>
      </c>
      <c r="F30" s="84"/>
    </row>
    <row r="31" spans="3:6" ht="15.75" x14ac:dyDescent="0.25">
      <c r="E31" s="81" t="s">
        <v>163</v>
      </c>
      <c r="F31" s="82"/>
    </row>
    <row r="32" spans="3:6" ht="15.75" x14ac:dyDescent="0.25">
      <c r="E32" s="83" t="s">
        <v>67</v>
      </c>
      <c r="F32" s="84"/>
    </row>
    <row r="33" spans="5:6" ht="15.75" x14ac:dyDescent="0.25">
      <c r="E33" s="81" t="s">
        <v>69</v>
      </c>
      <c r="F33" s="82"/>
    </row>
    <row r="34" spans="5:6" ht="15.75" x14ac:dyDescent="0.25">
      <c r="E34" s="83" t="s">
        <v>70</v>
      </c>
      <c r="F34" s="84"/>
    </row>
    <row r="35" spans="5:6" ht="15.75" x14ac:dyDescent="0.25">
      <c r="E35" s="81" t="s">
        <v>71</v>
      </c>
      <c r="F35" s="82"/>
    </row>
    <row r="36" spans="5:6" ht="15.75" x14ac:dyDescent="0.25">
      <c r="E36" s="83" t="s">
        <v>72</v>
      </c>
      <c r="F36" s="84"/>
    </row>
    <row r="37" spans="5:6" ht="15.75" x14ac:dyDescent="0.25">
      <c r="E37" s="81" t="s">
        <v>143</v>
      </c>
      <c r="F37" s="82"/>
    </row>
    <row r="38" spans="5:6" ht="15.75" x14ac:dyDescent="0.25">
      <c r="E38" s="83" t="s">
        <v>142</v>
      </c>
      <c r="F38" s="84"/>
    </row>
    <row r="39" spans="5:6" ht="15.75" x14ac:dyDescent="0.25">
      <c r="E39" s="81" t="s">
        <v>177</v>
      </c>
      <c r="F39" s="82"/>
    </row>
    <row r="40" spans="5:6" ht="15.75" x14ac:dyDescent="0.25">
      <c r="E40" s="83" t="s">
        <v>178</v>
      </c>
      <c r="F40" s="84"/>
    </row>
    <row r="41" spans="5:6" ht="15.75" x14ac:dyDescent="0.25">
      <c r="E41" s="81" t="s">
        <v>73</v>
      </c>
      <c r="F41" s="82"/>
    </row>
    <row r="42" spans="5:6" ht="15.75" x14ac:dyDescent="0.25">
      <c r="E42" s="83" t="s">
        <v>179</v>
      </c>
      <c r="F42" s="84"/>
    </row>
    <row r="43" spans="5:6" ht="15.75" x14ac:dyDescent="0.25">
      <c r="E43" s="81" t="s">
        <v>74</v>
      </c>
      <c r="F43" s="82"/>
    </row>
    <row r="44" spans="5:6" ht="15.75" x14ac:dyDescent="0.25">
      <c r="E44" s="83" t="s">
        <v>180</v>
      </c>
      <c r="F44" s="84"/>
    </row>
    <row r="45" spans="5:6" ht="15.75" x14ac:dyDescent="0.25">
      <c r="E45" s="81" t="s">
        <v>207</v>
      </c>
      <c r="F45" s="82"/>
    </row>
    <row r="46" spans="5:6" ht="15.75" x14ac:dyDescent="0.25">
      <c r="E46" s="83" t="s">
        <v>204</v>
      </c>
      <c r="F46" s="85"/>
    </row>
    <row r="47" spans="5:6" ht="15.75" x14ac:dyDescent="0.25">
      <c r="E47" s="81"/>
      <c r="F47" s="82"/>
    </row>
    <row r="48" spans="5:6" ht="15.75" x14ac:dyDescent="0.25">
      <c r="E48" s="83"/>
      <c r="F48" s="84"/>
    </row>
    <row r="49" spans="5:6" ht="15.75" x14ac:dyDescent="0.25">
      <c r="E49" s="81"/>
      <c r="F49" s="82"/>
    </row>
    <row r="50" spans="5:6" ht="15.75" x14ac:dyDescent="0.25">
      <c r="E50" s="83"/>
      <c r="F50" s="84"/>
    </row>
    <row r="51" spans="5:6" ht="15.75" x14ac:dyDescent="0.25">
      <c r="E51" s="81"/>
      <c r="F51" s="82"/>
    </row>
  </sheetData>
  <dataValidations count="3">
    <dataValidation type="list" allowBlank="1" showInputMessage="1" showErrorMessage="1" sqref="H1" xr:uid="{B4653624-4885-4E91-915C-57ECB404D619}">
      <formula1>$I$1:$I$8</formula1>
    </dataValidation>
    <dataValidation type="list" allowBlank="1" showInputMessage="1" showErrorMessage="1" sqref="H2 B2" xr:uid="{E00B6CBC-98A2-4722-9A38-29B1620F9E44}">
      <formula1>$J$1:$J$2</formula1>
    </dataValidation>
    <dataValidation type="list" allowBlank="1" showInputMessage="1" showErrorMessage="1" sqref="B1" xr:uid="{E89A674E-24A6-48AC-A1B4-69D06394EA28}">
      <formula1>$G$1:$G$7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B61"/>
  <sheetViews>
    <sheetView zoomScale="80" zoomScaleNormal="80" workbookViewId="0">
      <selection activeCell="D3" sqref="D3"/>
    </sheetView>
  </sheetViews>
  <sheetFormatPr defaultRowHeight="15.75" x14ac:dyDescent="0.2"/>
  <cols>
    <col min="1" max="2" width="21.42578125" style="37" customWidth="1"/>
    <col min="3" max="3" width="28.42578125" style="37" bestFit="1" customWidth="1"/>
    <col min="4" max="4" width="28.42578125" style="44" bestFit="1" customWidth="1"/>
    <col min="5" max="5" width="21.42578125" style="37" hidden="1" customWidth="1"/>
    <col min="6" max="6" width="21.42578125" style="37" customWidth="1"/>
    <col min="7" max="7" width="27.7109375" style="37" bestFit="1" customWidth="1"/>
    <col min="8" max="8" width="21.42578125" style="37" customWidth="1"/>
    <col min="9" max="9" width="21.42578125" style="37" hidden="1" customWidth="1"/>
    <col min="10" max="10" width="25.28515625" style="37" bestFit="1" customWidth="1"/>
    <col min="11" max="11" width="25.5703125" style="37" bestFit="1" customWidth="1"/>
    <col min="12" max="12" width="21.42578125" style="37" hidden="1" customWidth="1"/>
    <col min="13" max="13" width="17" style="37" customWidth="1"/>
    <col min="14" max="14" width="38.140625" style="37" bestFit="1" customWidth="1"/>
    <col min="15" max="16" width="21.42578125" style="37" customWidth="1"/>
    <col min="17" max="17" width="28.85546875" style="37" customWidth="1"/>
    <col min="18" max="18" width="21.42578125" style="37" customWidth="1"/>
    <col min="19" max="19" width="21.42578125" style="37" hidden="1" customWidth="1"/>
    <col min="20" max="20" width="39.5703125" style="37" bestFit="1" customWidth="1"/>
    <col min="21" max="54" width="21.42578125" style="37" customWidth="1"/>
    <col min="55" max="257" width="9.140625" style="38"/>
    <col min="258" max="258" width="21.42578125" style="38" customWidth="1"/>
    <col min="259" max="261" width="0" style="38" hidden="1" customWidth="1"/>
    <col min="262" max="310" width="21.42578125" style="38" customWidth="1"/>
    <col min="311" max="513" width="9.140625" style="38"/>
    <col min="514" max="514" width="21.42578125" style="38" customWidth="1"/>
    <col min="515" max="517" width="0" style="38" hidden="1" customWidth="1"/>
    <col min="518" max="566" width="21.42578125" style="38" customWidth="1"/>
    <col min="567" max="769" width="9.140625" style="38"/>
    <col min="770" max="770" width="21.42578125" style="38" customWidth="1"/>
    <col min="771" max="773" width="0" style="38" hidden="1" customWidth="1"/>
    <col min="774" max="822" width="21.42578125" style="38" customWidth="1"/>
    <col min="823" max="1025" width="9.140625" style="38"/>
    <col min="1026" max="1026" width="21.42578125" style="38" customWidth="1"/>
    <col min="1027" max="1029" width="0" style="38" hidden="1" customWidth="1"/>
    <col min="1030" max="1078" width="21.42578125" style="38" customWidth="1"/>
    <col min="1079" max="1281" width="9.140625" style="38"/>
    <col min="1282" max="1282" width="21.42578125" style="38" customWidth="1"/>
    <col min="1283" max="1285" width="0" style="38" hidden="1" customWidth="1"/>
    <col min="1286" max="1334" width="21.42578125" style="38" customWidth="1"/>
    <col min="1335" max="1537" width="9.140625" style="38"/>
    <col min="1538" max="1538" width="21.42578125" style="38" customWidth="1"/>
    <col min="1539" max="1541" width="0" style="38" hidden="1" customWidth="1"/>
    <col min="1542" max="1590" width="21.42578125" style="38" customWidth="1"/>
    <col min="1591" max="1793" width="9.140625" style="38"/>
    <col min="1794" max="1794" width="21.42578125" style="38" customWidth="1"/>
    <col min="1795" max="1797" width="0" style="38" hidden="1" customWidth="1"/>
    <col min="1798" max="1846" width="21.42578125" style="38" customWidth="1"/>
    <col min="1847" max="2049" width="9.140625" style="38"/>
    <col min="2050" max="2050" width="21.42578125" style="38" customWidth="1"/>
    <col min="2051" max="2053" width="0" style="38" hidden="1" customWidth="1"/>
    <col min="2054" max="2102" width="21.42578125" style="38" customWidth="1"/>
    <col min="2103" max="2305" width="9.140625" style="38"/>
    <col min="2306" max="2306" width="21.42578125" style="38" customWidth="1"/>
    <col min="2307" max="2309" width="0" style="38" hidden="1" customWidth="1"/>
    <col min="2310" max="2358" width="21.42578125" style="38" customWidth="1"/>
    <col min="2359" max="2561" width="9.140625" style="38"/>
    <col min="2562" max="2562" width="21.42578125" style="38" customWidth="1"/>
    <col min="2563" max="2565" width="0" style="38" hidden="1" customWidth="1"/>
    <col min="2566" max="2614" width="21.42578125" style="38" customWidth="1"/>
    <col min="2615" max="2817" width="9.140625" style="38"/>
    <col min="2818" max="2818" width="21.42578125" style="38" customWidth="1"/>
    <col min="2819" max="2821" width="0" style="38" hidden="1" customWidth="1"/>
    <col min="2822" max="2870" width="21.42578125" style="38" customWidth="1"/>
    <col min="2871" max="3073" width="9.140625" style="38"/>
    <col min="3074" max="3074" width="21.42578125" style="38" customWidth="1"/>
    <col min="3075" max="3077" width="0" style="38" hidden="1" customWidth="1"/>
    <col min="3078" max="3126" width="21.42578125" style="38" customWidth="1"/>
    <col min="3127" max="3329" width="9.140625" style="38"/>
    <col min="3330" max="3330" width="21.42578125" style="38" customWidth="1"/>
    <col min="3331" max="3333" width="0" style="38" hidden="1" customWidth="1"/>
    <col min="3334" max="3382" width="21.42578125" style="38" customWidth="1"/>
    <col min="3383" max="3585" width="9.140625" style="38"/>
    <col min="3586" max="3586" width="21.42578125" style="38" customWidth="1"/>
    <col min="3587" max="3589" width="0" style="38" hidden="1" customWidth="1"/>
    <col min="3590" max="3638" width="21.42578125" style="38" customWidth="1"/>
    <col min="3639" max="3841" width="9.140625" style="38"/>
    <col min="3842" max="3842" width="21.42578125" style="38" customWidth="1"/>
    <col min="3843" max="3845" width="0" style="38" hidden="1" customWidth="1"/>
    <col min="3846" max="3894" width="21.42578125" style="38" customWidth="1"/>
    <col min="3895" max="4097" width="9.140625" style="38"/>
    <col min="4098" max="4098" width="21.42578125" style="38" customWidth="1"/>
    <col min="4099" max="4101" width="0" style="38" hidden="1" customWidth="1"/>
    <col min="4102" max="4150" width="21.42578125" style="38" customWidth="1"/>
    <col min="4151" max="4353" width="9.140625" style="38"/>
    <col min="4354" max="4354" width="21.42578125" style="38" customWidth="1"/>
    <col min="4355" max="4357" width="0" style="38" hidden="1" customWidth="1"/>
    <col min="4358" max="4406" width="21.42578125" style="38" customWidth="1"/>
    <col min="4407" max="4609" width="9.140625" style="38"/>
    <col min="4610" max="4610" width="21.42578125" style="38" customWidth="1"/>
    <col min="4611" max="4613" width="0" style="38" hidden="1" customWidth="1"/>
    <col min="4614" max="4662" width="21.42578125" style="38" customWidth="1"/>
    <col min="4663" max="4865" width="9.140625" style="38"/>
    <col min="4866" max="4866" width="21.42578125" style="38" customWidth="1"/>
    <col min="4867" max="4869" width="0" style="38" hidden="1" customWidth="1"/>
    <col min="4870" max="4918" width="21.42578125" style="38" customWidth="1"/>
    <col min="4919" max="5121" width="9.140625" style="38"/>
    <col min="5122" max="5122" width="21.42578125" style="38" customWidth="1"/>
    <col min="5123" max="5125" width="0" style="38" hidden="1" customWidth="1"/>
    <col min="5126" max="5174" width="21.42578125" style="38" customWidth="1"/>
    <col min="5175" max="5377" width="9.140625" style="38"/>
    <col min="5378" max="5378" width="21.42578125" style="38" customWidth="1"/>
    <col min="5379" max="5381" width="0" style="38" hidden="1" customWidth="1"/>
    <col min="5382" max="5430" width="21.42578125" style="38" customWidth="1"/>
    <col min="5431" max="5633" width="9.140625" style="38"/>
    <col min="5634" max="5634" width="21.42578125" style="38" customWidth="1"/>
    <col min="5635" max="5637" width="0" style="38" hidden="1" customWidth="1"/>
    <col min="5638" max="5686" width="21.42578125" style="38" customWidth="1"/>
    <col min="5687" max="5889" width="9.140625" style="38"/>
    <col min="5890" max="5890" width="21.42578125" style="38" customWidth="1"/>
    <col min="5891" max="5893" width="0" style="38" hidden="1" customWidth="1"/>
    <col min="5894" max="5942" width="21.42578125" style="38" customWidth="1"/>
    <col min="5943" max="6145" width="9.140625" style="38"/>
    <col min="6146" max="6146" width="21.42578125" style="38" customWidth="1"/>
    <col min="6147" max="6149" width="0" style="38" hidden="1" customWidth="1"/>
    <col min="6150" max="6198" width="21.42578125" style="38" customWidth="1"/>
    <col min="6199" max="6401" width="9.140625" style="38"/>
    <col min="6402" max="6402" width="21.42578125" style="38" customWidth="1"/>
    <col min="6403" max="6405" width="0" style="38" hidden="1" customWidth="1"/>
    <col min="6406" max="6454" width="21.42578125" style="38" customWidth="1"/>
    <col min="6455" max="6657" width="9.140625" style="38"/>
    <col min="6658" max="6658" width="21.42578125" style="38" customWidth="1"/>
    <col min="6659" max="6661" width="0" style="38" hidden="1" customWidth="1"/>
    <col min="6662" max="6710" width="21.42578125" style="38" customWidth="1"/>
    <col min="6711" max="6913" width="9.140625" style="38"/>
    <col min="6914" max="6914" width="21.42578125" style="38" customWidth="1"/>
    <col min="6915" max="6917" width="0" style="38" hidden="1" customWidth="1"/>
    <col min="6918" max="6966" width="21.42578125" style="38" customWidth="1"/>
    <col min="6967" max="7169" width="9.140625" style="38"/>
    <col min="7170" max="7170" width="21.42578125" style="38" customWidth="1"/>
    <col min="7171" max="7173" width="0" style="38" hidden="1" customWidth="1"/>
    <col min="7174" max="7222" width="21.42578125" style="38" customWidth="1"/>
    <col min="7223" max="7425" width="9.140625" style="38"/>
    <col min="7426" max="7426" width="21.42578125" style="38" customWidth="1"/>
    <col min="7427" max="7429" width="0" style="38" hidden="1" customWidth="1"/>
    <col min="7430" max="7478" width="21.42578125" style="38" customWidth="1"/>
    <col min="7479" max="7681" width="9.140625" style="38"/>
    <col min="7682" max="7682" width="21.42578125" style="38" customWidth="1"/>
    <col min="7683" max="7685" width="0" style="38" hidden="1" customWidth="1"/>
    <col min="7686" max="7734" width="21.42578125" style="38" customWidth="1"/>
    <col min="7735" max="7937" width="9.140625" style="38"/>
    <col min="7938" max="7938" width="21.42578125" style="38" customWidth="1"/>
    <col min="7939" max="7941" width="0" style="38" hidden="1" customWidth="1"/>
    <col min="7942" max="7990" width="21.42578125" style="38" customWidth="1"/>
    <col min="7991" max="8193" width="9.140625" style="38"/>
    <col min="8194" max="8194" width="21.42578125" style="38" customWidth="1"/>
    <col min="8195" max="8197" width="0" style="38" hidden="1" customWidth="1"/>
    <col min="8198" max="8246" width="21.42578125" style="38" customWidth="1"/>
    <col min="8247" max="8449" width="9.140625" style="38"/>
    <col min="8450" max="8450" width="21.42578125" style="38" customWidth="1"/>
    <col min="8451" max="8453" width="0" style="38" hidden="1" customWidth="1"/>
    <col min="8454" max="8502" width="21.42578125" style="38" customWidth="1"/>
    <col min="8503" max="8705" width="9.140625" style="38"/>
    <col min="8706" max="8706" width="21.42578125" style="38" customWidth="1"/>
    <col min="8707" max="8709" width="0" style="38" hidden="1" customWidth="1"/>
    <col min="8710" max="8758" width="21.42578125" style="38" customWidth="1"/>
    <col min="8759" max="8961" width="9.140625" style="38"/>
    <col min="8962" max="8962" width="21.42578125" style="38" customWidth="1"/>
    <col min="8963" max="8965" width="0" style="38" hidden="1" customWidth="1"/>
    <col min="8966" max="9014" width="21.42578125" style="38" customWidth="1"/>
    <col min="9015" max="9217" width="9.140625" style="38"/>
    <col min="9218" max="9218" width="21.42578125" style="38" customWidth="1"/>
    <col min="9219" max="9221" width="0" style="38" hidden="1" customWidth="1"/>
    <col min="9222" max="9270" width="21.42578125" style="38" customWidth="1"/>
    <col min="9271" max="9473" width="9.140625" style="38"/>
    <col min="9474" max="9474" width="21.42578125" style="38" customWidth="1"/>
    <col min="9475" max="9477" width="0" style="38" hidden="1" customWidth="1"/>
    <col min="9478" max="9526" width="21.42578125" style="38" customWidth="1"/>
    <col min="9527" max="9729" width="9.140625" style="38"/>
    <col min="9730" max="9730" width="21.42578125" style="38" customWidth="1"/>
    <col min="9731" max="9733" width="0" style="38" hidden="1" customWidth="1"/>
    <col min="9734" max="9782" width="21.42578125" style="38" customWidth="1"/>
    <col min="9783" max="9985" width="9.140625" style="38"/>
    <col min="9986" max="9986" width="21.42578125" style="38" customWidth="1"/>
    <col min="9987" max="9989" width="0" style="38" hidden="1" customWidth="1"/>
    <col min="9990" max="10038" width="21.42578125" style="38" customWidth="1"/>
    <col min="10039" max="10241" width="9.140625" style="38"/>
    <col min="10242" max="10242" width="21.42578125" style="38" customWidth="1"/>
    <col min="10243" max="10245" width="0" style="38" hidden="1" customWidth="1"/>
    <col min="10246" max="10294" width="21.42578125" style="38" customWidth="1"/>
    <col min="10295" max="10497" width="9.140625" style="38"/>
    <col min="10498" max="10498" width="21.42578125" style="38" customWidth="1"/>
    <col min="10499" max="10501" width="0" style="38" hidden="1" customWidth="1"/>
    <col min="10502" max="10550" width="21.42578125" style="38" customWidth="1"/>
    <col min="10551" max="10753" width="9.140625" style="38"/>
    <col min="10754" max="10754" width="21.42578125" style="38" customWidth="1"/>
    <col min="10755" max="10757" width="0" style="38" hidden="1" customWidth="1"/>
    <col min="10758" max="10806" width="21.42578125" style="38" customWidth="1"/>
    <col min="10807" max="11009" width="9.140625" style="38"/>
    <col min="11010" max="11010" width="21.42578125" style="38" customWidth="1"/>
    <col min="11011" max="11013" width="0" style="38" hidden="1" customWidth="1"/>
    <col min="11014" max="11062" width="21.42578125" style="38" customWidth="1"/>
    <col min="11063" max="11265" width="9.140625" style="38"/>
    <col min="11266" max="11266" width="21.42578125" style="38" customWidth="1"/>
    <col min="11267" max="11269" width="0" style="38" hidden="1" customWidth="1"/>
    <col min="11270" max="11318" width="21.42578125" style="38" customWidth="1"/>
    <col min="11319" max="11521" width="9.140625" style="38"/>
    <col min="11522" max="11522" width="21.42578125" style="38" customWidth="1"/>
    <col min="11523" max="11525" width="0" style="38" hidden="1" customWidth="1"/>
    <col min="11526" max="11574" width="21.42578125" style="38" customWidth="1"/>
    <col min="11575" max="11777" width="9.140625" style="38"/>
    <col min="11778" max="11778" width="21.42578125" style="38" customWidth="1"/>
    <col min="11779" max="11781" width="0" style="38" hidden="1" customWidth="1"/>
    <col min="11782" max="11830" width="21.42578125" style="38" customWidth="1"/>
    <col min="11831" max="12033" width="9.140625" style="38"/>
    <col min="12034" max="12034" width="21.42578125" style="38" customWidth="1"/>
    <col min="12035" max="12037" width="0" style="38" hidden="1" customWidth="1"/>
    <col min="12038" max="12086" width="21.42578125" style="38" customWidth="1"/>
    <col min="12087" max="12289" width="9.140625" style="38"/>
    <col min="12290" max="12290" width="21.42578125" style="38" customWidth="1"/>
    <col min="12291" max="12293" width="0" style="38" hidden="1" customWidth="1"/>
    <col min="12294" max="12342" width="21.42578125" style="38" customWidth="1"/>
    <col min="12343" max="12545" width="9.140625" style="38"/>
    <col min="12546" max="12546" width="21.42578125" style="38" customWidth="1"/>
    <col min="12547" max="12549" width="0" style="38" hidden="1" customWidth="1"/>
    <col min="12550" max="12598" width="21.42578125" style="38" customWidth="1"/>
    <col min="12599" max="12801" width="9.140625" style="38"/>
    <col min="12802" max="12802" width="21.42578125" style="38" customWidth="1"/>
    <col min="12803" max="12805" width="0" style="38" hidden="1" customWidth="1"/>
    <col min="12806" max="12854" width="21.42578125" style="38" customWidth="1"/>
    <col min="12855" max="13057" width="9.140625" style="38"/>
    <col min="13058" max="13058" width="21.42578125" style="38" customWidth="1"/>
    <col min="13059" max="13061" width="0" style="38" hidden="1" customWidth="1"/>
    <col min="13062" max="13110" width="21.42578125" style="38" customWidth="1"/>
    <col min="13111" max="13313" width="9.140625" style="38"/>
    <col min="13314" max="13314" width="21.42578125" style="38" customWidth="1"/>
    <col min="13315" max="13317" width="0" style="38" hidden="1" customWidth="1"/>
    <col min="13318" max="13366" width="21.42578125" style="38" customWidth="1"/>
    <col min="13367" max="13569" width="9.140625" style="38"/>
    <col min="13570" max="13570" width="21.42578125" style="38" customWidth="1"/>
    <col min="13571" max="13573" width="0" style="38" hidden="1" customWidth="1"/>
    <col min="13574" max="13622" width="21.42578125" style="38" customWidth="1"/>
    <col min="13623" max="13825" width="9.140625" style="38"/>
    <col min="13826" max="13826" width="21.42578125" style="38" customWidth="1"/>
    <col min="13827" max="13829" width="0" style="38" hidden="1" customWidth="1"/>
    <col min="13830" max="13878" width="21.42578125" style="38" customWidth="1"/>
    <col min="13879" max="14081" width="9.140625" style="38"/>
    <col min="14082" max="14082" width="21.42578125" style="38" customWidth="1"/>
    <col min="14083" max="14085" width="0" style="38" hidden="1" customWidth="1"/>
    <col min="14086" max="14134" width="21.42578125" style="38" customWidth="1"/>
    <col min="14135" max="14337" width="9.140625" style="38"/>
    <col min="14338" max="14338" width="21.42578125" style="38" customWidth="1"/>
    <col min="14339" max="14341" width="0" style="38" hidden="1" customWidth="1"/>
    <col min="14342" max="14390" width="21.42578125" style="38" customWidth="1"/>
    <col min="14391" max="14593" width="9.140625" style="38"/>
    <col min="14594" max="14594" width="21.42578125" style="38" customWidth="1"/>
    <col min="14595" max="14597" width="0" style="38" hidden="1" customWidth="1"/>
    <col min="14598" max="14646" width="21.42578125" style="38" customWidth="1"/>
    <col min="14647" max="14849" width="9.140625" style="38"/>
    <col min="14850" max="14850" width="21.42578125" style="38" customWidth="1"/>
    <col min="14851" max="14853" width="0" style="38" hidden="1" customWidth="1"/>
    <col min="14854" max="14902" width="21.42578125" style="38" customWidth="1"/>
    <col min="14903" max="15105" width="9.140625" style="38"/>
    <col min="15106" max="15106" width="21.42578125" style="38" customWidth="1"/>
    <col min="15107" max="15109" width="0" style="38" hidden="1" customWidth="1"/>
    <col min="15110" max="15158" width="21.42578125" style="38" customWidth="1"/>
    <col min="15159" max="15361" width="9.140625" style="38"/>
    <col min="15362" max="15362" width="21.42578125" style="38" customWidth="1"/>
    <col min="15363" max="15365" width="0" style="38" hidden="1" customWidth="1"/>
    <col min="15366" max="15414" width="21.42578125" style="38" customWidth="1"/>
    <col min="15415" max="15617" width="9.140625" style="38"/>
    <col min="15618" max="15618" width="21.42578125" style="38" customWidth="1"/>
    <col min="15619" max="15621" width="0" style="38" hidden="1" customWidth="1"/>
    <col min="15622" max="15670" width="21.42578125" style="38" customWidth="1"/>
    <col min="15671" max="15873" width="9.140625" style="38"/>
    <col min="15874" max="15874" width="21.42578125" style="38" customWidth="1"/>
    <col min="15875" max="15877" width="0" style="38" hidden="1" customWidth="1"/>
    <col min="15878" max="15926" width="21.42578125" style="38" customWidth="1"/>
    <col min="15927" max="16129" width="9.140625" style="38"/>
    <col min="16130" max="16130" width="21.42578125" style="38" customWidth="1"/>
    <col min="16131" max="16133" width="0" style="38" hidden="1" customWidth="1"/>
    <col min="16134" max="16182" width="21.42578125" style="38" customWidth="1"/>
    <col min="16183" max="16384" width="9.140625" style="38"/>
  </cols>
  <sheetData>
    <row r="1" spans="1:22" x14ac:dyDescent="0.2">
      <c r="A1" s="37" t="s">
        <v>0</v>
      </c>
      <c r="B1" s="37" t="s">
        <v>1</v>
      </c>
      <c r="C1" s="37" t="s">
        <v>166</v>
      </c>
      <c r="D1" s="37" t="s">
        <v>2</v>
      </c>
      <c r="E1" s="37" t="s">
        <v>5</v>
      </c>
      <c r="G1" s="45" t="s">
        <v>215</v>
      </c>
      <c r="H1" s="76">
        <f>H12</f>
        <v>0</v>
      </c>
      <c r="I1" s="37" t="s">
        <v>8</v>
      </c>
      <c r="L1" s="37" t="s">
        <v>9</v>
      </c>
      <c r="S1" s="37" t="s">
        <v>18</v>
      </c>
      <c r="U1" s="43"/>
      <c r="V1" s="37" t="s">
        <v>68</v>
      </c>
    </row>
    <row r="2" spans="1:22" x14ac:dyDescent="0.2">
      <c r="A2" s="39" t="s">
        <v>171</v>
      </c>
      <c r="B2" s="44">
        <f>Inputs!F3</f>
        <v>0</v>
      </c>
      <c r="C2" s="39" t="str">
        <f>IF($B2&lt;&gt;"x","",IFERROR(_xlfn.XLOOKUP($A2,'Staffing sheet 1ST Shift'!$A:$A,'Staffing sheet 1ST Shift'!$I:$I,""),""))</f>
        <v/>
      </c>
      <c r="D2" s="45"/>
      <c r="E2" s="37" t="s">
        <v>12</v>
      </c>
      <c r="G2" s="45" t="s">
        <v>216</v>
      </c>
      <c r="H2" s="76">
        <f>COUNTIF(D2:D50, "Tasking")</f>
        <v>0</v>
      </c>
      <c r="I2" s="47" t="s">
        <v>14</v>
      </c>
      <c r="J2" s="78"/>
      <c r="L2" s="37" t="s">
        <v>15</v>
      </c>
      <c r="S2" s="37" t="s">
        <v>28</v>
      </c>
      <c r="U2" s="43"/>
      <c r="V2" s="37" t="s">
        <v>32</v>
      </c>
    </row>
    <row r="3" spans="1:22" x14ac:dyDescent="0.2">
      <c r="A3" s="39" t="s">
        <v>16</v>
      </c>
      <c r="B3" s="44">
        <f>Inputs!F4</f>
        <v>0</v>
      </c>
      <c r="C3" s="39" t="str">
        <f>IF($B3&lt;&gt;"x","",IFERROR(_xlfn.XLOOKUP($A3,'Staffing sheet 1ST Shift'!$A:$A,'Staffing sheet 1ST Shift'!$I:$I,""),""))</f>
        <v/>
      </c>
      <c r="D3" s="45"/>
      <c r="G3" s="45" t="s">
        <v>217</v>
      </c>
      <c r="H3" s="76">
        <f>H10</f>
        <v>0</v>
      </c>
      <c r="I3" s="47"/>
      <c r="J3" s="76"/>
      <c r="S3" s="37" t="s">
        <v>23</v>
      </c>
      <c r="U3" s="43"/>
      <c r="V3" s="37" t="s">
        <v>210</v>
      </c>
    </row>
    <row r="4" spans="1:22" x14ac:dyDescent="0.2">
      <c r="A4" s="39" t="s">
        <v>144</v>
      </c>
      <c r="B4" s="44">
        <f>Inputs!F5</f>
        <v>0</v>
      </c>
      <c r="C4" s="39" t="str">
        <f>IF($B4&lt;&gt;"x","",IFERROR(_xlfn.XLOOKUP($A4,'Staffing sheet 1ST Shift'!$A:$A,'Staffing sheet 1ST Shift'!$I:$I,""),""))</f>
        <v/>
      </c>
      <c r="D4" s="45"/>
      <c r="G4" s="45" t="s">
        <v>218</v>
      </c>
      <c r="H4" s="76">
        <f>H9</f>
        <v>0</v>
      </c>
      <c r="I4" s="48" t="s">
        <v>21</v>
      </c>
      <c r="J4" s="78"/>
      <c r="S4" s="37" t="s">
        <v>68</v>
      </c>
      <c r="U4" s="43"/>
      <c r="V4" s="37" t="s">
        <v>23</v>
      </c>
    </row>
    <row r="5" spans="1:22" x14ac:dyDescent="0.2">
      <c r="A5" s="39" t="s">
        <v>191</v>
      </c>
      <c r="B5" s="44">
        <f>Inputs!F6</f>
        <v>0</v>
      </c>
      <c r="C5" s="39" t="str">
        <f>IF($B5&lt;&gt;"x","",IFERROR(_xlfn.XLOOKUP($A5,'Staffing sheet 1ST Shift'!$A:$A,'Staffing sheet 1ST Shift'!$I:$I,""),""))</f>
        <v/>
      </c>
      <c r="D5" s="45"/>
      <c r="G5" s="45" t="s">
        <v>219</v>
      </c>
      <c r="H5" s="77">
        <f>H15</f>
        <v>0</v>
      </c>
      <c r="I5" s="49" t="s">
        <v>26</v>
      </c>
      <c r="S5" s="37" t="s">
        <v>17</v>
      </c>
      <c r="V5" s="37" t="s">
        <v>209</v>
      </c>
    </row>
    <row r="6" spans="1:22" x14ac:dyDescent="0.2">
      <c r="A6" s="39" t="s">
        <v>189</v>
      </c>
      <c r="B6" s="44">
        <f>Inputs!F7</f>
        <v>0</v>
      </c>
      <c r="C6" s="39" t="str">
        <f>IF($B6&lt;&gt;"x","",IFERROR(_xlfn.XLOOKUP($A6,'Staffing sheet 1ST Shift'!$A:$A,'Staffing sheet 1ST Shift'!$I:$I,""),""))</f>
        <v/>
      </c>
      <c r="D6" s="45"/>
      <c r="G6" s="45"/>
      <c r="H6" s="77"/>
      <c r="I6" s="48" t="s">
        <v>7</v>
      </c>
      <c r="S6" s="37" t="s">
        <v>32</v>
      </c>
      <c r="V6" s="37" t="s">
        <v>18</v>
      </c>
    </row>
    <row r="7" spans="1:22" x14ac:dyDescent="0.2">
      <c r="A7" s="39" t="s">
        <v>22</v>
      </c>
      <c r="B7" s="44">
        <f>Inputs!F8</f>
        <v>0</v>
      </c>
      <c r="C7" s="39" t="str">
        <f>IF($B7&lt;&gt;"x","",IFERROR(_xlfn.XLOOKUP($A7,'Staffing sheet 1ST Shift'!$A:$A,'Staffing sheet 1ST Shift'!$I:$I,""),""))</f>
        <v/>
      </c>
      <c r="D7" s="45"/>
      <c r="G7" s="44"/>
      <c r="H7" s="77"/>
      <c r="I7" s="49" t="s">
        <v>30</v>
      </c>
      <c r="V7" s="37" t="s">
        <v>28</v>
      </c>
    </row>
    <row r="8" spans="1:22" x14ac:dyDescent="0.2">
      <c r="A8" s="39" t="s">
        <v>27</v>
      </c>
      <c r="B8" s="44">
        <f>Inputs!F9</f>
        <v>0</v>
      </c>
      <c r="C8" s="39" t="str">
        <f>IF($B8&lt;&gt;"x","",IFERROR(_xlfn.XLOOKUP($A8,'Staffing sheet 1ST Shift'!$A:$A,'Staffing sheet 1ST Shift'!$I:$I,""),""))</f>
        <v/>
      </c>
      <c r="D8" s="45"/>
      <c r="G8" s="37" t="s">
        <v>33</v>
      </c>
      <c r="H8" s="37" t="s">
        <v>34</v>
      </c>
      <c r="I8" s="37" t="s">
        <v>35</v>
      </c>
      <c r="J8" s="37" t="s">
        <v>36</v>
      </c>
      <c r="K8" s="37" t="s">
        <v>37</v>
      </c>
      <c r="M8" s="37" t="s">
        <v>38</v>
      </c>
      <c r="N8" s="37" t="s">
        <v>39</v>
      </c>
      <c r="O8" s="37" t="s">
        <v>40</v>
      </c>
      <c r="P8" s="37" t="s">
        <v>41</v>
      </c>
      <c r="Q8" s="37" t="s">
        <v>42</v>
      </c>
      <c r="R8" s="37" t="s">
        <v>43</v>
      </c>
      <c r="S8" s="37" t="s">
        <v>44</v>
      </c>
      <c r="T8" s="37" t="s">
        <v>45</v>
      </c>
      <c r="V8" s="37" t="s">
        <v>208</v>
      </c>
    </row>
    <row r="9" spans="1:22" x14ac:dyDescent="0.25">
      <c r="A9" s="39" t="s">
        <v>46</v>
      </c>
      <c r="B9" s="44">
        <f>Inputs!F10</f>
        <v>0</v>
      </c>
      <c r="C9" s="39" t="str">
        <f>IF($B9&lt;&gt;"x","",IFERROR(_xlfn.XLOOKUP($A9,'Staffing sheet 1ST Shift'!$A:$A,'Staffing sheet 1ST Shift'!$I:$I,""),""))</f>
        <v/>
      </c>
      <c r="D9" s="45"/>
      <c r="G9" s="40" t="s">
        <v>47</v>
      </c>
      <c r="H9" s="37">
        <f t="shared" ref="H9" si="0">COUNTIF(D1:D50, "Unloading")</f>
        <v>0</v>
      </c>
      <c r="J9" s="37" t="s">
        <v>48</v>
      </c>
      <c r="K9" s="42">
        <f>('Staffing Forecast'!AB13/4)/(44*Inputs!B4)</f>
        <v>0</v>
      </c>
      <c r="M9" s="42">
        <f>Table2[[#This Row],[Available Staff ]]-Table2[[#This Row],[Needed ]]</f>
        <v>0</v>
      </c>
      <c r="N9" s="42">
        <f>Table5[[#This Row],[Workers Gap]]*H3</f>
        <v>0</v>
      </c>
      <c r="O9" s="37" t="str">
        <f t="shared" ref="O9:O15" si="1">IF(M9&lt;0,"Understaffed",IF(M9=0,"Good","Overstaffed"))</f>
        <v>Good</v>
      </c>
      <c r="P9" s="43">
        <f>ROUNDUP(P11/2,0)</f>
        <v>0</v>
      </c>
      <c r="Q9" s="37">
        <f>44*'Crew Sheet'!H3*Table2[[#This Row],[Available Staff ]]</f>
        <v>0</v>
      </c>
      <c r="R9" s="50" t="e">
        <f>Table4[[#This Row],[Expected Completed Cases]]/Table4[[#This Row],[Expected Volume]]</f>
        <v>#DIV/0!</v>
      </c>
      <c r="S9" s="50" t="e">
        <f t="shared" ref="S9:S15" si="2">IF($G9="Picking","PROTECT - PICKING BOTTLENECK",IF($O9="Understaffed","URGENT - ADD STAFF",IF(AND($O9="Overstaffed",$R9&gt;=100%),"AVAILABLE TO MOVE",IF(AND($O9="Overstaffed",$R9&lt;100%),"HIGH - DO NOT PULL","OK"))))</f>
        <v>#DIV/0!</v>
      </c>
      <c r="T9" s="37" t="str">
        <f>IF(M9&lt;0,"Need "&amp;ROUND(ABS(M9),1)&amp;" more workers / "&amp;ROUND(ABS(N9),1)&amp;" labor hrs",IF(M9&gt;0,"Can move "&amp;ROUND(M9,1)&amp;" workers / "&amp;ROUND(N9,1)&amp;" labor hrs","Balanced Staffing"))</f>
        <v>Balanced Staffing</v>
      </c>
    </row>
    <row r="10" spans="1:22" x14ac:dyDescent="0.25">
      <c r="A10" s="39" t="s">
        <v>49</v>
      </c>
      <c r="B10" s="44">
        <f>Inputs!F11</f>
        <v>0</v>
      </c>
      <c r="C10" s="39" t="str">
        <f>IF($B10&lt;&gt;"x","",IFERROR(_xlfn.XLOOKUP($A10,'Staffing sheet 1ST Shift'!$A:$A,'Staffing sheet 1ST Shift'!$I:$I,""),""))</f>
        <v/>
      </c>
      <c r="D10" s="45"/>
      <c r="G10" s="40" t="s">
        <v>50</v>
      </c>
      <c r="H10" s="37">
        <f>COUNTIF(D2:D50, "Receiving")</f>
        <v>0</v>
      </c>
      <c r="J10" s="37" t="s">
        <v>48</v>
      </c>
      <c r="K10" s="42">
        <f>('Staffing Forecast'!AB13/4)/(44*Inputs!B4)</f>
        <v>0</v>
      </c>
      <c r="M10" s="42">
        <f>Table2[[#This Row],[Available Staff ]]-Table2[[#This Row],[Needed ]]</f>
        <v>0</v>
      </c>
      <c r="N10" s="42">
        <f>Table5[[#This Row],[Workers Gap]]*$H$3</f>
        <v>0</v>
      </c>
      <c r="O10" s="37" t="str">
        <f t="shared" si="1"/>
        <v>Good</v>
      </c>
      <c r="P10" s="43">
        <f>ROUNDUP(P11/2,0)</f>
        <v>0</v>
      </c>
      <c r="Q10" s="37">
        <f>44*H3*Table2[[#This Row],[Available Staff ]]</f>
        <v>0</v>
      </c>
      <c r="R10" s="50" t="e">
        <f>Table4[[#This Row],[Expected Completed Cases]]/Table4[[#This Row],[Expected Volume]]</f>
        <v>#DIV/0!</v>
      </c>
      <c r="S10" s="50" t="e">
        <f t="shared" si="2"/>
        <v>#DIV/0!</v>
      </c>
      <c r="T10" s="37" t="str">
        <f t="shared" ref="T10:T15" si="3">IF(M10&lt;0,"Need "&amp;ROUND(ABS(M10),1)&amp;" more workers / "&amp;ROUND(ABS(N10),1)&amp;" labor hrs",IF(M10&gt;0,"Can move "&amp;ROUND(M10,1)&amp;" workers / "&amp;ROUND(N10,1)&amp;" labor hrs","Balanced Staffing"))</f>
        <v>Balanced Staffing</v>
      </c>
    </row>
    <row r="11" spans="1:22" x14ac:dyDescent="0.25">
      <c r="A11" s="39" t="s">
        <v>51</v>
      </c>
      <c r="B11" s="44">
        <f>Inputs!F12</f>
        <v>0</v>
      </c>
      <c r="C11" s="39" t="str">
        <f>IF($B11&lt;&gt;"x","",IFERROR(_xlfn.XLOOKUP($A11,'Staffing sheet 1ST Shift'!$A:$A,'Staffing sheet 1ST Shift'!$I:$I,""),""))</f>
        <v/>
      </c>
      <c r="D11" s="45"/>
      <c r="G11" s="40" t="s">
        <v>52</v>
      </c>
      <c r="H11" s="37">
        <f>COUNTIF(D2:D52, "Putaways")</f>
        <v>0</v>
      </c>
      <c r="J11" s="37" t="s">
        <v>48</v>
      </c>
      <c r="K11" s="42">
        <f>('Staffing Forecast'!AB13/2)/(25*Inputs!B4)</f>
        <v>0</v>
      </c>
      <c r="M11" s="42">
        <f>Table2[[#This Row],[Available Staff ]]-Table2[[#This Row],[Needed ]]</f>
        <v>0</v>
      </c>
      <c r="N11" s="42">
        <f>Table5[[#This Row],[Workers Gap]]*$H$3</f>
        <v>0</v>
      </c>
      <c r="O11" s="37" t="str">
        <f t="shared" si="1"/>
        <v>Good</v>
      </c>
      <c r="P11" s="43">
        <f>IF(H2="1st",'Staffing Forecast'!AB13*0.52, 'Staffing Forecast'!AB13*0.48)</f>
        <v>0</v>
      </c>
      <c r="Q11" s="42">
        <f>25*H3*Table2[[#This Row],[Available Staff ]]</f>
        <v>0</v>
      </c>
      <c r="R11" s="50" t="e">
        <f>Table4[[#This Row],[Expected Completed Cases]]/Table4[[#This Row],[Expected Volume]]</f>
        <v>#DIV/0!</v>
      </c>
      <c r="S11" s="50" t="e">
        <f t="shared" si="2"/>
        <v>#DIV/0!</v>
      </c>
      <c r="T11" s="37" t="str">
        <f t="shared" si="3"/>
        <v>Balanced Staffing</v>
      </c>
    </row>
    <row r="12" spans="1:22" x14ac:dyDescent="0.25">
      <c r="A12" s="39" t="s">
        <v>53</v>
      </c>
      <c r="B12" s="44">
        <f>Inputs!F13</f>
        <v>0</v>
      </c>
      <c r="C12" s="39" t="str">
        <f>IF($B12&lt;&gt;"x","",IFERROR(_xlfn.XLOOKUP($A12,'Staffing sheet 1ST Shift'!$A:$A,'Staffing sheet 1ST Shift'!$I:$I,""),""))</f>
        <v/>
      </c>
      <c r="D12" s="45"/>
      <c r="G12" s="40" t="s">
        <v>10</v>
      </c>
      <c r="H12" s="37">
        <f>COUNTIF(D2:D53, "Picking")</f>
        <v>0</v>
      </c>
      <c r="J12" s="37" t="s">
        <v>54</v>
      </c>
      <c r="K12" s="42">
        <f>(Inputs!B5/(185*Inputs!B4))</f>
        <v>0</v>
      </c>
      <c r="M12" s="42">
        <f>Table2[[#This Row],[Available Staff ]]-Table2[[#This Row],[Needed ]]</f>
        <v>0</v>
      </c>
      <c r="N12" s="42">
        <f>Table5[[#This Row],[Workers Gap]]*$H$3</f>
        <v>0</v>
      </c>
      <c r="O12" s="37" t="str">
        <f t="shared" si="1"/>
        <v>Good</v>
      </c>
      <c r="P12" s="43">
        <f>H5</f>
        <v>0</v>
      </c>
      <c r="Q12" s="43">
        <f>185*'Crew Sheet'!H3*Table2[[#This Row],[Available Staff ]]</f>
        <v>0</v>
      </c>
      <c r="R12" s="50" t="e">
        <f>Table4[[#This Row],[Expected Completed Cases]]/Table4[[#This Row],[Expected Volume]]</f>
        <v>#DIV/0!</v>
      </c>
      <c r="S12" s="50" t="e">
        <f t="shared" si="2"/>
        <v>#DIV/0!</v>
      </c>
      <c r="T12" s="37" t="str">
        <f t="shared" si="3"/>
        <v>Balanced Staffing</v>
      </c>
    </row>
    <row r="13" spans="1:22" x14ac:dyDescent="0.25">
      <c r="A13" s="39" t="s">
        <v>55</v>
      </c>
      <c r="B13" s="44">
        <f>Inputs!F14</f>
        <v>0</v>
      </c>
      <c r="C13" s="39" t="str">
        <f>IF($B13&lt;&gt;"x","",IFERROR(_xlfn.XLOOKUP($A13,'Staffing sheet 1ST Shift'!$A:$A,'Staffing sheet 1ST Shift'!$I:$I,""),""))</f>
        <v/>
      </c>
      <c r="D13" s="45"/>
      <c r="G13" s="40" t="s">
        <v>32</v>
      </c>
      <c r="H13" s="37">
        <f>COUNTIF(D2:D54, "Replenishment")</f>
        <v>0</v>
      </c>
      <c r="J13" s="37" t="s">
        <v>54</v>
      </c>
      <c r="K13" s="42">
        <f>(Inputs!B5/70)/(25*8.5)</f>
        <v>0</v>
      </c>
      <c r="M13" s="42">
        <f>Table2[[#This Row],[Available Staff ]]-Table2[[#This Row],[Needed ]]</f>
        <v>0</v>
      </c>
      <c r="N13" s="42">
        <f>Table5[[#This Row],[Workers Gap]]*$H$3</f>
        <v>0</v>
      </c>
      <c r="O13" s="37" t="str">
        <f t="shared" si="1"/>
        <v>Good</v>
      </c>
      <c r="P13" s="43">
        <f>H5/70</f>
        <v>0</v>
      </c>
      <c r="Q13" s="43">
        <f>25*H3*Table2[[#This Row],[Available Staff ]]</f>
        <v>0</v>
      </c>
      <c r="R13" s="50" t="e">
        <f>Table4[[#This Row],[Expected Completed Cases]]/Table4[[#This Row],[Expected Volume]]</f>
        <v>#DIV/0!</v>
      </c>
      <c r="S13" s="50" t="e">
        <f t="shared" si="2"/>
        <v>#DIV/0!</v>
      </c>
      <c r="T13" s="37" t="str">
        <f t="shared" si="3"/>
        <v>Balanced Staffing</v>
      </c>
    </row>
    <row r="14" spans="1:22" x14ac:dyDescent="0.25">
      <c r="A14" s="39" t="s">
        <v>172</v>
      </c>
      <c r="B14" s="44">
        <f>Inputs!F15</f>
        <v>0</v>
      </c>
      <c r="C14" s="39" t="str">
        <f>IF($B14&lt;&gt;"x","",IFERROR(_xlfn.XLOOKUP($A14,'Staffing sheet 1ST Shift'!$A:$A,'Staffing sheet 1ST Shift'!$I:$I,""),""))</f>
        <v/>
      </c>
      <c r="D14" s="45"/>
      <c r="G14" s="40" t="s">
        <v>57</v>
      </c>
      <c r="H14" s="37">
        <f>COUNTIF(D2:D55, "Full Pallets")</f>
        <v>0</v>
      </c>
      <c r="J14" s="37" t="s">
        <v>54</v>
      </c>
      <c r="K14" s="42">
        <f>(Inputs!B6/(25*Inputs!B4))</f>
        <v>0</v>
      </c>
      <c r="M14" s="42">
        <f>Table2[[#This Row],[Available Staff ]]-Table2[[#This Row],[Needed ]]</f>
        <v>0</v>
      </c>
      <c r="N14" s="42">
        <f>Table5[[#This Row],[Workers Gap]]*$H$3</f>
        <v>0</v>
      </c>
      <c r="O14" s="37" t="str">
        <f t="shared" si="1"/>
        <v>Good</v>
      </c>
      <c r="P14" s="43">
        <f>H6</f>
        <v>0</v>
      </c>
      <c r="Q14" s="43">
        <f>25*H3*Table2[[#This Row],[Available Staff ]]</f>
        <v>0</v>
      </c>
      <c r="R14" s="50" t="e">
        <f>Table4[[#This Row],[Expected Completed Cases]]/Table4[[#This Row],[Expected Volume]]</f>
        <v>#DIV/0!</v>
      </c>
      <c r="S14" s="50" t="e">
        <f t="shared" si="2"/>
        <v>#DIV/0!</v>
      </c>
      <c r="T14" s="37" t="str">
        <f t="shared" si="3"/>
        <v>Balanced Staffing</v>
      </c>
    </row>
    <row r="15" spans="1:22" x14ac:dyDescent="0.25">
      <c r="A15" s="39" t="s">
        <v>56</v>
      </c>
      <c r="B15" s="44">
        <f>Inputs!F16</f>
        <v>0</v>
      </c>
      <c r="C15" s="39" t="str">
        <f>IF($B15&lt;&gt;"x","",IFERROR(_xlfn.XLOOKUP($A15,'Staffing sheet 1ST Shift'!$A:$A,'Staffing sheet 1ST Shift'!$I:$I,""),""))</f>
        <v/>
      </c>
      <c r="D15" s="45"/>
      <c r="G15" s="40" t="s">
        <v>58</v>
      </c>
      <c r="H15" s="37">
        <f>COUNTIF(D2:D56, "Loading")</f>
        <v>0</v>
      </c>
      <c r="J15" s="37" t="s">
        <v>54</v>
      </c>
      <c r="K15" s="42">
        <f>(Inputs!B7*0.52/(1*Inputs!B4))</f>
        <v>0</v>
      </c>
      <c r="M15" s="42">
        <f>Table2[[#This Row],[Available Staff ]]-Table2[[#This Row],[Needed ]]</f>
        <v>0</v>
      </c>
      <c r="N15" s="42">
        <f>Table5[[#This Row],[Workers Gap]]*$H$3</f>
        <v>0</v>
      </c>
      <c r="O15" s="37" t="str">
        <f t="shared" si="1"/>
        <v>Good</v>
      </c>
      <c r="P15" s="43">
        <f>U4</f>
        <v>0</v>
      </c>
      <c r="Q15" s="43">
        <f>1*H3*Table2[[#This Row],[Available Staff ]]</f>
        <v>0</v>
      </c>
      <c r="R15" s="50" t="e">
        <f>Table4[[#This Row],[Expected Completed Cases]]/Table4[[#This Row],[Expected Volume]]</f>
        <v>#DIV/0!</v>
      </c>
      <c r="S15" s="50" t="e">
        <f t="shared" si="2"/>
        <v>#DIV/0!</v>
      </c>
      <c r="T15" s="37" t="str">
        <f t="shared" si="3"/>
        <v>Balanced Staffing</v>
      </c>
    </row>
    <row r="16" spans="1:22" x14ac:dyDescent="0.2">
      <c r="A16" s="39" t="s">
        <v>173</v>
      </c>
      <c r="B16" s="44">
        <f>Inputs!F17</f>
        <v>0</v>
      </c>
      <c r="C16" s="39" t="str">
        <f>IF($B16&lt;&gt;"x","",IFERROR(_xlfn.XLOOKUP($A16,'Staffing sheet 1ST Shift'!$A:$A,'Staffing sheet 1ST Shift'!$I:$I,""),""))</f>
        <v/>
      </c>
      <c r="D16" s="45"/>
      <c r="G16" s="37" t="s">
        <v>59</v>
      </c>
      <c r="H16" s="37">
        <f>SUM(H9:H15)</f>
        <v>0</v>
      </c>
      <c r="K16" s="42">
        <f>ROUNDUP(SUM(K9:K15),0)</f>
        <v>0</v>
      </c>
      <c r="M16" s="42">
        <f>SUM(M9:M15)</f>
        <v>0</v>
      </c>
      <c r="N16" s="42">
        <f>SUM(N9:N15)</f>
        <v>0</v>
      </c>
      <c r="S16" s="53"/>
    </row>
    <row r="17" spans="1:14" x14ac:dyDescent="0.25">
      <c r="A17" s="39" t="s">
        <v>174</v>
      </c>
      <c r="B17" s="44">
        <f>Inputs!F18</f>
        <v>0</v>
      </c>
      <c r="C17" s="39" t="str">
        <f>IF($B17&lt;&gt;"x","",IFERROR(_xlfn.XLOOKUP($A17,'Staffing sheet 1ST Shift'!$A:$A,'Staffing sheet 1ST Shift'!$I:$I,""),""))</f>
        <v/>
      </c>
      <c r="D17" s="45"/>
      <c r="G17" s="46"/>
      <c r="J17" s="37" t="str">
        <f>IF(K16&gt;H16,"UnderStaffed",IF(K16=H16,"Good","Overstaffed"))</f>
        <v>Good</v>
      </c>
    </row>
    <row r="18" spans="1:14" x14ac:dyDescent="0.2">
      <c r="A18" s="39" t="s">
        <v>181</v>
      </c>
      <c r="B18" s="44">
        <f>Inputs!F19</f>
        <v>0</v>
      </c>
      <c r="C18" s="39" t="str">
        <f>IF($B18&lt;&gt;"x","",IFERROR(_xlfn.XLOOKUP($A18,'Staffing sheet 1ST Shift'!$A:$A,'Staffing sheet 1ST Shift'!$I:$I,""),""))</f>
        <v/>
      </c>
      <c r="D18" s="45"/>
    </row>
    <row r="19" spans="1:14" x14ac:dyDescent="0.2">
      <c r="A19" s="39" t="s">
        <v>60</v>
      </c>
      <c r="B19" s="44">
        <f>Inputs!F20</f>
        <v>0</v>
      </c>
      <c r="C19" s="39" t="str">
        <f>IF($B19&lt;&gt;"x","",IFERROR(_xlfn.XLOOKUP($A19,'Staffing sheet 1ST Shift'!$A:$A,'Staffing sheet 1ST Shift'!$I:$I,""),""))</f>
        <v/>
      </c>
      <c r="D19" s="45"/>
    </row>
    <row r="20" spans="1:14" x14ac:dyDescent="0.2">
      <c r="A20" s="39" t="s">
        <v>61</v>
      </c>
      <c r="B20" s="44">
        <f>Inputs!F21</f>
        <v>0</v>
      </c>
      <c r="C20" s="39" t="str">
        <f>IF($B20&lt;&gt;"x","",IFERROR(_xlfn.XLOOKUP($A20,'Staffing sheet 1ST Shift'!$A:$A,'Staffing sheet 1ST Shift'!$I:$I,""),""))</f>
        <v/>
      </c>
      <c r="D20" s="45"/>
    </row>
    <row r="21" spans="1:14" x14ac:dyDescent="0.2">
      <c r="A21" s="39" t="s">
        <v>146</v>
      </c>
      <c r="B21" s="44">
        <f>Inputs!F22</f>
        <v>0</v>
      </c>
      <c r="C21" s="39" t="str">
        <f>IF($B21&lt;&gt;"x","",IFERROR(_xlfn.XLOOKUP($A21,'Staffing sheet 1ST Shift'!$A:$A,'Staffing sheet 1ST Shift'!$I:$I,""),""))</f>
        <v/>
      </c>
      <c r="D21" s="45"/>
    </row>
    <row r="22" spans="1:14" x14ac:dyDescent="0.2">
      <c r="A22" s="39" t="s">
        <v>147</v>
      </c>
      <c r="B22" s="44">
        <f>Inputs!F23</f>
        <v>0</v>
      </c>
      <c r="C22" s="39" t="str">
        <f>IF($B22&lt;&gt;"x","",IFERROR(_xlfn.XLOOKUP($A22,'Staffing sheet 1ST Shift'!$A:$A,'Staffing sheet 1ST Shift'!$I:$I,""),""))</f>
        <v/>
      </c>
      <c r="D22" s="45"/>
    </row>
    <row r="23" spans="1:14" x14ac:dyDescent="0.2">
      <c r="A23" s="39" t="s">
        <v>205</v>
      </c>
      <c r="B23" s="44">
        <f>Inputs!F24</f>
        <v>0</v>
      </c>
      <c r="C23" s="39" t="str">
        <f>IF($B23&lt;&gt;"x","",IFERROR(_xlfn.XLOOKUP($A23,'Staffing sheet 1ST Shift'!$A:$A,'Staffing sheet 1ST Shift'!$I:$I,""),""))</f>
        <v/>
      </c>
      <c r="D23" s="45"/>
      <c r="G23" s="37" t="s">
        <v>62</v>
      </c>
      <c r="J23" s="43"/>
    </row>
    <row r="24" spans="1:14" x14ac:dyDescent="0.2">
      <c r="A24" s="39" t="s">
        <v>66</v>
      </c>
      <c r="B24" s="44">
        <f>Inputs!F25</f>
        <v>0</v>
      </c>
      <c r="C24" s="39" t="str">
        <f>IF($B24&lt;&gt;"x","",IFERROR(_xlfn.XLOOKUP($A24,'Staffing sheet 1ST Shift'!$A:$A,'Staffing sheet 1ST Shift'!$I:$I,""),""))</f>
        <v/>
      </c>
      <c r="D24" s="45"/>
      <c r="G24" s="37" t="s">
        <v>63</v>
      </c>
      <c r="H24" s="37" t="s">
        <v>33</v>
      </c>
      <c r="J24" s="37" t="s">
        <v>40</v>
      </c>
      <c r="K24" s="37" t="s">
        <v>64</v>
      </c>
      <c r="M24" s="37" t="s">
        <v>39</v>
      </c>
      <c r="N24" s="37" t="s">
        <v>65</v>
      </c>
    </row>
    <row r="25" spans="1:14" x14ac:dyDescent="0.2">
      <c r="A25" s="39" t="s">
        <v>175</v>
      </c>
      <c r="B25" s="44">
        <f>Inputs!F26</f>
        <v>0</v>
      </c>
      <c r="C25" s="39" t="str">
        <f>IF($B25&lt;&gt;"x","",IFERROR(_xlfn.XLOOKUP($A25,'Staffing sheet 1ST Shift'!$A:$A,'Staffing sheet 1ST Shift'!$I:$I,""),""))</f>
        <v/>
      </c>
      <c r="D25" s="45"/>
      <c r="G25" s="37" t="str">
        <f>IF(K25&lt;0,RANK(M25,$M$25:$M$31,1),"")</f>
        <v/>
      </c>
      <c r="H25" s="37" t="s">
        <v>47</v>
      </c>
      <c r="J25" s="37" t="str">
        <f>_xlfn.XLOOKUP(H25,$G$9:$G$15,$O$9:$O$15,"")</f>
        <v>Good</v>
      </c>
      <c r="K25" s="42">
        <f>_xlfn.XLOOKUP(H25,$G$9:$G$15,$M$9:$M$15,"")</f>
        <v>0</v>
      </c>
      <c r="M25" s="42">
        <f>_xlfn.XLOOKUP(H25,$G$9:$G$15,$N$9:$N$15,"")</f>
        <v>0</v>
      </c>
      <c r="N25" s="37" t="str">
        <f t="shared" ref="N25:N31" si="4">IF(M9&lt;0,"Need "&amp;ROUND(ABS(M9),1)&amp;" more workers / "&amp;ROUND(ABS(N9),1)&amp;" labor hrs",IF(M9&gt;0,"Can move "&amp;ROUND(M9,1)&amp;" workers / "&amp;ROUND(N9,1)&amp;" labor hrs","Balanced Staffing"))</f>
        <v>Balanced Staffing</v>
      </c>
    </row>
    <row r="26" spans="1:14" x14ac:dyDescent="0.2">
      <c r="A26" s="39" t="s">
        <v>184</v>
      </c>
      <c r="B26" s="44">
        <f>Inputs!F27</f>
        <v>0</v>
      </c>
      <c r="C26" s="39" t="str">
        <f>IF($B26&lt;&gt;"x","",IFERROR(_xlfn.XLOOKUP($A26,'Staffing sheet 1ST Shift'!$A:$A,'Staffing sheet 1ST Shift'!$I:$I,""),""))</f>
        <v/>
      </c>
      <c r="D26" s="45"/>
      <c r="G26" s="37" t="str">
        <f t="shared" ref="G26:G31" si="5">IF(K26&lt;0,RANK(M26,$M$25:$M$31,1),"")</f>
        <v/>
      </c>
      <c r="H26" s="37" t="s">
        <v>50</v>
      </c>
      <c r="J26" s="37" t="str">
        <f t="shared" ref="J26:J31" si="6">_xlfn.XLOOKUP(H26,$G$9:$G$15,$O$9:$O$15,"")</f>
        <v>Good</v>
      </c>
      <c r="K26" s="42">
        <f t="shared" ref="K26" si="7">_xlfn.XLOOKUP(H26,$G$9:$G$15,$M$9:$M$15,"")</f>
        <v>0</v>
      </c>
      <c r="M26" s="42">
        <f t="shared" ref="M26" si="8">_xlfn.XLOOKUP(H26,$G$9:$G$15,$N$9:$N$15,"")</f>
        <v>0</v>
      </c>
      <c r="N26" s="37" t="str">
        <f t="shared" si="4"/>
        <v>Balanced Staffing</v>
      </c>
    </row>
    <row r="27" spans="1:14" x14ac:dyDescent="0.2">
      <c r="A27" s="39" t="s">
        <v>203</v>
      </c>
      <c r="B27" s="44">
        <f>Inputs!F28</f>
        <v>0</v>
      </c>
      <c r="C27" s="39" t="str">
        <f>IF($B27&lt;&gt;"x","",IFERROR(_xlfn.XLOOKUP($A27,'Staffing sheet 1ST Shift'!$A:$A,'Staffing sheet 1ST Shift'!$I:$I,""),""))</f>
        <v/>
      </c>
      <c r="D27" s="45"/>
      <c r="G27" s="37" t="str">
        <f t="shared" si="5"/>
        <v/>
      </c>
      <c r="H27" s="37" t="s">
        <v>52</v>
      </c>
      <c r="J27" s="37" t="str">
        <f t="shared" si="6"/>
        <v>Good</v>
      </c>
      <c r="K27" s="42">
        <f>_xlfn.XLOOKUP(H27,$G$9:$G$15,$M$9:$M$15,"")</f>
        <v>0</v>
      </c>
      <c r="M27" s="42">
        <f>_xlfn.XLOOKUP(H27,$G$9:$G$15,$N$9:$N$15,"")</f>
        <v>0</v>
      </c>
      <c r="N27" s="37" t="str">
        <f t="shared" si="4"/>
        <v>Balanced Staffing</v>
      </c>
    </row>
    <row r="28" spans="1:14" x14ac:dyDescent="0.2">
      <c r="A28" s="39" t="s">
        <v>182</v>
      </c>
      <c r="B28" s="44">
        <f>Inputs!F29</f>
        <v>0</v>
      </c>
      <c r="C28" s="39" t="str">
        <f>IF($B28&lt;&gt;"x","",IFERROR(_xlfn.XLOOKUP($A28,'Staffing sheet 1ST Shift'!$A:$A,'Staffing sheet 1ST Shift'!$I:$I,""),""))</f>
        <v/>
      </c>
      <c r="D28" s="45"/>
      <c r="G28" s="37" t="str">
        <f t="shared" si="5"/>
        <v/>
      </c>
      <c r="H28" s="37" t="s">
        <v>68</v>
      </c>
      <c r="J28" s="37" t="str">
        <f>O12</f>
        <v>Good</v>
      </c>
      <c r="K28" s="42">
        <f>M12</f>
        <v>0</v>
      </c>
      <c r="M28" s="42">
        <f>N12</f>
        <v>0</v>
      </c>
      <c r="N28" s="37" t="str">
        <f t="shared" si="4"/>
        <v>Balanced Staffing</v>
      </c>
    </row>
    <row r="29" spans="1:14" x14ac:dyDescent="0.2">
      <c r="A29" s="39" t="s">
        <v>145</v>
      </c>
      <c r="B29" s="44">
        <f>Inputs!F30</f>
        <v>0</v>
      </c>
      <c r="C29" s="39" t="str">
        <f>IF($B29&lt;&gt;"x","",IFERROR(_xlfn.XLOOKUP($A29,'Staffing sheet 1ST Shift'!$A:$A,'Staffing sheet 1ST Shift'!$I:$I,""),""))</f>
        <v/>
      </c>
      <c r="D29" s="45"/>
      <c r="G29" s="37" t="str">
        <f t="shared" si="5"/>
        <v/>
      </c>
      <c r="H29" s="37" t="s">
        <v>32</v>
      </c>
      <c r="J29" s="37" t="str">
        <f t="shared" si="6"/>
        <v>Good</v>
      </c>
      <c r="K29" s="42">
        <f>_xlfn.XLOOKUP(H29,$G$9:$G$15,$M$9:$M$15,"")</f>
        <v>0</v>
      </c>
      <c r="M29" s="42">
        <f>_xlfn.XLOOKUP(H29,$G$9:$G$15,$N$9:$N$15,"")</f>
        <v>0</v>
      </c>
      <c r="N29" s="37" t="str">
        <f t="shared" si="4"/>
        <v>Balanced Staffing</v>
      </c>
    </row>
    <row r="30" spans="1:14" x14ac:dyDescent="0.2">
      <c r="A30" s="39" t="s">
        <v>163</v>
      </c>
      <c r="B30" s="44">
        <f>Inputs!F31</f>
        <v>0</v>
      </c>
      <c r="C30" s="39" t="str">
        <f>IF($B30&lt;&gt;"x","",IFERROR(_xlfn.XLOOKUP($A30,'Staffing sheet 1ST Shift'!$A:$A,'Staffing sheet 1ST Shift'!$I:$I,""),""))</f>
        <v/>
      </c>
      <c r="D30" s="45"/>
      <c r="G30" s="37" t="str">
        <f t="shared" si="5"/>
        <v/>
      </c>
      <c r="H30" s="37" t="s">
        <v>57</v>
      </c>
      <c r="J30" s="37" t="str">
        <f t="shared" si="6"/>
        <v>Good</v>
      </c>
      <c r="K30" s="42">
        <f>_xlfn.XLOOKUP(H30,$G$9:$G$15,$M$9:$M$15,"")</f>
        <v>0</v>
      </c>
      <c r="M30" s="42">
        <f>_xlfn.XLOOKUP(H30,$G$9:$G$15,$N$9:$N$15,"")</f>
        <v>0</v>
      </c>
      <c r="N30" s="37" t="str">
        <f t="shared" si="4"/>
        <v>Balanced Staffing</v>
      </c>
    </row>
    <row r="31" spans="1:14" x14ac:dyDescent="0.2">
      <c r="A31" s="39" t="s">
        <v>67</v>
      </c>
      <c r="B31" s="44">
        <f>Inputs!F32</f>
        <v>0</v>
      </c>
      <c r="C31" s="39" t="str">
        <f>IF($B31&lt;&gt;"x","",IFERROR(_xlfn.XLOOKUP($A31,'Staffing sheet 1ST Shift'!$A:$A,'Staffing sheet 1ST Shift'!$I:$I,""),""))</f>
        <v/>
      </c>
      <c r="D31" s="45"/>
      <c r="G31" s="37" t="str">
        <f t="shared" si="5"/>
        <v/>
      </c>
      <c r="H31" s="37" t="s">
        <v>58</v>
      </c>
      <c r="J31" s="37" t="str">
        <f t="shared" si="6"/>
        <v>Good</v>
      </c>
      <c r="K31" s="42">
        <f>_xlfn.XLOOKUP(H31,$G$9:$G$15,$M$9:$M$15,"")</f>
        <v>0</v>
      </c>
      <c r="M31" s="42">
        <f>_xlfn.XLOOKUP(H31,$G$9:$G$15,$N$9:$N$15,"")</f>
        <v>0</v>
      </c>
      <c r="N31" s="37" t="str">
        <f t="shared" si="4"/>
        <v>Balanced Staffing</v>
      </c>
    </row>
    <row r="32" spans="1:14" x14ac:dyDescent="0.2">
      <c r="A32" s="39" t="s">
        <v>69</v>
      </c>
      <c r="B32" s="44">
        <f>Inputs!F33</f>
        <v>0</v>
      </c>
      <c r="C32" s="39" t="str">
        <f>IF($B32&lt;&gt;"x","",IFERROR(_xlfn.XLOOKUP($A32,'Staffing sheet 1ST Shift'!$A:$A,'Staffing sheet 1ST Shift'!$I:$I,""),""))</f>
        <v/>
      </c>
      <c r="D32" s="45"/>
      <c r="H32" s="38"/>
      <c r="I32" s="38"/>
      <c r="J32" s="38"/>
      <c r="K32" s="38"/>
      <c r="L32" s="38"/>
      <c r="M32" s="38"/>
      <c r="N32" s="38"/>
    </row>
    <row r="33" spans="1:4" x14ac:dyDescent="0.2">
      <c r="A33" s="39" t="s">
        <v>70</v>
      </c>
      <c r="B33" s="44">
        <f>Inputs!F34</f>
        <v>0</v>
      </c>
      <c r="C33" s="39" t="str">
        <f>IF($B33&lt;&gt;"x","",IFERROR(_xlfn.XLOOKUP($A33,'Staffing sheet 1ST Shift'!$A:$A,'Staffing sheet 1ST Shift'!$I:$I,""),""))</f>
        <v/>
      </c>
      <c r="D33" s="45"/>
    </row>
    <row r="34" spans="1:4" x14ac:dyDescent="0.2">
      <c r="A34" s="39" t="s">
        <v>71</v>
      </c>
      <c r="B34" s="44">
        <f>Inputs!F35</f>
        <v>0</v>
      </c>
      <c r="C34" s="39" t="str">
        <f>IF($B34&lt;&gt;"x","",IFERROR(_xlfn.XLOOKUP($A34,'Staffing sheet 1ST Shift'!$A:$A,'Staffing sheet 1ST Shift'!$I:$I,""),""))</f>
        <v/>
      </c>
      <c r="D34" s="45"/>
    </row>
    <row r="35" spans="1:4" x14ac:dyDescent="0.2">
      <c r="A35" s="39" t="s">
        <v>72</v>
      </c>
      <c r="B35" s="44">
        <f>Inputs!F36</f>
        <v>0</v>
      </c>
      <c r="C35" s="39" t="str">
        <f>IF($B35&lt;&gt;"x","",IFERROR(_xlfn.XLOOKUP($A35,'Staffing sheet 1ST Shift'!$A:$A,'Staffing sheet 1ST Shift'!$I:$I,""),""))</f>
        <v/>
      </c>
      <c r="D35" s="45"/>
    </row>
    <row r="36" spans="1:4" x14ac:dyDescent="0.2">
      <c r="A36" s="39" t="s">
        <v>143</v>
      </c>
      <c r="B36" s="44">
        <f>Inputs!F37</f>
        <v>0</v>
      </c>
      <c r="C36" s="39" t="str">
        <f>IF($B36&lt;&gt;"x","",IFERROR(_xlfn.XLOOKUP($A36,'Staffing sheet 1ST Shift'!$A:$A,'Staffing sheet 1ST Shift'!$I:$I,""),""))</f>
        <v/>
      </c>
      <c r="D36" s="45"/>
    </row>
    <row r="37" spans="1:4" x14ac:dyDescent="0.2">
      <c r="A37" s="39" t="s">
        <v>142</v>
      </c>
      <c r="B37" s="44">
        <f>Inputs!F38</f>
        <v>0</v>
      </c>
      <c r="C37" s="39" t="str">
        <f>IF($B37&lt;&gt;"x","",IFERROR(_xlfn.XLOOKUP($A37,'Staffing sheet 1ST Shift'!$A:$A,'Staffing sheet 1ST Shift'!$I:$I,""),""))</f>
        <v/>
      </c>
      <c r="D37" s="45"/>
    </row>
    <row r="38" spans="1:4" x14ac:dyDescent="0.2">
      <c r="A38" s="39" t="s">
        <v>177</v>
      </c>
      <c r="B38" s="44">
        <f>Inputs!F39</f>
        <v>0</v>
      </c>
      <c r="C38" s="39" t="str">
        <f>IF($B38&lt;&gt;"x","",IFERROR(_xlfn.XLOOKUP($A38,'Staffing sheet 1ST Shift'!$A:$A,'Staffing sheet 1ST Shift'!$I:$I,""),""))</f>
        <v/>
      </c>
      <c r="D38" s="45"/>
    </row>
    <row r="39" spans="1:4" x14ac:dyDescent="0.2">
      <c r="A39" s="39" t="s">
        <v>178</v>
      </c>
      <c r="B39" s="44">
        <f>Inputs!F40</f>
        <v>0</v>
      </c>
      <c r="C39" s="39" t="str">
        <f>IF($B39&lt;&gt;"x","",IFERROR(_xlfn.XLOOKUP($A39,'Staffing sheet 1ST Shift'!$A:$A,'Staffing sheet 1ST Shift'!$I:$I,""),""))</f>
        <v/>
      </c>
      <c r="D39" s="45"/>
    </row>
    <row r="40" spans="1:4" x14ac:dyDescent="0.2">
      <c r="A40" s="39" t="s">
        <v>73</v>
      </c>
      <c r="B40" s="44">
        <f>Inputs!F41</f>
        <v>0</v>
      </c>
      <c r="C40" s="39" t="str">
        <f>IF($B40&lt;&gt;"x","",IFERROR(_xlfn.XLOOKUP($A40,'Staffing sheet 1ST Shift'!$A:$A,'Staffing sheet 1ST Shift'!$I:$I,""),""))</f>
        <v/>
      </c>
      <c r="D40" s="45"/>
    </row>
    <row r="41" spans="1:4" x14ac:dyDescent="0.2">
      <c r="A41" s="39" t="s">
        <v>179</v>
      </c>
      <c r="B41" s="44">
        <f>Inputs!F42</f>
        <v>0</v>
      </c>
      <c r="C41" s="39" t="str">
        <f>IF($B41&lt;&gt;"x","",IFERROR(_xlfn.XLOOKUP($A41,'Staffing sheet 1ST Shift'!$A:$A,'Staffing sheet 1ST Shift'!$I:$I,""),""))</f>
        <v/>
      </c>
      <c r="D41" s="45"/>
    </row>
    <row r="42" spans="1:4" x14ac:dyDescent="0.2">
      <c r="A42" s="39" t="s">
        <v>74</v>
      </c>
      <c r="B42" s="44">
        <f>Inputs!F43</f>
        <v>0</v>
      </c>
      <c r="C42" s="39" t="str">
        <f>IF($B42&lt;&gt;"x","",IFERROR(_xlfn.XLOOKUP($A42,'Staffing sheet 1ST Shift'!$A:$A,'Staffing sheet 1ST Shift'!$I:$I,""),""))</f>
        <v/>
      </c>
      <c r="D42" s="45"/>
    </row>
    <row r="43" spans="1:4" x14ac:dyDescent="0.2">
      <c r="A43" s="39" t="s">
        <v>180</v>
      </c>
      <c r="B43" s="44">
        <f>Inputs!F44</f>
        <v>0</v>
      </c>
      <c r="C43" s="39" t="str">
        <f>IF($B43&lt;&gt;"x","",IFERROR(_xlfn.XLOOKUP($A43,'Staffing sheet 1ST Shift'!$A:$A,'Staffing sheet 1ST Shift'!$I:$I,""),""))</f>
        <v/>
      </c>
      <c r="D43" s="45"/>
    </row>
    <row r="44" spans="1:4" x14ac:dyDescent="0.2">
      <c r="A44" s="39" t="s">
        <v>207</v>
      </c>
      <c r="B44" s="44">
        <f>Inputs!F45</f>
        <v>0</v>
      </c>
      <c r="C44" s="39" t="str">
        <f>IF($B44&lt;&gt;"x","",IFERROR(_xlfn.XLOOKUP($A44,'Staffing sheet 1ST Shift'!$A:$A,'Staffing sheet 1ST Shift'!$I:$I,""),""))</f>
        <v/>
      </c>
      <c r="D44" s="45"/>
    </row>
    <row r="45" spans="1:4" x14ac:dyDescent="0.2">
      <c r="A45" s="39" t="s">
        <v>204</v>
      </c>
      <c r="B45" s="44">
        <f>Inputs!F46</f>
        <v>0</v>
      </c>
      <c r="C45" s="39"/>
      <c r="D45" s="45"/>
    </row>
    <row r="46" spans="1:4" x14ac:dyDescent="0.2">
      <c r="A46" s="39"/>
      <c r="B46" s="44">
        <f>Inputs!F47</f>
        <v>0</v>
      </c>
      <c r="C46" s="39"/>
      <c r="D46" s="45"/>
    </row>
    <row r="47" spans="1:4" x14ac:dyDescent="0.2">
      <c r="A47" s="39"/>
      <c r="B47" s="44">
        <f>Inputs!F48</f>
        <v>0</v>
      </c>
      <c r="C47" s="39"/>
      <c r="D47" s="45"/>
    </row>
    <row r="48" spans="1:4" x14ac:dyDescent="0.2">
      <c r="A48" s="39"/>
      <c r="B48" s="44">
        <f>Inputs!F49</f>
        <v>0</v>
      </c>
      <c r="C48" s="39"/>
      <c r="D48" s="45"/>
    </row>
    <row r="49" spans="1:4" x14ac:dyDescent="0.2">
      <c r="A49" s="39"/>
      <c r="B49" s="44">
        <f>Inputs!F50</f>
        <v>0</v>
      </c>
      <c r="C49" s="39"/>
      <c r="D49" s="45"/>
    </row>
    <row r="50" spans="1:4" x14ac:dyDescent="0.2">
      <c r="A50" s="39"/>
      <c r="B50" s="44">
        <f>Inputs!F51</f>
        <v>0</v>
      </c>
      <c r="C50" s="39"/>
      <c r="D50" s="45"/>
    </row>
    <row r="51" spans="1:4" x14ac:dyDescent="0.2">
      <c r="A51" s="39"/>
      <c r="B51" s="44"/>
      <c r="C51" s="39"/>
      <c r="D51" s="45"/>
    </row>
    <row r="52" spans="1:4" x14ac:dyDescent="0.2">
      <c r="A52" s="39"/>
      <c r="B52" s="44"/>
      <c r="C52" s="39"/>
      <c r="D52" s="45"/>
    </row>
    <row r="53" spans="1:4" x14ac:dyDescent="0.2">
      <c r="A53" s="39"/>
      <c r="B53" s="44"/>
      <c r="C53" s="39"/>
      <c r="D53" s="45"/>
    </row>
    <row r="54" spans="1:4" x14ac:dyDescent="0.2">
      <c r="A54" s="39"/>
      <c r="B54" s="44"/>
      <c r="C54" s="39"/>
      <c r="D54" s="45"/>
    </row>
    <row r="55" spans="1:4" x14ac:dyDescent="0.2">
      <c r="A55" s="39"/>
      <c r="B55" s="44"/>
      <c r="C55" s="39"/>
      <c r="D55" s="45"/>
    </row>
    <row r="56" spans="1:4" x14ac:dyDescent="0.2">
      <c r="A56" s="39"/>
      <c r="B56" s="44"/>
      <c r="C56" s="39"/>
      <c r="D56" s="45"/>
    </row>
    <row r="57" spans="1:4" x14ac:dyDescent="0.2">
      <c r="A57" s="39"/>
      <c r="B57" s="44"/>
      <c r="C57" s="39"/>
      <c r="D57" s="45"/>
    </row>
    <row r="58" spans="1:4" x14ac:dyDescent="0.2">
      <c r="A58" s="39"/>
      <c r="B58" s="44"/>
      <c r="C58" s="39"/>
      <c r="D58" s="45"/>
    </row>
    <row r="59" spans="1:4" x14ac:dyDescent="0.2">
      <c r="A59" s="39"/>
      <c r="B59" s="44"/>
      <c r="C59" s="39"/>
      <c r="D59" s="45"/>
    </row>
    <row r="60" spans="1:4" x14ac:dyDescent="0.2">
      <c r="A60" s="39"/>
      <c r="B60" s="44"/>
      <c r="C60" s="39"/>
      <c r="D60" s="45"/>
    </row>
    <row r="61" spans="1:4" x14ac:dyDescent="0.25">
      <c r="A61" s="73"/>
      <c r="B61" s="75">
        <f>COUNTIF(B2:B50,"X")</f>
        <v>0</v>
      </c>
      <c r="C61" s="74"/>
      <c r="D61" s="11"/>
    </row>
  </sheetData>
  <conditionalFormatting sqref="J17">
    <cfRule type="containsText" dxfId="2" priority="1" operator="containsText" text="Overstaffed">
      <formula>NOT(ISERROR(SEARCH("Overstaffed",J17)))</formula>
    </cfRule>
    <cfRule type="containsText" dxfId="1" priority="2" operator="containsText" text="Good">
      <formula>NOT(ISERROR(SEARCH("Good",J17)))</formula>
    </cfRule>
    <cfRule type="containsText" dxfId="0" priority="3" operator="containsText" text="Understaffed">
      <formula>NOT(ISERROR(SEARCH("Understaffed",J17)))</formula>
    </cfRule>
  </conditionalFormatting>
  <dataValidations count="6">
    <dataValidation type="list" allowBlank="1" showInputMessage="1" showErrorMessage="1" sqref="WVN983065:WVN983092 JB65561:JB65588 SX65561:SX65588 ACT65561:ACT65588 AMP65561:AMP65588 AWL65561:AWL65588 BGH65561:BGH65588 BQD65561:BQD65588 BZZ65561:BZZ65588 CJV65561:CJV65588 CTR65561:CTR65588 DDN65561:DDN65588 DNJ65561:DNJ65588 DXF65561:DXF65588 EHB65561:EHB65588 EQX65561:EQX65588 FAT65561:FAT65588 FKP65561:FKP65588 FUL65561:FUL65588 GEH65561:GEH65588 GOD65561:GOD65588 GXZ65561:GXZ65588 HHV65561:HHV65588 HRR65561:HRR65588 IBN65561:IBN65588 ILJ65561:ILJ65588 IVF65561:IVF65588 JFB65561:JFB65588 JOX65561:JOX65588 JYT65561:JYT65588 KIP65561:KIP65588 KSL65561:KSL65588 LCH65561:LCH65588 LMD65561:LMD65588 LVZ65561:LVZ65588 MFV65561:MFV65588 MPR65561:MPR65588 MZN65561:MZN65588 NJJ65561:NJJ65588 NTF65561:NTF65588 ODB65561:ODB65588 OMX65561:OMX65588 OWT65561:OWT65588 PGP65561:PGP65588 PQL65561:PQL65588 QAH65561:QAH65588 QKD65561:QKD65588 QTZ65561:QTZ65588 RDV65561:RDV65588 RNR65561:RNR65588 RXN65561:RXN65588 SHJ65561:SHJ65588 SRF65561:SRF65588 TBB65561:TBB65588 TKX65561:TKX65588 TUT65561:TUT65588 UEP65561:UEP65588 UOL65561:UOL65588 UYH65561:UYH65588 VID65561:VID65588 VRZ65561:VRZ65588 WBV65561:WBV65588 WLR65561:WLR65588 WVN65561:WVN65588 JB131097:JB131124 SX131097:SX131124 ACT131097:ACT131124 AMP131097:AMP131124 AWL131097:AWL131124 BGH131097:BGH131124 BQD131097:BQD131124 BZZ131097:BZZ131124 CJV131097:CJV131124 CTR131097:CTR131124 DDN131097:DDN131124 DNJ131097:DNJ131124 DXF131097:DXF131124 EHB131097:EHB131124 EQX131097:EQX131124 FAT131097:FAT131124 FKP131097:FKP131124 FUL131097:FUL131124 GEH131097:GEH131124 GOD131097:GOD131124 GXZ131097:GXZ131124 HHV131097:HHV131124 HRR131097:HRR131124 IBN131097:IBN131124 ILJ131097:ILJ131124 IVF131097:IVF131124 JFB131097:JFB131124 JOX131097:JOX131124 JYT131097:JYT131124 KIP131097:KIP131124 KSL131097:KSL131124 LCH131097:LCH131124 LMD131097:LMD131124 LVZ131097:LVZ131124 MFV131097:MFV131124 MPR131097:MPR131124 MZN131097:MZN131124 NJJ131097:NJJ131124 NTF131097:NTF131124 ODB131097:ODB131124 OMX131097:OMX131124 OWT131097:OWT131124 PGP131097:PGP131124 PQL131097:PQL131124 QAH131097:QAH131124 QKD131097:QKD131124 QTZ131097:QTZ131124 RDV131097:RDV131124 RNR131097:RNR131124 RXN131097:RXN131124 SHJ131097:SHJ131124 SRF131097:SRF131124 TBB131097:TBB131124 TKX131097:TKX131124 TUT131097:TUT131124 UEP131097:UEP131124 UOL131097:UOL131124 UYH131097:UYH131124 VID131097:VID131124 VRZ131097:VRZ131124 WBV131097:WBV131124 WLR131097:WLR131124 WVN131097:WVN131124 JB196633:JB196660 SX196633:SX196660 ACT196633:ACT196660 AMP196633:AMP196660 AWL196633:AWL196660 BGH196633:BGH196660 BQD196633:BQD196660 BZZ196633:BZZ196660 CJV196633:CJV196660 CTR196633:CTR196660 DDN196633:DDN196660 DNJ196633:DNJ196660 DXF196633:DXF196660 EHB196633:EHB196660 EQX196633:EQX196660 FAT196633:FAT196660 FKP196633:FKP196660 FUL196633:FUL196660 GEH196633:GEH196660 GOD196633:GOD196660 GXZ196633:GXZ196660 HHV196633:HHV196660 HRR196633:HRR196660 IBN196633:IBN196660 ILJ196633:ILJ196660 IVF196633:IVF196660 JFB196633:JFB196660 JOX196633:JOX196660 JYT196633:JYT196660 KIP196633:KIP196660 KSL196633:KSL196660 LCH196633:LCH196660 LMD196633:LMD196660 LVZ196633:LVZ196660 MFV196633:MFV196660 MPR196633:MPR196660 MZN196633:MZN196660 NJJ196633:NJJ196660 NTF196633:NTF196660 ODB196633:ODB196660 OMX196633:OMX196660 OWT196633:OWT196660 PGP196633:PGP196660 PQL196633:PQL196660 QAH196633:QAH196660 QKD196633:QKD196660 QTZ196633:QTZ196660 RDV196633:RDV196660 RNR196633:RNR196660 RXN196633:RXN196660 SHJ196633:SHJ196660 SRF196633:SRF196660 TBB196633:TBB196660 TKX196633:TKX196660 TUT196633:TUT196660 UEP196633:UEP196660 UOL196633:UOL196660 UYH196633:UYH196660 VID196633:VID196660 VRZ196633:VRZ196660 WBV196633:WBV196660 WLR196633:WLR196660 WVN196633:WVN196660 JB262169:JB262196 SX262169:SX262196 ACT262169:ACT262196 AMP262169:AMP262196 AWL262169:AWL262196 BGH262169:BGH262196 BQD262169:BQD262196 BZZ262169:BZZ262196 CJV262169:CJV262196 CTR262169:CTR262196 DDN262169:DDN262196 DNJ262169:DNJ262196 DXF262169:DXF262196 EHB262169:EHB262196 EQX262169:EQX262196 FAT262169:FAT262196 FKP262169:FKP262196 FUL262169:FUL262196 GEH262169:GEH262196 GOD262169:GOD262196 GXZ262169:GXZ262196 HHV262169:HHV262196 HRR262169:HRR262196 IBN262169:IBN262196 ILJ262169:ILJ262196 IVF262169:IVF262196 JFB262169:JFB262196 JOX262169:JOX262196 JYT262169:JYT262196 KIP262169:KIP262196 KSL262169:KSL262196 LCH262169:LCH262196 LMD262169:LMD262196 LVZ262169:LVZ262196 MFV262169:MFV262196 MPR262169:MPR262196 MZN262169:MZN262196 NJJ262169:NJJ262196 NTF262169:NTF262196 ODB262169:ODB262196 OMX262169:OMX262196 OWT262169:OWT262196 PGP262169:PGP262196 PQL262169:PQL262196 QAH262169:QAH262196 QKD262169:QKD262196 QTZ262169:QTZ262196 RDV262169:RDV262196 RNR262169:RNR262196 RXN262169:RXN262196 SHJ262169:SHJ262196 SRF262169:SRF262196 TBB262169:TBB262196 TKX262169:TKX262196 TUT262169:TUT262196 UEP262169:UEP262196 UOL262169:UOL262196 UYH262169:UYH262196 VID262169:VID262196 VRZ262169:VRZ262196 WBV262169:WBV262196 WLR262169:WLR262196 WVN262169:WVN262196 JB327705:JB327732 SX327705:SX327732 ACT327705:ACT327732 AMP327705:AMP327732 AWL327705:AWL327732 BGH327705:BGH327732 BQD327705:BQD327732 BZZ327705:BZZ327732 CJV327705:CJV327732 CTR327705:CTR327732 DDN327705:DDN327732 DNJ327705:DNJ327732 DXF327705:DXF327732 EHB327705:EHB327732 EQX327705:EQX327732 FAT327705:FAT327732 FKP327705:FKP327732 FUL327705:FUL327732 GEH327705:GEH327732 GOD327705:GOD327732 GXZ327705:GXZ327732 HHV327705:HHV327732 HRR327705:HRR327732 IBN327705:IBN327732 ILJ327705:ILJ327732 IVF327705:IVF327732 JFB327705:JFB327732 JOX327705:JOX327732 JYT327705:JYT327732 KIP327705:KIP327732 KSL327705:KSL327732 LCH327705:LCH327732 LMD327705:LMD327732 LVZ327705:LVZ327732 MFV327705:MFV327732 MPR327705:MPR327732 MZN327705:MZN327732 NJJ327705:NJJ327732 NTF327705:NTF327732 ODB327705:ODB327732 OMX327705:OMX327732 OWT327705:OWT327732 PGP327705:PGP327732 PQL327705:PQL327732 QAH327705:QAH327732 QKD327705:QKD327732 QTZ327705:QTZ327732 RDV327705:RDV327732 RNR327705:RNR327732 RXN327705:RXN327732 SHJ327705:SHJ327732 SRF327705:SRF327732 TBB327705:TBB327732 TKX327705:TKX327732 TUT327705:TUT327732 UEP327705:UEP327732 UOL327705:UOL327732 UYH327705:UYH327732 VID327705:VID327732 VRZ327705:VRZ327732 WBV327705:WBV327732 WLR327705:WLR327732 WVN327705:WVN327732 JB393241:JB393268 SX393241:SX393268 ACT393241:ACT393268 AMP393241:AMP393268 AWL393241:AWL393268 BGH393241:BGH393268 BQD393241:BQD393268 BZZ393241:BZZ393268 CJV393241:CJV393268 CTR393241:CTR393268 DDN393241:DDN393268 DNJ393241:DNJ393268 DXF393241:DXF393268 EHB393241:EHB393268 EQX393241:EQX393268 FAT393241:FAT393268 FKP393241:FKP393268 FUL393241:FUL393268 GEH393241:GEH393268 GOD393241:GOD393268 GXZ393241:GXZ393268 HHV393241:HHV393268 HRR393241:HRR393268 IBN393241:IBN393268 ILJ393241:ILJ393268 IVF393241:IVF393268 JFB393241:JFB393268 JOX393241:JOX393268 JYT393241:JYT393268 KIP393241:KIP393268 KSL393241:KSL393268 LCH393241:LCH393268 LMD393241:LMD393268 LVZ393241:LVZ393268 MFV393241:MFV393268 MPR393241:MPR393268 MZN393241:MZN393268 NJJ393241:NJJ393268 NTF393241:NTF393268 ODB393241:ODB393268 OMX393241:OMX393268 OWT393241:OWT393268 PGP393241:PGP393268 PQL393241:PQL393268 QAH393241:QAH393268 QKD393241:QKD393268 QTZ393241:QTZ393268 RDV393241:RDV393268 RNR393241:RNR393268 RXN393241:RXN393268 SHJ393241:SHJ393268 SRF393241:SRF393268 TBB393241:TBB393268 TKX393241:TKX393268 TUT393241:TUT393268 UEP393241:UEP393268 UOL393241:UOL393268 UYH393241:UYH393268 VID393241:VID393268 VRZ393241:VRZ393268 WBV393241:WBV393268 WLR393241:WLR393268 WVN393241:WVN393268 JB458777:JB458804 SX458777:SX458804 ACT458777:ACT458804 AMP458777:AMP458804 AWL458777:AWL458804 BGH458777:BGH458804 BQD458777:BQD458804 BZZ458777:BZZ458804 CJV458777:CJV458804 CTR458777:CTR458804 DDN458777:DDN458804 DNJ458777:DNJ458804 DXF458777:DXF458804 EHB458777:EHB458804 EQX458777:EQX458804 FAT458777:FAT458804 FKP458777:FKP458804 FUL458777:FUL458804 GEH458777:GEH458804 GOD458777:GOD458804 GXZ458777:GXZ458804 HHV458777:HHV458804 HRR458777:HRR458804 IBN458777:IBN458804 ILJ458777:ILJ458804 IVF458777:IVF458804 JFB458777:JFB458804 JOX458777:JOX458804 JYT458777:JYT458804 KIP458777:KIP458804 KSL458777:KSL458804 LCH458777:LCH458804 LMD458777:LMD458804 LVZ458777:LVZ458804 MFV458777:MFV458804 MPR458777:MPR458804 MZN458777:MZN458804 NJJ458777:NJJ458804 NTF458777:NTF458804 ODB458777:ODB458804 OMX458777:OMX458804 OWT458777:OWT458804 PGP458777:PGP458804 PQL458777:PQL458804 QAH458777:QAH458804 QKD458777:QKD458804 QTZ458777:QTZ458804 RDV458777:RDV458804 RNR458777:RNR458804 RXN458777:RXN458804 SHJ458777:SHJ458804 SRF458777:SRF458804 TBB458777:TBB458804 TKX458777:TKX458804 TUT458777:TUT458804 UEP458777:UEP458804 UOL458777:UOL458804 UYH458777:UYH458804 VID458777:VID458804 VRZ458777:VRZ458804 WBV458777:WBV458804 WLR458777:WLR458804 WVN458777:WVN458804 JB524313:JB524340 SX524313:SX524340 ACT524313:ACT524340 AMP524313:AMP524340 AWL524313:AWL524340 BGH524313:BGH524340 BQD524313:BQD524340 BZZ524313:BZZ524340 CJV524313:CJV524340 CTR524313:CTR524340 DDN524313:DDN524340 DNJ524313:DNJ524340 DXF524313:DXF524340 EHB524313:EHB524340 EQX524313:EQX524340 FAT524313:FAT524340 FKP524313:FKP524340 FUL524313:FUL524340 GEH524313:GEH524340 GOD524313:GOD524340 GXZ524313:GXZ524340 HHV524313:HHV524340 HRR524313:HRR524340 IBN524313:IBN524340 ILJ524313:ILJ524340 IVF524313:IVF524340 JFB524313:JFB524340 JOX524313:JOX524340 JYT524313:JYT524340 KIP524313:KIP524340 KSL524313:KSL524340 LCH524313:LCH524340 LMD524313:LMD524340 LVZ524313:LVZ524340 MFV524313:MFV524340 MPR524313:MPR524340 MZN524313:MZN524340 NJJ524313:NJJ524340 NTF524313:NTF524340 ODB524313:ODB524340 OMX524313:OMX524340 OWT524313:OWT524340 PGP524313:PGP524340 PQL524313:PQL524340 QAH524313:QAH524340 QKD524313:QKD524340 QTZ524313:QTZ524340 RDV524313:RDV524340 RNR524313:RNR524340 RXN524313:RXN524340 SHJ524313:SHJ524340 SRF524313:SRF524340 TBB524313:TBB524340 TKX524313:TKX524340 TUT524313:TUT524340 UEP524313:UEP524340 UOL524313:UOL524340 UYH524313:UYH524340 VID524313:VID524340 VRZ524313:VRZ524340 WBV524313:WBV524340 WLR524313:WLR524340 WVN524313:WVN524340 JB589849:JB589876 SX589849:SX589876 ACT589849:ACT589876 AMP589849:AMP589876 AWL589849:AWL589876 BGH589849:BGH589876 BQD589849:BQD589876 BZZ589849:BZZ589876 CJV589849:CJV589876 CTR589849:CTR589876 DDN589849:DDN589876 DNJ589849:DNJ589876 DXF589849:DXF589876 EHB589849:EHB589876 EQX589849:EQX589876 FAT589849:FAT589876 FKP589849:FKP589876 FUL589849:FUL589876 GEH589849:GEH589876 GOD589849:GOD589876 GXZ589849:GXZ589876 HHV589849:HHV589876 HRR589849:HRR589876 IBN589849:IBN589876 ILJ589849:ILJ589876 IVF589849:IVF589876 JFB589849:JFB589876 JOX589849:JOX589876 JYT589849:JYT589876 KIP589849:KIP589876 KSL589849:KSL589876 LCH589849:LCH589876 LMD589849:LMD589876 LVZ589849:LVZ589876 MFV589849:MFV589876 MPR589849:MPR589876 MZN589849:MZN589876 NJJ589849:NJJ589876 NTF589849:NTF589876 ODB589849:ODB589876 OMX589849:OMX589876 OWT589849:OWT589876 PGP589849:PGP589876 PQL589849:PQL589876 QAH589849:QAH589876 QKD589849:QKD589876 QTZ589849:QTZ589876 RDV589849:RDV589876 RNR589849:RNR589876 RXN589849:RXN589876 SHJ589849:SHJ589876 SRF589849:SRF589876 TBB589849:TBB589876 TKX589849:TKX589876 TUT589849:TUT589876 UEP589849:UEP589876 UOL589849:UOL589876 UYH589849:UYH589876 VID589849:VID589876 VRZ589849:VRZ589876 WBV589849:WBV589876 WLR589849:WLR589876 WVN589849:WVN589876 JB655385:JB655412 SX655385:SX655412 ACT655385:ACT655412 AMP655385:AMP655412 AWL655385:AWL655412 BGH655385:BGH655412 BQD655385:BQD655412 BZZ655385:BZZ655412 CJV655385:CJV655412 CTR655385:CTR655412 DDN655385:DDN655412 DNJ655385:DNJ655412 DXF655385:DXF655412 EHB655385:EHB655412 EQX655385:EQX655412 FAT655385:FAT655412 FKP655385:FKP655412 FUL655385:FUL655412 GEH655385:GEH655412 GOD655385:GOD655412 GXZ655385:GXZ655412 HHV655385:HHV655412 HRR655385:HRR655412 IBN655385:IBN655412 ILJ655385:ILJ655412 IVF655385:IVF655412 JFB655385:JFB655412 JOX655385:JOX655412 JYT655385:JYT655412 KIP655385:KIP655412 KSL655385:KSL655412 LCH655385:LCH655412 LMD655385:LMD655412 LVZ655385:LVZ655412 MFV655385:MFV655412 MPR655385:MPR655412 MZN655385:MZN655412 NJJ655385:NJJ655412 NTF655385:NTF655412 ODB655385:ODB655412 OMX655385:OMX655412 OWT655385:OWT655412 PGP655385:PGP655412 PQL655385:PQL655412 QAH655385:QAH655412 QKD655385:QKD655412 QTZ655385:QTZ655412 RDV655385:RDV655412 RNR655385:RNR655412 RXN655385:RXN655412 SHJ655385:SHJ655412 SRF655385:SRF655412 TBB655385:TBB655412 TKX655385:TKX655412 TUT655385:TUT655412 UEP655385:UEP655412 UOL655385:UOL655412 UYH655385:UYH655412 VID655385:VID655412 VRZ655385:VRZ655412 WBV655385:WBV655412 WLR655385:WLR655412 WVN655385:WVN655412 JB720921:JB720948 SX720921:SX720948 ACT720921:ACT720948 AMP720921:AMP720948 AWL720921:AWL720948 BGH720921:BGH720948 BQD720921:BQD720948 BZZ720921:BZZ720948 CJV720921:CJV720948 CTR720921:CTR720948 DDN720921:DDN720948 DNJ720921:DNJ720948 DXF720921:DXF720948 EHB720921:EHB720948 EQX720921:EQX720948 FAT720921:FAT720948 FKP720921:FKP720948 FUL720921:FUL720948 GEH720921:GEH720948 GOD720921:GOD720948 GXZ720921:GXZ720948 HHV720921:HHV720948 HRR720921:HRR720948 IBN720921:IBN720948 ILJ720921:ILJ720948 IVF720921:IVF720948 JFB720921:JFB720948 JOX720921:JOX720948 JYT720921:JYT720948 KIP720921:KIP720948 KSL720921:KSL720948 LCH720921:LCH720948 LMD720921:LMD720948 LVZ720921:LVZ720948 MFV720921:MFV720948 MPR720921:MPR720948 MZN720921:MZN720948 NJJ720921:NJJ720948 NTF720921:NTF720948 ODB720921:ODB720948 OMX720921:OMX720948 OWT720921:OWT720948 PGP720921:PGP720948 PQL720921:PQL720948 QAH720921:QAH720948 QKD720921:QKD720948 QTZ720921:QTZ720948 RDV720921:RDV720948 RNR720921:RNR720948 RXN720921:RXN720948 SHJ720921:SHJ720948 SRF720921:SRF720948 TBB720921:TBB720948 TKX720921:TKX720948 TUT720921:TUT720948 UEP720921:UEP720948 UOL720921:UOL720948 UYH720921:UYH720948 VID720921:VID720948 VRZ720921:VRZ720948 WBV720921:WBV720948 WLR720921:WLR720948 WVN720921:WVN720948 JB786457:JB786484 SX786457:SX786484 ACT786457:ACT786484 AMP786457:AMP786484 AWL786457:AWL786484 BGH786457:BGH786484 BQD786457:BQD786484 BZZ786457:BZZ786484 CJV786457:CJV786484 CTR786457:CTR786484 DDN786457:DDN786484 DNJ786457:DNJ786484 DXF786457:DXF786484 EHB786457:EHB786484 EQX786457:EQX786484 FAT786457:FAT786484 FKP786457:FKP786484 FUL786457:FUL786484 GEH786457:GEH786484 GOD786457:GOD786484 GXZ786457:GXZ786484 HHV786457:HHV786484 HRR786457:HRR786484 IBN786457:IBN786484 ILJ786457:ILJ786484 IVF786457:IVF786484 JFB786457:JFB786484 JOX786457:JOX786484 JYT786457:JYT786484 KIP786457:KIP786484 KSL786457:KSL786484 LCH786457:LCH786484 LMD786457:LMD786484 LVZ786457:LVZ786484 MFV786457:MFV786484 MPR786457:MPR786484 MZN786457:MZN786484 NJJ786457:NJJ786484 NTF786457:NTF786484 ODB786457:ODB786484 OMX786457:OMX786484 OWT786457:OWT786484 PGP786457:PGP786484 PQL786457:PQL786484 QAH786457:QAH786484 QKD786457:QKD786484 QTZ786457:QTZ786484 RDV786457:RDV786484 RNR786457:RNR786484 RXN786457:RXN786484 SHJ786457:SHJ786484 SRF786457:SRF786484 TBB786457:TBB786484 TKX786457:TKX786484 TUT786457:TUT786484 UEP786457:UEP786484 UOL786457:UOL786484 UYH786457:UYH786484 VID786457:VID786484 VRZ786457:VRZ786484 WBV786457:WBV786484 WLR786457:WLR786484 WVN786457:WVN786484 JB851993:JB852020 SX851993:SX852020 ACT851993:ACT852020 AMP851993:AMP852020 AWL851993:AWL852020 BGH851993:BGH852020 BQD851993:BQD852020 BZZ851993:BZZ852020 CJV851993:CJV852020 CTR851993:CTR852020 DDN851993:DDN852020 DNJ851993:DNJ852020 DXF851993:DXF852020 EHB851993:EHB852020 EQX851993:EQX852020 FAT851993:FAT852020 FKP851993:FKP852020 FUL851993:FUL852020 GEH851993:GEH852020 GOD851993:GOD852020 GXZ851993:GXZ852020 HHV851993:HHV852020 HRR851993:HRR852020 IBN851993:IBN852020 ILJ851993:ILJ852020 IVF851993:IVF852020 JFB851993:JFB852020 JOX851993:JOX852020 JYT851993:JYT852020 KIP851993:KIP852020 KSL851993:KSL852020 LCH851993:LCH852020 LMD851993:LMD852020 LVZ851993:LVZ852020 MFV851993:MFV852020 MPR851993:MPR852020 MZN851993:MZN852020 NJJ851993:NJJ852020 NTF851993:NTF852020 ODB851993:ODB852020 OMX851993:OMX852020 OWT851993:OWT852020 PGP851993:PGP852020 PQL851993:PQL852020 QAH851993:QAH852020 QKD851993:QKD852020 QTZ851993:QTZ852020 RDV851993:RDV852020 RNR851993:RNR852020 RXN851993:RXN852020 SHJ851993:SHJ852020 SRF851993:SRF852020 TBB851993:TBB852020 TKX851993:TKX852020 TUT851993:TUT852020 UEP851993:UEP852020 UOL851993:UOL852020 UYH851993:UYH852020 VID851993:VID852020 VRZ851993:VRZ852020 WBV851993:WBV852020 WLR851993:WLR852020 WVN851993:WVN852020 JB917529:JB917556 SX917529:SX917556 ACT917529:ACT917556 AMP917529:AMP917556 AWL917529:AWL917556 BGH917529:BGH917556 BQD917529:BQD917556 BZZ917529:BZZ917556 CJV917529:CJV917556 CTR917529:CTR917556 DDN917529:DDN917556 DNJ917529:DNJ917556 DXF917529:DXF917556 EHB917529:EHB917556 EQX917529:EQX917556 FAT917529:FAT917556 FKP917529:FKP917556 FUL917529:FUL917556 GEH917529:GEH917556 GOD917529:GOD917556 GXZ917529:GXZ917556 HHV917529:HHV917556 HRR917529:HRR917556 IBN917529:IBN917556 ILJ917529:ILJ917556 IVF917529:IVF917556 JFB917529:JFB917556 JOX917529:JOX917556 JYT917529:JYT917556 KIP917529:KIP917556 KSL917529:KSL917556 LCH917529:LCH917556 LMD917529:LMD917556 LVZ917529:LVZ917556 MFV917529:MFV917556 MPR917529:MPR917556 MZN917529:MZN917556 NJJ917529:NJJ917556 NTF917529:NTF917556 ODB917529:ODB917556 OMX917529:OMX917556 OWT917529:OWT917556 PGP917529:PGP917556 PQL917529:PQL917556 QAH917529:QAH917556 QKD917529:QKD917556 QTZ917529:QTZ917556 RDV917529:RDV917556 RNR917529:RNR917556 RXN917529:RXN917556 SHJ917529:SHJ917556 SRF917529:SRF917556 TBB917529:TBB917556 TKX917529:TKX917556 TUT917529:TUT917556 UEP917529:UEP917556 UOL917529:UOL917556 UYH917529:UYH917556 VID917529:VID917556 VRZ917529:VRZ917556 WBV917529:WBV917556 WLR917529:WLR917556 WVN917529:WVN917556 JB983065:JB983092 SX983065:SX983092 ACT983065:ACT983092 AMP983065:AMP983092 AWL983065:AWL983092 BGH983065:BGH983092 BQD983065:BQD983092 BZZ983065:BZZ983092 CJV983065:CJV983092 CTR983065:CTR983092 DDN983065:DDN983092 DNJ983065:DNJ983092 DXF983065:DXF983092 EHB983065:EHB983092 EQX983065:EQX983092 FAT983065:FAT983092 FKP983065:FKP983092 FUL983065:FUL983092 GEH983065:GEH983092 GOD983065:GOD983092 GXZ983065:GXZ983092 HHV983065:HHV983092 HRR983065:HRR983092 IBN983065:IBN983092 ILJ983065:ILJ983092 IVF983065:IVF983092 JFB983065:JFB983092 JOX983065:JOX983092 JYT983065:JYT983092 KIP983065:KIP983092 KSL983065:KSL983092 LCH983065:LCH983092 LMD983065:LMD983092 LVZ983065:LVZ983092 MFV983065:MFV983092 MPR983065:MPR983092 MZN983065:MZN983092 NJJ983065:NJJ983092 NTF983065:NTF983092 ODB983065:ODB983092 OMX983065:OMX983092 OWT983065:OWT983092 PGP983065:PGP983092 PQL983065:PQL983092 QAH983065:QAH983092 QKD983065:QKD983092 QTZ983065:QTZ983092 RDV983065:RDV983092 RNR983065:RNR983092 RXN983065:RXN983092 SHJ983065:SHJ983092 SRF983065:SRF983092 TBB983065:TBB983092 TKX983065:TKX983092 TUT983065:TUT983092 UEP983065:UEP983092 UOL983065:UOL983092 UYH983065:UYH983092 VID983065:VID983092 VRZ983065:VRZ983092 WBV983065:WBV983092 WLR983065:WLR983092 WVN1:WVN34 WLR1:WLR34 WBV1:WBV34 VRZ1:VRZ34 VID1:VID34 UYH1:UYH34 UOL1:UOL34 UEP1:UEP34 TUT1:TUT34 TKX1:TKX34 TBB1:TBB34 SRF1:SRF34 SHJ1:SHJ34 RXN1:RXN34 RNR1:RNR34 RDV1:RDV34 QTZ1:QTZ34 QKD1:QKD34 QAH1:QAH34 PQL1:PQL34 PGP1:PGP34 OWT1:OWT34 OMX1:OMX34 ODB1:ODB34 NTF1:NTF34 NJJ1:NJJ34 MZN1:MZN34 MPR1:MPR34 MFV1:MFV34 LVZ1:LVZ34 LMD1:LMD34 LCH1:LCH34 KSL1:KSL34 KIP1:KIP34 JYT1:JYT34 JOX1:JOX34 JFB1:JFB34 IVF1:IVF34 ILJ1:ILJ34 IBN1:IBN34 HRR1:HRR34 HHV1:HHV34 GXZ1:GXZ34 GOD1:GOD34 GEH1:GEH34 FUL1:FUL34 FKP1:FKP34 FAT1:FAT34 EQX1:EQX34 EHB1:EHB34 DXF1:DXF34 DNJ1:DNJ34 DDN1:DDN34 CTR1:CTR34 CJV1:CJV34 BZZ1:BZZ34 BQD1:BQD34 BGH1:BGH34 AWL1:AWL34 AMP1:AMP34 ACT1:ACT34 SX1:SX34 JB1:JB34 B65561:B65588 B131097:B131124 B196633:B196660 B262169:B262196 B327705:B327732 B393241:B393268 B458777:B458804 B524313:B524340 B589849:B589876 B655385:B655412 B720921:B720948 B786457:B786484 B851993:B852020 B917529:B917556 B983065:B983092 B1" xr:uid="{1CC7598A-C000-4646-8423-8FAFF9E82D21}">
      <formula1>#REF!</formula1>
    </dataValidation>
    <dataValidation type="list" allowBlank="1" showInputMessage="1" showErrorMessage="1" sqref="C65561:D65588 C983065:D983092 C917529:D917556 C851993:D852020 C786457:D786484 C720921:D720948 C655385:D655412 C589849:D589876 C524313:D524340 C458777:D458804 C393241:D393268 C327705:D327732 C262169:D262196 C196633:D196660 C131097:D131124" xr:uid="{F4E25A44-BCE6-4FE3-85BF-C9BC66C43997}">
      <formula1>$O$1:$O$6</formula1>
    </dataValidation>
    <dataValidation type="list" allowBlank="1" showInputMessage="1" showErrorMessage="1" sqref="D3:D50" xr:uid="{93244274-20D3-4270-BF02-A6EEE07B196E}">
      <formula1>$V$1:$V$9</formula1>
    </dataValidation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SY1:SY34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JC1:JC34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" xr:uid="{0305C507-2669-4718-B1EE-E244BFD6F82C}">
      <formula1>$K$1:$K$6</formula1>
    </dataValidation>
    <dataValidation type="list" allowBlank="1" showInputMessage="1" showErrorMessage="1" sqref="D51:D60" xr:uid="{D6ACAB5E-35FF-4664-9F78-132653FEE12F}">
      <formula1>$H$2:$H$9</formula1>
    </dataValidation>
    <dataValidation type="list" allowBlank="1" showInputMessage="1" showErrorMessage="1" sqref="D2" xr:uid="{63FFCC71-E3A3-4A57-8E02-9151CC75D642}">
      <formula1>$V$1:$V$10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C11" sqref="C11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09" t="s">
        <v>76</v>
      </c>
      <c r="F2" s="109"/>
      <c r="G2" s="10"/>
      <c r="H2" s="109" t="s">
        <v>77</v>
      </c>
      <c r="I2" s="109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10">
        <f>C27*C4</f>
        <v>0</v>
      </c>
      <c r="F3" s="111"/>
      <c r="G3" s="10"/>
      <c r="H3" s="110">
        <f>D27*C4</f>
        <v>0</v>
      </c>
      <c r="I3" s="111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12"/>
      <c r="F4" s="113"/>
      <c r="G4" s="10"/>
      <c r="H4" s="112"/>
      <c r="I4" s="113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9">
        <f>Inputs!B8</f>
        <v>0</v>
      </c>
      <c r="D9" s="13"/>
      <c r="E9" s="15"/>
      <c r="F9" s="105" t="s">
        <v>84</v>
      </c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6"/>
      <c r="R9" s="10"/>
      <c r="S9" s="15"/>
      <c r="T9" s="105" t="s">
        <v>85</v>
      </c>
      <c r="U9" s="105"/>
      <c r="V9" s="105"/>
      <c r="W9" s="105"/>
      <c r="X9" s="105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9">
        <f>Inputs!B9</f>
        <v>0</v>
      </c>
      <c r="D10" s="17"/>
      <c r="E10" s="18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9"/>
      <c r="R10" s="10"/>
      <c r="S10" s="18"/>
      <c r="T10" s="106"/>
      <c r="U10" s="106"/>
      <c r="V10" s="106"/>
      <c r="W10" s="106"/>
      <c r="X10" s="106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9">
        <f>Inputs!B10</f>
        <v>0</v>
      </c>
      <c r="D11" s="17"/>
      <c r="E11" s="18"/>
      <c r="F11" s="100" t="s">
        <v>79</v>
      </c>
      <c r="G11" s="100" t="s">
        <v>88</v>
      </c>
      <c r="H11" s="20"/>
      <c r="I11" s="101" t="s">
        <v>78</v>
      </c>
      <c r="J11" s="101" t="s">
        <v>89</v>
      </c>
      <c r="K11" s="21"/>
      <c r="L11" s="107" t="s">
        <v>90</v>
      </c>
      <c r="M11" s="107" t="s">
        <v>91</v>
      </c>
      <c r="N11" s="21"/>
      <c r="O11" s="108" t="s">
        <v>92</v>
      </c>
      <c r="P11" s="108" t="s">
        <v>93</v>
      </c>
      <c r="Q11" s="19"/>
      <c r="R11" s="10"/>
      <c r="S11" s="18"/>
      <c r="T11" s="100" t="s">
        <v>94</v>
      </c>
      <c r="U11" s="100" t="s">
        <v>95</v>
      </c>
      <c r="V11" s="20"/>
      <c r="W11" s="101" t="s">
        <v>96</v>
      </c>
      <c r="X11" s="101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00"/>
      <c r="G12" s="100"/>
      <c r="H12" s="20"/>
      <c r="I12" s="101"/>
      <c r="J12" s="101"/>
      <c r="K12" s="21"/>
      <c r="L12" s="107"/>
      <c r="M12" s="107"/>
      <c r="N12" s="21"/>
      <c r="O12" s="108"/>
      <c r="P12" s="108"/>
      <c r="Q12" s="19"/>
      <c r="R12" s="10"/>
      <c r="S12" s="18"/>
      <c r="T12" s="100"/>
      <c r="U12" s="100"/>
      <c r="V12" s="20"/>
      <c r="W12" s="101"/>
      <c r="X12" s="101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02">
        <f>C6</f>
        <v>0</v>
      </c>
      <c r="G13" s="103">
        <f>C6/(25*C4)</f>
        <v>0</v>
      </c>
      <c r="H13" s="10"/>
      <c r="I13" s="115">
        <f>C5</f>
        <v>0</v>
      </c>
      <c r="J13" s="99">
        <f>C5/(185*C4)</f>
        <v>0</v>
      </c>
      <c r="K13" s="23"/>
      <c r="L13" s="114">
        <f>C7</f>
        <v>0</v>
      </c>
      <c r="M13" s="114">
        <f>C7/(25*C4)</f>
        <v>0</v>
      </c>
      <c r="N13" s="23"/>
      <c r="O13" s="116">
        <f>C8</f>
        <v>0</v>
      </c>
      <c r="P13" s="116">
        <f>C8/(1*C4)</f>
        <v>0</v>
      </c>
      <c r="Q13" s="19"/>
      <c r="R13" s="10"/>
      <c r="S13" s="18"/>
      <c r="T13" s="102">
        <f>(C9="YES")*('Percentage Data'!R21)+(C10="YES")*('Percentage Data'!R22)+(C11="YES")*('Percentage Data'!R23)</f>
        <v>0</v>
      </c>
      <c r="U13" s="103">
        <f>((((C9="YES")*('Percentage Data'!R21)+(C10="YES")*('Percentage Data'!R22)+(C11="YES")*('Percentage Data'!R23))/C4)/C14)/2</f>
        <v>0</v>
      </c>
      <c r="V13" s="10"/>
      <c r="W13" s="104">
        <f>(C9="YES")*('Percentage Data'!R21)+(C10="YES")*('Percentage Data'!R22)+(C11="YES")*('Percentage Data'!R23)</f>
        <v>0</v>
      </c>
      <c r="X13" s="99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02"/>
      <c r="G14" s="103"/>
      <c r="H14" s="10"/>
      <c r="I14" s="104"/>
      <c r="J14" s="99"/>
      <c r="K14" s="23"/>
      <c r="L14" s="114"/>
      <c r="M14" s="114"/>
      <c r="N14" s="23"/>
      <c r="O14" s="116"/>
      <c r="P14" s="116"/>
      <c r="Q14" s="19"/>
      <c r="R14" s="10"/>
      <c r="S14" s="18"/>
      <c r="T14" s="102"/>
      <c r="U14" s="103" t="e">
        <f>((((#REF!="YES")*('Percentage Data'!AC4)+(#REF!="YES")*('Percentage Data'!AC5)+(#REF!="YES")*('Percentage Data'!AC6))/#REF!)/#REF!)/2</f>
        <v>#REF!</v>
      </c>
      <c r="V14" s="10"/>
      <c r="W14" s="104"/>
      <c r="X14" s="99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206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Sheet'!H9</f>
        <v>0</v>
      </c>
      <c r="D20" s="34">
        <f>U13/2</f>
        <v>0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Sheet'!H10</f>
        <v>0</v>
      </c>
      <c r="D21" s="34">
        <f>U13/2</f>
        <v>0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Sheet'!H11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Sheet'!H12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Sheet'!H13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Sheet'!H14</f>
        <v>0</v>
      </c>
      <c r="D25" s="34">
        <f>P13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Sheet'!H15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91">
        <f>SUM(D20:D26)</f>
        <v>0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38745-5CDC-4063-B06E-57AA7D3B27C3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topLeftCell="A3" workbookViewId="0">
      <selection activeCell="I42" sqref="I42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hidden="1" customWidth="1"/>
    <col min="12" max="12" width="15.5703125" style="38" hidden="1" customWidth="1"/>
    <col min="13" max="13" width="9.140625" style="38" hidden="1" customWidth="1"/>
    <col min="14" max="14" width="21.7109375" style="38" bestFit="1" customWidth="1"/>
    <col min="15" max="15" width="11.140625" style="38" customWidth="1"/>
    <col min="16" max="17" width="9.140625" style="38"/>
    <col min="18" max="19" width="9.140625" style="38" hidden="1" customWidth="1"/>
    <col min="20" max="20" width="0" style="38" hidden="1" customWidth="1"/>
    <col min="21" max="21" width="13.28515625" style="38" hidden="1" customWidth="1"/>
    <col min="22" max="23" width="12.5703125" style="38" hidden="1" customWidth="1"/>
    <col min="24" max="24" width="14.7109375" style="38" hidden="1" customWidth="1"/>
    <col min="25" max="25" width="16" style="38" hidden="1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Sheet'!$A:$B,2,FALSE),"")</f>
        <v>0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Sheet'!$G:$G,'Crew Sheet'!$K:$K),0)),"Loading",
IF(AND(COUNTIF($D3,"*R*"),COUNTIFS($I$1:I2,"Receiving",$T$1:T2,"x")&lt;ROUNDUP(SUM('Crew Sheet'!$K$10:$K$11),0)),"Receiving",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Sheet'!$A:$B,2,FALSE),"")</f>
        <v>0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Sheet'!$G:$G,'Crew Sheet'!$K:$K),0)),"Loading",
IF(AND(COUNTIF($D4,"*R*"),COUNTIFS($I$1:I3,"Receiving",$T$1:T3,"x")&lt;ROUNDUP(SUM('Crew Sheet'!$K$10:$K$11),0)),"Receiving",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Sheet'!$A:$B,2,FALSE),"")</f>
        <v>0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Sheet'!$G:$G,'Crew Sheet'!$K:$K),0)),"Loading",
IF(AND(COUNTIF($D5,"*R*"),COUNTIFS($I$1:I4,"Receiving",$T$1:T4,"x")&lt;ROUNDUP(SUM('Crew Sheet'!$K$10:$K$11),0)),"Receiving",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Sheet'!$A:$B,2,FALSE),"")</f>
        <v>0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Sheet'!$G:$G,'Crew Sheet'!$K:$K),0)),"Loading",
IF(AND(COUNTIF($D6,"*R*"),COUNTIFS($I$1:I5,"Receiving",$T$1:T5,"x")&lt;ROUNDUP(SUM('Crew Sheet'!$K$10:$K$11),0)),"Receiving",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Sheet'!$A:$B,2,FALSE),"")</f>
        <v>0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Sheet'!$G:$G,'Crew Sheet'!$K:$K),0)),"Loading",
IF(AND(COUNTIF($D7,"*R*"),COUNTIFS($I$1:I6,"Receiving",$T$1:T6,"x")&lt;ROUNDUP(SUM('Crew Sheet'!$K$10:$K$11),0)),"Receiving",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Sheet'!$A:$B,2,FALSE),"")</f>
        <v>0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Sheet'!$G:$G,'Crew Sheet'!$K:$K),0)),"Loading",
IF(AND(COUNTIF($D8,"*R*"),COUNTIFS($I$1:I7,"Receiving",$T$1:T7,"x")&lt;ROUNDUP(SUM('Crew Sheet'!$K$10:$K$11),0)),"Receiving",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Sheet'!$A:$B,2,FALSE),"")</f>
        <v>0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Sheet'!$G:$G,'Crew Sheet'!$K:$K),0)),"Loading",
IF(AND(COUNTIF($D9,"*R*"),COUNTIFS($I$1:I8,"Receiving",$T$1:T8,"x")&lt;ROUNDUP(SUM('Crew Sheet'!$K$10:$K$11),0)),"Receiving",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Sheet'!$A:$B,2,FALSE),"")</f>
        <v>0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Sheet'!$G:$G,'Crew Sheet'!$K:$K),0)),"Loading",
IF(AND(COUNTIF($D10,"*R*"),COUNTIFS($I$1:I9,"Receiving",$T$1:T9,"x")&lt;ROUNDUP(SUM('Crew Sheet'!$K$10:$K$11),0)),"Receiving",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Sheet'!$A:$B,2,FALSE),"")</f>
        <v>0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Sheet'!$G:$G,'Crew Sheet'!$K:$K),0)),"Loading",
IF(AND(COUNTIF($D11,"*R*"),COUNTIFS($I$1:I10,"Receiving",$T$1:T10,"x")&lt;ROUNDUP(SUM('Crew Sheet'!$K$10:$K$11),0)),"Receiving",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Sheet'!$A:$B,2,FALSE),"")</f>
        <v>0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Sheet'!$G:$G,'Crew Sheet'!$K:$K),0)),"Loading",
IF(AND(COUNTIF($D12,"*R*"),COUNTIFS($I$1:I11,"Receiving",$T$1:T11,"x")&lt;ROUNDUP(SUM('Crew Sheet'!$K$10:$K$11),0)),"Receiving",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Sheet'!$A:$B,2,FALSE),"")</f>
        <v>0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Sheet'!$G:$G,'Crew Sheet'!$K:$K),0)),"Loading",
IF(AND(COUNTIF($D13,"*R*"),COUNTIFS($I$1:I12,"Receiving",$T$1:T12,"x")&lt;ROUNDUP(SUM('Crew Sheet'!$K$10:$K$11),0)),"Receiving",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Sheet'!$A:$B,2,FALSE),"")</f>
        <v>0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Sheet'!$G:$G,'Crew Sheet'!$K:$K),0)),"Loading",
IF(AND(COUNTIF($D14,"*R*"),COUNTIFS($I$1:I13,"Receiving",$T$1:T13,"x")&lt;ROUNDUP(SUM('Crew Sheet'!$K$10:$K$11),0)),"Receiving",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209</v>
      </c>
      <c r="T14" s="38">
        <f>IFERROR(VLOOKUP($A14,'Crew Sheet'!$A:$B,2,FALSE),"")</f>
        <v>0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Sheet'!$G:$G,'Crew Sheet'!$K:$K),0)),"Loading",
IF(AND(COUNTIF($D15,"*R*"),COUNTIFS($I$1:I14,"Receiving",$T$1:T14,"x")&lt;ROUNDUP(SUM('Crew Sheet'!$K$10:$K$11),0)),"Receiving",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Sheet'!$A:$B,2,FALSE),"")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Sheet'!$G:$G,'Crew Sheet'!$K:$K),0)),"Loading",
IF(AND(COUNTIF($D16,"*R*"),COUNTIFS($I$1:I15,"Receiving",$T$1:T15,"x")&lt;ROUNDUP(SUM('Crew Sheet'!$K$10:$K$11),0)),"Receiving",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Sheet'!$A:$B,2,FALSE),"")</f>
        <v>0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Sheet'!$G:$G,'Crew Sheet'!$K:$K),0)),"Loading",
IF(AND(COUNTIF($D17,"*R*"),COUNTIFS($I$1:I16,"Receiving",$T$1:T16,"x")&lt;ROUNDUP(SUM('Crew Sheet'!$K$10:$K$11),0)),"Receiving",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Sheet'!$A:$B,2,FALSE),"")</f>
        <v>0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Sheet'!$G:$G,'Crew Sheet'!$K:$K),0)),"Loading",
IF(AND(COUNTIF($D18,"*R*"),COUNTIFS($I$1:I17,"Receiving",$T$1:T17,"x")&lt;ROUNDUP(SUM('Crew Sheet'!$K$10:$K$11),0)),"Receiving",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Sheet'!$A:$B,2,FALSE),"")</f>
        <v>0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Sheet'!$G:$G,'Crew Sheet'!$K:$K),0)),"Loading",
IF(AND(COUNTIF($D19,"*R*"),COUNTIFS($I$1:I18,"Receiving",$T$1:T18,"x")&lt;ROUNDUP(SUM('Crew Sheet'!$K$10:$K$11),0)),"Receiving",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Sheet'!$A:$B,2,FALSE),"")</f>
        <v>0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Sheet'!$G:$G,'Crew Sheet'!$K:$K),0)),"Loading",
IF(AND(COUNTIF($D20,"*R*"),COUNTIFS($I$1:I19,"Receiving",$T$1:T19,"x")&lt;ROUNDUP(SUM('Crew Sheet'!$K$10:$K$11),0)),"Receiving",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Sheet'!$A:$B,2,FALSE),"")</f>
        <v>0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Sheet'!$G:$G,'Crew Sheet'!$K:$K),0)),"Loading",
IF(AND(COUNTIF($D21,"*R*"),COUNTIFS($I$1:I20,"Receiving",$T$1:T20,"x")&lt;ROUNDUP(SUM('Crew Sheet'!$K$10:$K$11),0)),"Receiving",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Sheet'!$A:$B,2,FALSE),"")</f>
        <v>0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Sheet'!$G:$G,'Crew Sheet'!$K:$K),0)),"Loading",
IF(AND(COUNTIF($D22,"*R*"),COUNTIFS($I$1:I21,"Receiving",$T$1:T21,"x")&lt;ROUNDUP(SUM('Crew Sheet'!$K$10:$K$11),0)),"Receiving",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Sheet'!$A:$B,2,FALSE),"")</f>
        <v>0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Sheet'!$G:$G,'Crew Sheet'!$K:$K),0)),"Loading",
IF(AND(COUNTIF($D23,"*R*"),COUNTIFS($I$1:I22,"Receiving",$T$1:T22,"x")&lt;ROUNDUP(SUM('Crew Sheet'!$K$10:$K$11),0)),"Receiving",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Sheet'!$A:$B,2,FALSE),"")</f>
        <v>0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Sheet'!$G:$G,'Crew Sheet'!$K:$K),0)),"Loading",
IF(AND(COUNTIF($D24,"*R*"),COUNTIFS($I$1:I23,"Receiving",$T$1:T23,"x")&lt;ROUNDUP(SUM('Crew Sheet'!$K$10:$K$11),0)),"Receiving",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Sheet'!$A:$B,2,FALSE),"")</f>
        <v>0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Sheet'!$G:$G,'Crew Sheet'!$K:$K),0)),"Loading",
IF(AND(COUNTIF($D25,"*R*"),COUNTIFS($I$1:I24,"Receiving",$T$1:T24,"x")&lt;ROUNDUP(SUM('Crew Sheet'!$K$10:$K$11),0)),"Receiving",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Sheet'!$A:$B,2,FALSE),"")</f>
        <v>0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/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Sheet'!$G:$G,'Crew Sheet'!$K:$K),0)),"Loading",
IF(AND(COUNTIF($D26,"*R*"),COUNTIFS($I$1:I25,"Receiving",$T$1:T25,"x")&lt;ROUNDUP(SUM('Crew Sheet'!$K$10:$K$11),0)),"Receiving",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Sheet'!$A:$B,2,FALSE),"")</f>
        <v>0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Sheet'!$G:$G,'Crew Sheet'!$K:$K),0)),"Loading",
IF(AND(COUNTIF($D27,"*R*"),COUNTIFS($I$1:I26,"Receiving",$T$1:T26,"x")&lt;ROUNDUP(SUM('Crew Sheet'!$K$10:$K$11),0)),"Receiving",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Sheet'!$A:$B,2,FALSE),"")</f>
        <v>0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Sheet'!$G:$G,'Crew Sheet'!$K:$K),0)),"Loading",
IF(AND(COUNTIF($D28,"*R*"),COUNTIFS($I$1:I27,"Receiving",$T$1:T27,"x")&lt;ROUNDUP(SUM('Crew Sheet'!$K$10:$K$11),0)),"Receiving",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Sheet'!$A:$B,2,FALSE),"")</f>
        <v>0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Sheet'!$G:$G,'Crew Sheet'!$K:$K),0)),"Loading",
IF(AND(COUNTIF($D29,"*R*"),COUNTIFS($I$1:I28,"Receiving",$T$1:T28,"x")&lt;ROUNDUP(SUM('Crew Sheet'!$K$10:$K$11),0)),"Receiving",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Sheet'!$A:$B,2,FALSE),"")</f>
        <v>0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Sheet'!$G:$G,'Crew Sheet'!$K:$K),0)),"Loading",
IF(AND(COUNTIF($D30,"*R*"),COUNTIFS($I$1:I29,"Receiving",$T$1:T29,"x")&lt;ROUNDUP(SUM('Crew Sheet'!$K$10:$K$11),0)),"Receiving",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Sheet'!$A:$B,2,FALSE),"")</f>
        <v>0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Sheet'!$G:$G,'Crew Sheet'!$K:$K),0)),"Loading",
IF(AND(COUNTIF($D31,"*R*"),COUNTIFS($I$1:I30,"Receiving",$T$1:T30,"x")&lt;ROUNDUP(SUM('Crew Sheet'!$K$10:$K$11),0)),"Receiving",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Sheet'!$A:$B,2,FALSE),"")</f>
        <v>0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Sheet'!$G:$G,'Crew Sheet'!$K:$K),0)),"Loading",
IF(AND(COUNTIF($D32,"*R*"),COUNTIFS($I$1:I31,"Receiving",$T$1:T31,"x")&lt;ROUNDUP(SUM('Crew Sheet'!$K$10:$K$11),0)),"Receiving",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Sheet'!$A:$B,2,FALSE),"")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205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Sheet'!$G:$G,'Crew Sheet'!$K:$K),0)),"Loading",
IF(AND(COUNTIF($D33,"*R*"),COUNTIFS($I$1:I32,"Receiving",$T$1:T32,"x")&lt;ROUNDUP(SUM('Crew Sheet'!$K$10:$K$11),0)),"Receiving",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Sheet'!$A:$B,2,FALSE),"")</f>
        <v>0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Sheet'!$G:$G,'Crew Sheet'!$K:$K),0)),"Loading",
IF(AND(COUNTIF($D34,"*R*"),COUNTIFS($I$1:I33,"Receiving",$T$1:T33,"x")&lt;ROUNDUP(SUM('Crew Sheet'!$K$10:$K$11),0)),"Receiving",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Sheet'!$A:$B,2,FALSE),"")</f>
        <v>0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Sheet'!$G:$G,'Crew Sheet'!$K:$K),0)),"Loading",
IF(AND(COUNTIF($D35,"*R*"),COUNTIFS($I$1:I34,"Receiving",$T$1:T34,"x")&lt;ROUNDUP(SUM('Crew Sheet'!$K$10:$K$11),0)),"Receiving",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Sheet'!$A:$B,2,FALSE),"")</f>
        <v>0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Sheet'!$G:$G,'Crew Sheet'!$K:$K),0)),"Loading",
IF(AND(COUNTIF($D36,"*R*"),COUNTIFS($I$1:I35,"Receiving",$T$1:T35,"x")&lt;ROUNDUP(SUM('Crew Sheet'!$K$10:$K$11),0)),"Receiving",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Sheet'!$A:$B,2,FALSE),"")</f>
        <v>0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Sheet'!$G:$G,'Crew Sheet'!$K:$K),0)),"Loading",
IF(AND(COUNTIF($D37,"*R*"),COUNTIFS($I$1:I36,"Receiving",$T$1:T36,"x")&lt;ROUNDUP(SUM('Crew Sheet'!$K$10:$K$11),0)),"Receiving",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Sheet'!$A:$B,2,FALSE),"")</f>
        <v>0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Sheet'!$G:$G,'Crew Sheet'!$K:$K),0)),"Loading",
IF(AND(COUNTIF($D38,"*R*"),COUNTIFS($I$1:I37,"Receiving",$T$1:T37,"x")&lt;ROUNDUP(SUM('Crew Sheet'!$K$10:$K$11),0)),"Receiving",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Sheet'!$A:$B,2,FALSE),"")</f>
        <v>0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Sheet'!$G:$G,'Crew Sheet'!$K:$K),0)),"Loading",
IF(AND(COUNTIF($D39,"*R*"),COUNTIFS($I$1:I38,"Receiving",$T$1:T38,"x")&lt;ROUNDUP(SUM('Crew Sheet'!$K$10:$K$11),0)),"Receiving",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Sheet'!$A:$B,2,FALSE),"")</f>
        <v>0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Sheet'!$G:$G,'Crew Sheet'!$K:$K),0)),"Loading",
IF(AND(COUNTIF($D40,"*R*"),COUNTIFS($I$1:I39,"Receiving",$T$1:T39,"x")&lt;ROUNDUP(SUM('Crew Sheet'!$K$10:$K$11),0)),"Receiving",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Sheet'!$A:$B,2,FALSE),"")</f>
        <v>0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Sheet'!$G:$G,'Crew Sheet'!$K:$K),0)),"Loading",
IF(AND(COUNTIF($D41,"*R*"),COUNTIFS($I$1:I40,"Receiving",$T$1:T40,"x")&lt;ROUNDUP(SUM('Crew Sheet'!$K$10:$K$11),0)),"Receiving",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Sheet'!$A:$B,2,FALSE),"")</f>
        <v>0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Sheet'!$G:$G,'Crew Sheet'!$K:$K),0)),"Loading",
IF(AND(COUNTIF($D42,"*R*"),COUNTIFS($I$1:I41,"Receiving",$T$1:T41,"x")&lt;ROUNDUP(SUM('Crew Sheet'!$K$10:$K$11),0)),"Receiving",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Sheet'!$A:$B,2,FALSE),"")</f>
        <v>0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Sheet'!$G:$G,'Crew Sheet'!$K:$K),0)),"Loading",
IF(AND(COUNTIF($D43,"*R*"),COUNTIFS($I$1:I42,"Receiving",$T$1:T42,"x")&lt;ROUNDUP(SUM('Crew Sheet'!$K$10:$K$11),0)),"Receiving",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Sheet'!$A:$B,2,FALSE),"")</f>
        <v>0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207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Sheet'!$G:$G,'Crew Sheet'!$K:$K),0)),"Loading",
IF(AND(COUNTIF($D44,"*R*"),COUNTIFS($I$1:I43,"Receiving",$T$1:T43,"x")&lt;ROUNDUP(SUM('Crew Sheet'!$K$10:$K$11),0)),"Receiving",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Sheet'!$A:$B,2,FALSE),"")</f>
        <v>0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/>
      <c r="B45" s="39"/>
      <c r="C45" s="39"/>
      <c r="D45" s="39"/>
      <c r="E45" s="39"/>
      <c r="F45" s="39"/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Sheet'!$G:$G,'Crew Sheet'!$K:$K),0)),"Loading",
IF(AND(COUNTIF($D45,"*R*"),COUNTIFS($I$1:I44,"Receiving",$T$1:T44,"x")&lt;ROUNDUP(SUM('Crew Sheet'!$K$10:$K$11),0)),"Receiving",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/>
      <c r="B46" s="39"/>
      <c r="C46" s="39"/>
      <c r="D46" s="39"/>
      <c r="E46" s="39"/>
      <c r="F46" s="39"/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Sheet'!$G:$G,'Crew Sheet'!$K:$K),0)),"Loading",
IF(AND(COUNTIF($D46,"*R*"),COUNTIFS($I$1:I45,"Receiving",$T$1:T45,"x")&lt;ROUNDUP(SUM('Crew Sheet'!$K$10:$K$11),0)),"Receiving",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/>
      <c r="B47" s="39"/>
      <c r="C47" s="39"/>
      <c r="D47" s="39"/>
      <c r="E47" s="39"/>
      <c r="F47" s="39"/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Sheet'!$G:$G,'Crew Sheet'!$K:$K),0)),"Loading",
IF(AND(COUNTIF($D47,"*R*"),COUNTIFS($I$1:I46,"Receiving",$T$1:T46,"x")&lt;ROUNDUP(SUM('Crew Sheet'!$K$10:$K$11),0)),"Receiving",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67"/>
      <c r="B48" s="67"/>
      <c r="C48" s="67"/>
      <c r="D48" s="39"/>
      <c r="E48" s="39"/>
      <c r="F48" s="39"/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Sheet'!$G:$G,'Crew Sheet'!$K:$K),0)),"Loading",
IF(AND(COUNTIF($D48,"*R*"),COUNTIFS($I$1:I47,"Receiving",$T$1:T47,"x")&lt;ROUNDUP(SUM('Crew Sheet'!$K$10:$K$11),0)),"Receiving",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Sheet'!$G:$G,'Crew Sheet'!$K:$K),0)),"Loading",
IF(AND(COUNTIF($D49,"*R*"),COUNTIFS($I$1:I48,"Receiving",$T$1:T48,"x")&lt;ROUNDUP(SUM('Crew Sheet'!$K$10:$K$11),0)),"Receiving",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/>
      <c r="B50" s="39"/>
      <c r="C50" s="39"/>
      <c r="D50" s="39"/>
      <c r="E50" s="39"/>
      <c r="F50" s="39"/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Sheet'!$G:$G,'Crew Sheet'!$K:$K),0)),"Loading",
IF(AND(COUNTIF($D50,"*R*"),COUNTIFS($I$1:I49,"Receiving",$T$1:T49,"x")&lt;ROUNDUP(SUM('Crew Sheet'!$K$10:$K$11),0)),"Receiving",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workbookViewId="0">
      <selection activeCell="H8" sqref="H8:H944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17" t="s">
        <v>111</v>
      </c>
      <c r="I2" s="117"/>
      <c r="J2" s="117"/>
      <c r="K2" s="117"/>
      <c r="L2" s="118" t="s">
        <v>112</v>
      </c>
      <c r="M2" s="119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Warning-Recommendations</vt:lpstr>
      <vt:lpstr>Staffing sheet 1ST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2026-05-21T17:08:46Z</dcterms:modified>
  <cp:category/>
  <cp:contentStatus/>
</cp:coreProperties>
</file>